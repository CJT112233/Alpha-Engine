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nhamdev-my.sharepoint.com/personal/chris_burnhamrng_com/Documents/Desktop/"/>
    </mc:Choice>
  </mc:AlternateContent>
  <xr:revisionPtr revIDLastSave="0" documentId="8_{056E9460-F9E4-4F04-8D7D-D5FCE4620F82}" xr6:coauthVersionLast="47" xr6:coauthVersionMax="47" xr10:uidLastSave="{00000000-0000-0000-0000-000000000000}"/>
  <bookViews>
    <workbookView xWindow="-110" yWindow="-110" windowWidth="25820" windowHeight="15500" xr2:uid="{989A28BD-210B-4508-95E6-82B31B6170FE}"/>
  </bookViews>
  <sheets>
    <sheet name="W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1" l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E30" i="1" l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29" i="1"/>
  <c r="L23" i="1" l="1"/>
  <c r="K23" i="1"/>
  <c r="M23" i="1" s="1"/>
  <c r="N23" i="1" s="1"/>
  <c r="P23" i="1" s="1"/>
  <c r="L22" i="1"/>
  <c r="K22" i="1"/>
  <c r="M22" i="1" s="1"/>
  <c r="N22" i="1" s="1"/>
  <c r="P22" i="1" s="1"/>
  <c r="L21" i="1"/>
  <c r="K21" i="1"/>
  <c r="M21" i="1" s="1"/>
  <c r="N21" i="1" s="1"/>
  <c r="P21" i="1" s="1"/>
  <c r="L20" i="1"/>
  <c r="K20" i="1"/>
  <c r="M20" i="1" s="1"/>
  <c r="N20" i="1" s="1"/>
  <c r="P20" i="1" s="1"/>
  <c r="L19" i="1"/>
  <c r="K19" i="1"/>
  <c r="J18" i="1"/>
  <c r="L18" i="1" s="1"/>
  <c r="I18" i="1"/>
  <c r="K18" i="1" s="1"/>
  <c r="M18" i="1" s="1"/>
  <c r="N18" i="1" s="1"/>
  <c r="P18" i="1" s="1"/>
  <c r="L17" i="1"/>
  <c r="K17" i="1"/>
  <c r="M17" i="1" s="1"/>
  <c r="N17" i="1" s="1"/>
  <c r="P17" i="1" s="1"/>
  <c r="H16" i="1"/>
  <c r="L16" i="1" s="1"/>
  <c r="G16" i="1"/>
  <c r="K16" i="1" s="1"/>
  <c r="M16" i="1" s="1"/>
  <c r="N16" i="1" s="1"/>
  <c r="P16" i="1" s="1"/>
  <c r="L15" i="1"/>
  <c r="K15" i="1"/>
  <c r="M15" i="1" s="1"/>
  <c r="N15" i="1" s="1"/>
  <c r="P15" i="1" s="1"/>
  <c r="L14" i="1"/>
  <c r="K14" i="1"/>
  <c r="L13" i="1"/>
  <c r="K13" i="1"/>
  <c r="M13" i="1" s="1"/>
  <c r="N13" i="1" s="1"/>
  <c r="P13" i="1" s="1"/>
  <c r="L12" i="1"/>
  <c r="K12" i="1"/>
  <c r="M12" i="1" s="1"/>
  <c r="N12" i="1" s="1"/>
  <c r="P12" i="1" s="1"/>
  <c r="L11" i="1"/>
  <c r="K11" i="1"/>
  <c r="M11" i="1" s="1"/>
  <c r="N11" i="1" s="1"/>
  <c r="P11" i="1" s="1"/>
  <c r="L10" i="1"/>
  <c r="K10" i="1"/>
  <c r="M10" i="1" s="1"/>
  <c r="N10" i="1" s="1"/>
  <c r="P10" i="1" s="1"/>
  <c r="L9" i="1"/>
  <c r="K9" i="1"/>
  <c r="M9" i="1" s="1"/>
  <c r="N9" i="1" s="1"/>
  <c r="P9" i="1" s="1"/>
  <c r="L8" i="1"/>
  <c r="K8" i="1"/>
  <c r="L7" i="1"/>
  <c r="K7" i="1"/>
  <c r="M7" i="1" s="1"/>
  <c r="N7" i="1" s="1"/>
  <c r="P7" i="1" s="1"/>
  <c r="L6" i="1"/>
  <c r="K6" i="1"/>
  <c r="M6" i="1" s="1"/>
  <c r="N6" i="1" s="1"/>
  <c r="P6" i="1" s="1"/>
  <c r="M19" i="1" l="1"/>
  <c r="N19" i="1" s="1"/>
  <c r="P19" i="1" s="1"/>
  <c r="M8" i="1"/>
  <c r="N8" i="1" s="1"/>
  <c r="P8" i="1" s="1"/>
  <c r="M14" i="1"/>
  <c r="N14" i="1" s="1"/>
  <c r="P14" i="1" s="1"/>
</calcChain>
</file>

<file path=xl/sharedStrings.xml><?xml version="1.0" encoding="utf-8"?>
<sst xmlns="http://schemas.openxmlformats.org/spreadsheetml/2006/main" count="110" uniqueCount="80">
  <si>
    <t>Source</t>
  </si>
  <si>
    <t>Product</t>
  </si>
  <si>
    <t>Total Solids (TS)</t>
  </si>
  <si>
    <t>VS/TS</t>
  </si>
  <si>
    <t>BMP (scfCH4/lbVS)</t>
  </si>
  <si>
    <t>MMBtu/ton</t>
  </si>
  <si>
    <t>Min</t>
  </si>
  <si>
    <t>Max</t>
  </si>
  <si>
    <t>Potatoes</t>
  </si>
  <si>
    <t>Whole Potatoes</t>
  </si>
  <si>
    <t>Potato Peels</t>
  </si>
  <si>
    <t>Mashed Potatoes</t>
  </si>
  <si>
    <t>Apples</t>
  </si>
  <si>
    <t>Apple Flesh</t>
  </si>
  <si>
    <t>Apple Peels</t>
  </si>
  <si>
    <t>Apple Core</t>
  </si>
  <si>
    <t>Apple Pomace</t>
  </si>
  <si>
    <t>Whole Apple</t>
  </si>
  <si>
    <t>Onions</t>
  </si>
  <si>
    <t>Whole Onion</t>
  </si>
  <si>
    <t>Onion Peels</t>
  </si>
  <si>
    <t>Milk Products</t>
  </si>
  <si>
    <t xml:space="preserve">Raw Milk </t>
  </si>
  <si>
    <t>Cheese Whey</t>
  </si>
  <si>
    <t>Cream</t>
  </si>
  <si>
    <t>Milk Processing wastewater (DPWW)</t>
  </si>
  <si>
    <t>Grapes</t>
  </si>
  <si>
    <t>Whole Grapes</t>
  </si>
  <si>
    <t>Grape Pomace</t>
  </si>
  <si>
    <t>Grape Juice</t>
  </si>
  <si>
    <t>Winery Wastewater</t>
  </si>
  <si>
    <t>rng value</t>
  </si>
  <si>
    <t>best alternate use value</t>
  </si>
  <si>
    <t>Potato flower/starch, livestock feed</t>
  </si>
  <si>
    <t>livestock feed, food addititves</t>
  </si>
  <si>
    <t>livestock feed, ethonol</t>
  </si>
  <si>
    <t>cider, vinegar, baked goods</t>
  </si>
  <si>
    <t>food additive, livestock feed, food coloring</t>
  </si>
  <si>
    <t>pectin, livestock feed, cider, vinegar, ethanol</t>
  </si>
  <si>
    <t>livestock feed, pectin</t>
  </si>
  <si>
    <t>apple juide, cider, vinegar, livestock feed</t>
  </si>
  <si>
    <t>extracts for flavoring, animal feed</t>
  </si>
  <si>
    <t>quercetin, natural dyes</t>
  </si>
  <si>
    <t>infant formula, cheese, yogurt, butter</t>
  </si>
  <si>
    <t>whey protein isolate, lactose, livestock feed</t>
  </si>
  <si>
    <t>butter, ice cream, cosmetic products</t>
  </si>
  <si>
    <t>fertigation, feedstock for fermentation</t>
  </si>
  <si>
    <t>wine, juice, raisins</t>
  </si>
  <si>
    <t>livestock feed, grape seed oil, polyphenol</t>
  </si>
  <si>
    <t>wine, vinegar, food concentrates</t>
  </si>
  <si>
    <t>tartaric acid</t>
  </si>
  <si>
    <t>$ Value per Physical Ton</t>
  </si>
  <si>
    <t>Assumed MMBTU/Ton</t>
  </si>
  <si>
    <t>EA Toggle</t>
  </si>
  <si>
    <t>$ Value per Best Alternate Use</t>
  </si>
  <si>
    <t>Net Value of RNG</t>
  </si>
  <si>
    <t>MMBTU/Ton</t>
  </si>
  <si>
    <t>RNG Value ($)</t>
  </si>
  <si>
    <t>Net Value (RNG - Best Alternative)</t>
  </si>
  <si>
    <t>Best Alternate Use Source</t>
  </si>
  <si>
    <t>Milk Wastewater</t>
  </si>
  <si>
    <t>Livestock feed, food addititves</t>
  </si>
  <si>
    <t>Livestock feed, ethonol</t>
  </si>
  <si>
    <t>Cider, vinegar, baked goods</t>
  </si>
  <si>
    <t>Food additive, livestock feed, food coloring</t>
  </si>
  <si>
    <t>Pectin, livestock feed, cider, vinegar, ethanol</t>
  </si>
  <si>
    <t>Livestock feed, pectin</t>
  </si>
  <si>
    <t>Apple juide, cider, vinegar, livestock feed</t>
  </si>
  <si>
    <t>Extracts for flavoring, animal feed</t>
  </si>
  <si>
    <t>Quercetin, natural dyes</t>
  </si>
  <si>
    <t>Infant formula, cheese, yogurt, butter</t>
  </si>
  <si>
    <t>Whey protein isolate, lactose, livestock feed</t>
  </si>
  <si>
    <t>Butter, ice cream, cosmetic products</t>
  </si>
  <si>
    <t>Fertigation, feedstock for fermentation</t>
  </si>
  <si>
    <t>Wine, juice, raisins</t>
  </si>
  <si>
    <t>Livestock feed, grape seed oil, polyphenol</t>
  </si>
  <si>
    <t>Wine, vinegar, food concentrates</t>
  </si>
  <si>
    <t>Tartaric acid</t>
  </si>
  <si>
    <t>Winery Waste</t>
  </si>
  <si>
    <t>Value/Best Alternate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</si>
</sst>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8">
    <xf numFmtId="0" fontId="0" fillId="0" borderId="0" xfId="0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2" xfId="0" applyBorder="1"/>
    <xf numFmtId="164" fontId="0" fillId="0" borderId="3" xfId="1" applyNumberFormat="1" applyFont="1" applyBorder="1"/>
    <xf numFmtId="164" fontId="0" fillId="0" borderId="4" xfId="1" applyNumberFormat="1" applyFont="1" applyBorder="1"/>
    <xf numFmtId="9" fontId="0" fillId="0" borderId="3" xfId="0" applyNumberFormat="1" applyBorder="1"/>
    <xf numFmtId="9" fontId="0" fillId="0" borderId="4" xfId="0" applyNumberFormat="1" applyBorder="1"/>
    <xf numFmtId="165" fontId="0" fillId="0" borderId="5" xfId="0" applyNumberFormat="1" applyBorder="1"/>
    <xf numFmtId="165" fontId="0" fillId="0" borderId="6" xfId="0" applyNumberFormat="1" applyBorder="1"/>
    <xf numFmtId="165" fontId="0" fillId="0" borderId="3" xfId="0" applyNumberFormat="1" applyBorder="1"/>
    <xf numFmtId="165" fontId="0" fillId="3" borderId="4" xfId="0" applyNumberFormat="1" applyFill="1" applyBorder="1"/>
    <xf numFmtId="0" fontId="0" fillId="0" borderId="13" xfId="0" applyBorder="1"/>
    <xf numFmtId="164" fontId="0" fillId="0" borderId="14" xfId="1" applyNumberFormat="1" applyFont="1" applyBorder="1"/>
    <xf numFmtId="164" fontId="0" fillId="0" borderId="15" xfId="1" applyNumberFormat="1" applyFont="1" applyBorder="1"/>
    <xf numFmtId="9" fontId="0" fillId="0" borderId="14" xfId="0" applyNumberFormat="1" applyBorder="1"/>
    <xf numFmtId="9" fontId="0" fillId="0" borderId="15" xfId="0" applyNumberFormat="1" applyBorder="1"/>
    <xf numFmtId="165" fontId="0" fillId="0" borderId="16" xfId="0" applyNumberFormat="1" applyBorder="1"/>
    <xf numFmtId="165" fontId="0" fillId="0" borderId="17" xfId="0" applyNumberFormat="1" applyBorder="1"/>
    <xf numFmtId="165" fontId="0" fillId="3" borderId="14" xfId="0" applyNumberFormat="1" applyFill="1" applyBorder="1"/>
    <xf numFmtId="165" fontId="0" fillId="0" borderId="15" xfId="0" applyNumberFormat="1" applyBorder="1"/>
    <xf numFmtId="0" fontId="0" fillId="0" borderId="8" xfId="0" applyBorder="1"/>
    <xf numFmtId="164" fontId="0" fillId="0" borderId="9" xfId="1" applyNumberFormat="1" applyFont="1" applyBorder="1"/>
    <xf numFmtId="164" fontId="0" fillId="0" borderId="10" xfId="1" applyNumberFormat="1" applyFont="1" applyBorder="1"/>
    <xf numFmtId="9" fontId="0" fillId="0" borderId="9" xfId="0" applyNumberFormat="1" applyBorder="1"/>
    <xf numFmtId="9" fontId="0" fillId="0" borderId="10" xfId="0" applyNumberFormat="1" applyBorder="1"/>
    <xf numFmtId="165" fontId="0" fillId="0" borderId="11" xfId="0" applyNumberFormat="1" applyBorder="1"/>
    <xf numFmtId="165" fontId="0" fillId="0" borderId="12" xfId="0" applyNumberFormat="1" applyBorder="1"/>
    <xf numFmtId="165" fontId="0" fillId="0" borderId="9" xfId="0" applyNumberFormat="1" applyBorder="1"/>
    <xf numFmtId="165" fontId="0" fillId="0" borderId="10" xfId="0" applyNumberFormat="1" applyBorder="1"/>
    <xf numFmtId="165" fontId="0" fillId="0" borderId="4" xfId="0" applyNumberFormat="1" applyBorder="1"/>
    <xf numFmtId="165" fontId="0" fillId="0" borderId="14" xfId="0" applyNumberFormat="1" applyBorder="1"/>
    <xf numFmtId="165" fontId="0" fillId="3" borderId="15" xfId="0" applyNumberFormat="1" applyFill="1" applyBorder="1"/>
    <xf numFmtId="0" fontId="0" fillId="0" borderId="19" xfId="0" applyBorder="1"/>
    <xf numFmtId="164" fontId="0" fillId="0" borderId="20" xfId="1" applyNumberFormat="1" applyFont="1" applyBorder="1"/>
    <xf numFmtId="164" fontId="0" fillId="0" borderId="21" xfId="1" applyNumberFormat="1" applyFont="1" applyBorder="1"/>
    <xf numFmtId="9" fontId="0" fillId="0" borderId="20" xfId="0" applyNumberFormat="1" applyBorder="1"/>
    <xf numFmtId="9" fontId="0" fillId="0" borderId="21" xfId="0" applyNumberFormat="1" applyBorder="1"/>
    <xf numFmtId="165" fontId="0" fillId="0" borderId="22" xfId="0" applyNumberFormat="1" applyBorder="1"/>
    <xf numFmtId="165" fontId="0" fillId="0" borderId="23" xfId="0" applyNumberFormat="1" applyBorder="1"/>
    <xf numFmtId="165" fontId="0" fillId="3" borderId="20" xfId="0" applyNumberFormat="1" applyFill="1" applyBorder="1"/>
    <xf numFmtId="165" fontId="0" fillId="0" borderId="21" xfId="0" applyNumberFormat="1" applyBorder="1"/>
    <xf numFmtId="0" fontId="0" fillId="0" borderId="24" xfId="0" applyBorder="1"/>
    <xf numFmtId="164" fontId="0" fillId="0" borderId="25" xfId="1" applyNumberFormat="1" applyFont="1" applyBorder="1"/>
    <xf numFmtId="164" fontId="0" fillId="0" borderId="26" xfId="1" applyNumberFormat="1" applyFont="1" applyBorder="1"/>
    <xf numFmtId="9" fontId="0" fillId="0" borderId="25" xfId="0" applyNumberFormat="1" applyBorder="1"/>
    <xf numFmtId="9" fontId="0" fillId="0" borderId="26" xfId="0" applyNumberFormat="1" applyBorder="1"/>
    <xf numFmtId="165" fontId="0" fillId="0" borderId="27" xfId="0" applyNumberFormat="1" applyBorder="1"/>
    <xf numFmtId="165" fontId="0" fillId="0" borderId="28" xfId="0" applyNumberFormat="1" applyBorder="1"/>
    <xf numFmtId="165" fontId="0" fillId="0" borderId="25" xfId="0" applyNumberFormat="1" applyBorder="1"/>
    <xf numFmtId="165" fontId="0" fillId="3" borderId="26" xfId="0" applyNumberFormat="1" applyFill="1" applyBorder="1"/>
    <xf numFmtId="0" fontId="0" fillId="0" borderId="2" xfId="0" applyBorder="1" applyAlignment="1">
      <alignment wrapText="1"/>
    </xf>
    <xf numFmtId="9" fontId="0" fillId="0" borderId="3" xfId="1" applyFont="1" applyBorder="1"/>
    <xf numFmtId="9" fontId="0" fillId="0" borderId="4" xfId="1" applyFont="1" applyBorder="1"/>
    <xf numFmtId="0" fontId="0" fillId="0" borderId="13" xfId="0" applyBorder="1" applyAlignment="1">
      <alignment wrapText="1"/>
    </xf>
    <xf numFmtId="0" fontId="0" fillId="0" borderId="16" xfId="0" applyBorder="1"/>
    <xf numFmtId="0" fontId="0" fillId="0" borderId="17" xfId="0" applyBorder="1"/>
    <xf numFmtId="165" fontId="0" fillId="4" borderId="14" xfId="0" applyNumberFormat="1" applyFill="1" applyBorder="1"/>
    <xf numFmtId="0" fontId="0" fillId="0" borderId="8" xfId="0" applyBorder="1" applyAlignment="1">
      <alignment wrapText="1"/>
    </xf>
    <xf numFmtId="0" fontId="0" fillId="0" borderId="11" xfId="0" applyBorder="1"/>
    <xf numFmtId="0" fontId="0" fillId="0" borderId="12" xfId="0" applyBorder="1"/>
    <xf numFmtId="2" fontId="0" fillId="3" borderId="9" xfId="0" applyNumberFormat="1" applyFill="1" applyBorder="1"/>
    <xf numFmtId="0" fontId="0" fillId="0" borderId="5" xfId="0" applyBorder="1"/>
    <xf numFmtId="0" fontId="0" fillId="0" borderId="6" xfId="0" applyBorder="1"/>
    <xf numFmtId="10" fontId="0" fillId="0" borderId="9" xfId="0" applyNumberFormat="1" applyBorder="1"/>
    <xf numFmtId="10" fontId="0" fillId="0" borderId="10" xfId="0" applyNumberFormat="1" applyBorder="1"/>
    <xf numFmtId="165" fontId="0" fillId="3" borderId="9" xfId="0" applyNumberFormat="1" applyFill="1" applyBorder="1"/>
    <xf numFmtId="0" fontId="2" fillId="0" borderId="0" xfId="0" applyFont="1"/>
    <xf numFmtId="0" fontId="3" fillId="3" borderId="0" xfId="0" applyFont="1" applyFill="1"/>
    <xf numFmtId="165" fontId="0" fillId="0" borderId="0" xfId="0" applyNumberFormat="1"/>
    <xf numFmtId="2" fontId="2" fillId="0" borderId="0" xfId="0" applyNumberFormat="1" applyFont="1"/>
    <xf numFmtId="17" fontId="0" fillId="0" borderId="0" xfId="0" applyNumberFormat="1"/>
    <xf numFmtId="39" fontId="0" fillId="0" borderId="0" xfId="0" applyNumberFormat="1"/>
    <xf numFmtId="0" fontId="4" fillId="5" borderId="0" xfId="0" applyFont="1" applyFill="1"/>
    <xf numFmtId="0" fontId="5" fillId="0" borderId="29" xfId="0" applyFont="1" applyBorder="1"/>
    <xf numFmtId="4" fontId="5" fillId="0" borderId="29" xfId="0" applyNumberFormat="1" applyFont="1" applyBorder="1"/>
    <xf numFmtId="3" fontId="5" fillId="0" borderId="29" xfId="0" applyNumberFormat="1" applyFont="1" applyBorder="1"/>
    <xf numFmtId="0" fontId="5" fillId="0" borderId="29" xfId="0" applyFont="1" applyBorder="1" applyAlignment="1">
      <alignment wrapText="1"/>
    </xf>
    <xf numFmtId="0" fontId="5" fillId="0" borderId="31" xfId="0" applyFont="1" applyBorder="1"/>
    <xf numFmtId="3" fontId="5" fillId="0" borderId="31" xfId="0" applyNumberFormat="1" applyFont="1" applyBorder="1"/>
    <xf numFmtId="4" fontId="5" fillId="0" borderId="31" xfId="0" applyNumberFormat="1" applyFont="1" applyBorder="1"/>
    <xf numFmtId="0" fontId="5" fillId="0" borderId="30" xfId="0" applyFont="1" applyBorder="1"/>
    <xf numFmtId="3" fontId="5" fillId="0" borderId="30" xfId="0" applyNumberFormat="1" applyFont="1" applyBorder="1"/>
    <xf numFmtId="4" fontId="5" fillId="0" borderId="30" xfId="0" applyNumberFormat="1" applyFont="1" applyBorder="1"/>
    <xf numFmtId="0" fontId="5" fillId="0" borderId="32" xfId="0" applyFont="1" applyBorder="1"/>
    <xf numFmtId="3" fontId="5" fillId="0" borderId="32" xfId="0" applyNumberFormat="1" applyFont="1" applyBorder="1"/>
    <xf numFmtId="4" fontId="5" fillId="0" borderId="32" xfId="0" applyNumberFormat="1" applyFont="1" applyBorder="1"/>
    <xf numFmtId="0" fontId="5" fillId="0" borderId="31" xfId="0" applyFont="1" applyBorder="1" applyAlignment="1">
      <alignment wrapText="1"/>
    </xf>
    <xf numFmtId="0" fontId="5" fillId="0" borderId="32" xfId="0" applyFont="1" applyBorder="1" applyAlignment="1">
      <alignment wrapText="1"/>
    </xf>
    <xf numFmtId="0" fontId="5" fillId="0" borderId="30" xfId="0" applyFont="1" applyBorder="1" applyAlignment="1">
      <alignment wrapText="1"/>
    </xf>
    <xf numFmtId="37" fontId="5" fillId="0" borderId="29" xfId="0" applyNumberFormat="1" applyFont="1" applyBorder="1"/>
    <xf numFmtId="37" fontId="5" fillId="0" borderId="30" xfId="0" applyNumberFormat="1" applyFont="1" applyBorder="1"/>
    <xf numFmtId="37" fontId="5" fillId="0" borderId="32" xfId="0" applyNumberFormat="1" applyFont="1" applyBorder="1"/>
    <xf numFmtId="37" fontId="5" fillId="0" borderId="31" xfId="0" applyNumberFormat="1" applyFont="1" applyBorder="1"/>
    <xf numFmtId="0" fontId="6" fillId="0" borderId="32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0780-52FF-4DCF-997A-9E7FB131DF23}">
  <dimension ref="C2:S47"/>
  <sheetViews>
    <sheetView showGridLines="0" tabSelected="1" zoomScale="66" workbookViewId="0">
      <selection activeCell="E43" sqref="E43"/>
    </sheetView>
  </sheetViews>
  <sheetFormatPr defaultRowHeight="14.5" x14ac:dyDescent="0.35"/>
  <cols>
    <col min="2" max="2" width="2.08984375" customWidth="1"/>
    <col min="3" max="3" width="9.81640625" customWidth="1"/>
    <col min="4" max="4" width="16.54296875" bestFit="1" customWidth="1"/>
    <col min="5" max="5" width="38.08984375" bestFit="1" customWidth="1"/>
    <col min="6" max="6" width="13.81640625" bestFit="1" customWidth="1"/>
    <col min="7" max="7" width="15.90625" bestFit="1" customWidth="1"/>
    <col min="8" max="8" width="26.90625" bestFit="1" customWidth="1"/>
    <col min="9" max="9" width="41.1796875" bestFit="1" customWidth="1"/>
    <col min="10" max="10" width="2.36328125" customWidth="1"/>
    <col min="11" max="11" width="29.1796875" bestFit="1" customWidth="1"/>
    <col min="13" max="13" width="22.08984375" bestFit="1" customWidth="1"/>
    <col min="14" max="14" width="22.08984375" customWidth="1"/>
    <col min="15" max="15" width="27.6328125" bestFit="1" customWidth="1"/>
    <col min="16" max="17" width="22.08984375" customWidth="1"/>
    <col min="18" max="18" width="8.81640625" bestFit="1" customWidth="1"/>
    <col min="19" max="19" width="21.54296875" bestFit="1" customWidth="1"/>
    <col min="20" max="20" width="27.08984375" bestFit="1" customWidth="1"/>
  </cols>
  <sheetData>
    <row r="2" spans="3:19" x14ac:dyDescent="0.35">
      <c r="N2" s="69" t="s">
        <v>53</v>
      </c>
      <c r="O2" s="70">
        <v>12</v>
      </c>
    </row>
    <row r="3" spans="3:19" ht="15" thickBot="1" x14ac:dyDescent="0.4"/>
    <row r="4" spans="3:19" x14ac:dyDescent="0.35">
      <c r="C4" s="114" t="s">
        <v>0</v>
      </c>
      <c r="D4" s="115" t="s">
        <v>1</v>
      </c>
      <c r="E4" s="112" t="s">
        <v>2</v>
      </c>
      <c r="F4" s="113"/>
      <c r="G4" s="112" t="s">
        <v>3</v>
      </c>
      <c r="H4" s="113"/>
      <c r="I4" s="116" t="s">
        <v>4</v>
      </c>
      <c r="J4" s="117"/>
      <c r="K4" s="112" t="s">
        <v>5</v>
      </c>
      <c r="L4" s="113"/>
      <c r="M4" s="69" t="s">
        <v>52</v>
      </c>
      <c r="N4" s="69" t="s">
        <v>51</v>
      </c>
      <c r="O4" s="69" t="s">
        <v>54</v>
      </c>
      <c r="P4" s="69" t="s">
        <v>55</v>
      </c>
      <c r="Q4" s="69"/>
      <c r="R4" t="s">
        <v>31</v>
      </c>
      <c r="S4" t="s">
        <v>32</v>
      </c>
    </row>
    <row r="5" spans="3:19" ht="15" thickBot="1" x14ac:dyDescent="0.4">
      <c r="C5" s="108"/>
      <c r="D5" s="105"/>
      <c r="E5" s="1" t="s">
        <v>6</v>
      </c>
      <c r="F5" s="2" t="s">
        <v>7</v>
      </c>
      <c r="G5" s="1" t="s">
        <v>6</v>
      </c>
      <c r="H5" s="2" t="s">
        <v>7</v>
      </c>
      <c r="I5" s="3" t="s">
        <v>6</v>
      </c>
      <c r="J5" s="4" t="s">
        <v>7</v>
      </c>
      <c r="K5" s="1" t="s">
        <v>6</v>
      </c>
      <c r="L5" s="2" t="s">
        <v>7</v>
      </c>
      <c r="P5" s="73"/>
    </row>
    <row r="6" spans="3:19" x14ac:dyDescent="0.35">
      <c r="C6" s="103" t="s">
        <v>8</v>
      </c>
      <c r="D6" s="5" t="s">
        <v>9</v>
      </c>
      <c r="E6" s="6">
        <v>0.18</v>
      </c>
      <c r="F6" s="7">
        <v>0.22</v>
      </c>
      <c r="G6" s="8">
        <v>0.85</v>
      </c>
      <c r="H6" s="9">
        <v>0.92</v>
      </c>
      <c r="I6" s="10">
        <v>5.6</v>
      </c>
      <c r="J6" s="11">
        <v>6</v>
      </c>
      <c r="K6" s="12">
        <f>E6*G6*I6*2000*1040/1000000</f>
        <v>1.7821439999999997</v>
      </c>
      <c r="L6" s="13">
        <f>F6*H6*J6*2000*1040/1000000</f>
        <v>2.5259519999999998</v>
      </c>
      <c r="M6" s="71">
        <f>MEDIAN(K6:L6)</f>
        <v>2.1540479999999995</v>
      </c>
      <c r="N6" s="72">
        <f>M6*$O$2</f>
        <v>25.848575999999994</v>
      </c>
      <c r="O6">
        <v>10</v>
      </c>
      <c r="P6" s="74">
        <f>N6-O6</f>
        <v>15.848575999999994</v>
      </c>
      <c r="S6" t="s">
        <v>33</v>
      </c>
    </row>
    <row r="7" spans="3:19" x14ac:dyDescent="0.35">
      <c r="C7" s="104"/>
      <c r="D7" s="14" t="s">
        <v>10</v>
      </c>
      <c r="E7" s="15">
        <v>0.18</v>
      </c>
      <c r="F7" s="16">
        <v>0.25</v>
      </c>
      <c r="G7" s="17">
        <v>0.85</v>
      </c>
      <c r="H7" s="18">
        <v>0.95</v>
      </c>
      <c r="I7" s="19">
        <v>3.3</v>
      </c>
      <c r="J7" s="20">
        <v>4.5</v>
      </c>
      <c r="K7" s="21">
        <f t="shared" ref="K7:L8" si="0">E7*G7*I7*2000*1040/1000000</f>
        <v>1.050192</v>
      </c>
      <c r="L7" s="22">
        <f t="shared" si="0"/>
        <v>2.2229999999999994</v>
      </c>
      <c r="M7" s="71">
        <f t="shared" ref="M7:M23" si="1">MEDIAN(K7:L7)</f>
        <v>1.6365959999999997</v>
      </c>
      <c r="N7" s="72">
        <f t="shared" ref="N7:N23" si="2">M7*$O$2</f>
        <v>19.639151999999996</v>
      </c>
      <c r="O7">
        <v>20</v>
      </c>
      <c r="P7" s="74">
        <f t="shared" ref="P7:P23" si="3">N7-O7</f>
        <v>-0.36084800000000428</v>
      </c>
      <c r="S7" t="s">
        <v>34</v>
      </c>
    </row>
    <row r="8" spans="3:19" ht="15" thickBot="1" x14ac:dyDescent="0.4">
      <c r="C8" s="105"/>
      <c r="D8" s="23" t="s">
        <v>11</v>
      </c>
      <c r="E8" s="24">
        <v>0.16</v>
      </c>
      <c r="F8" s="25">
        <v>0.2</v>
      </c>
      <c r="G8" s="26">
        <v>0.85</v>
      </c>
      <c r="H8" s="27">
        <v>0.92</v>
      </c>
      <c r="I8" s="28">
        <v>5.4</v>
      </c>
      <c r="J8" s="29">
        <v>5.7</v>
      </c>
      <c r="K8" s="30">
        <f t="shared" si="0"/>
        <v>1.5275520000000002</v>
      </c>
      <c r="L8" s="31">
        <f t="shared" si="0"/>
        <v>2.1815040000000003</v>
      </c>
      <c r="M8" s="71">
        <f t="shared" si="1"/>
        <v>1.8545280000000002</v>
      </c>
      <c r="N8" s="72">
        <f t="shared" si="2"/>
        <v>22.254336000000002</v>
      </c>
      <c r="O8">
        <v>20</v>
      </c>
      <c r="P8" s="74">
        <f t="shared" si="3"/>
        <v>2.2543360000000021</v>
      </c>
      <c r="S8" t="s">
        <v>35</v>
      </c>
    </row>
    <row r="9" spans="3:19" x14ac:dyDescent="0.35">
      <c r="C9" s="106" t="s">
        <v>12</v>
      </c>
      <c r="D9" s="5" t="s">
        <v>13</v>
      </c>
      <c r="E9" s="6">
        <v>0.12</v>
      </c>
      <c r="F9" s="7">
        <v>0.16</v>
      </c>
      <c r="G9" s="8">
        <v>0.92</v>
      </c>
      <c r="H9" s="9">
        <v>0.95</v>
      </c>
      <c r="I9" s="10">
        <v>6</v>
      </c>
      <c r="J9" s="11">
        <v>6.2</v>
      </c>
      <c r="K9" s="12">
        <f>E9*G9*I9*2000*1040/1000000</f>
        <v>1.3777919999999999</v>
      </c>
      <c r="L9" s="32">
        <f>F9*H9*J9*2000*1040/1000000</f>
        <v>1.9601919999999999</v>
      </c>
      <c r="M9" s="71">
        <f t="shared" si="1"/>
        <v>1.6689919999999998</v>
      </c>
      <c r="N9" s="72">
        <f t="shared" si="2"/>
        <v>20.027903999999999</v>
      </c>
      <c r="O9">
        <v>50</v>
      </c>
      <c r="P9" s="74">
        <f t="shared" si="3"/>
        <v>-29.972096000000001</v>
      </c>
      <c r="S9" t="s">
        <v>36</v>
      </c>
    </row>
    <row r="10" spans="3:19" x14ac:dyDescent="0.35">
      <c r="C10" s="107"/>
      <c r="D10" s="14" t="s">
        <v>14</v>
      </c>
      <c r="E10" s="15">
        <v>0.18</v>
      </c>
      <c r="F10" s="16">
        <v>0.22</v>
      </c>
      <c r="G10" s="17">
        <v>0.85</v>
      </c>
      <c r="H10" s="18">
        <v>0.9</v>
      </c>
      <c r="I10" s="19">
        <v>5.2</v>
      </c>
      <c r="J10" s="20">
        <v>5.6</v>
      </c>
      <c r="K10" s="33">
        <f t="shared" ref="K10:L23" si="4">E10*G10*I10*2000*1040/1000000</f>
        <v>1.6548480000000001</v>
      </c>
      <c r="L10" s="22">
        <f t="shared" si="4"/>
        <v>2.3063039999999999</v>
      </c>
      <c r="M10" s="71">
        <f t="shared" si="1"/>
        <v>1.9805760000000001</v>
      </c>
      <c r="N10" s="72">
        <f t="shared" si="2"/>
        <v>23.766912000000001</v>
      </c>
      <c r="O10">
        <v>50</v>
      </c>
      <c r="P10" s="74">
        <f t="shared" si="3"/>
        <v>-26.233087999999999</v>
      </c>
      <c r="S10" t="s">
        <v>37</v>
      </c>
    </row>
    <row r="11" spans="3:19" x14ac:dyDescent="0.35">
      <c r="C11" s="107"/>
      <c r="D11" s="14" t="s">
        <v>15</v>
      </c>
      <c r="E11" s="15">
        <v>0.18</v>
      </c>
      <c r="F11" s="16">
        <v>0.22</v>
      </c>
      <c r="G11" s="17">
        <v>0.88</v>
      </c>
      <c r="H11" s="18">
        <v>0.92</v>
      </c>
      <c r="I11" s="19">
        <v>5.4</v>
      </c>
      <c r="J11" s="20">
        <v>5.8</v>
      </c>
      <c r="K11" s="33">
        <f t="shared" si="4"/>
        <v>1.7791488</v>
      </c>
      <c r="L11" s="34">
        <f t="shared" si="4"/>
        <v>2.4417535999999997</v>
      </c>
      <c r="M11" s="71">
        <f t="shared" si="1"/>
        <v>2.1104512</v>
      </c>
      <c r="N11" s="72">
        <f t="shared" si="2"/>
        <v>25.3254144</v>
      </c>
      <c r="O11">
        <v>50</v>
      </c>
      <c r="P11" s="74">
        <f t="shared" si="3"/>
        <v>-24.6745856</v>
      </c>
      <c r="S11" t="s">
        <v>38</v>
      </c>
    </row>
    <row r="12" spans="3:19" x14ac:dyDescent="0.35">
      <c r="C12" s="107"/>
      <c r="D12" s="14" t="s">
        <v>16</v>
      </c>
      <c r="E12" s="15">
        <v>0.18</v>
      </c>
      <c r="F12" s="16">
        <v>0.25</v>
      </c>
      <c r="G12" s="17">
        <v>0.85</v>
      </c>
      <c r="H12" s="18">
        <v>0.9</v>
      </c>
      <c r="I12" s="19">
        <v>2.4</v>
      </c>
      <c r="J12" s="20">
        <v>4.7</v>
      </c>
      <c r="K12" s="21">
        <f t="shared" si="4"/>
        <v>0.76377600000000001</v>
      </c>
      <c r="L12" s="22">
        <f t="shared" si="4"/>
        <v>2.1996000000000002</v>
      </c>
      <c r="M12" s="71">
        <f t="shared" si="1"/>
        <v>1.4816880000000001</v>
      </c>
      <c r="N12" s="72">
        <f t="shared" si="2"/>
        <v>17.780256000000001</v>
      </c>
      <c r="O12">
        <v>55</v>
      </c>
      <c r="P12" s="74">
        <f t="shared" si="3"/>
        <v>-37.219743999999999</v>
      </c>
      <c r="S12" t="s">
        <v>39</v>
      </c>
    </row>
    <row r="13" spans="3:19" ht="15" thickBot="1" x14ac:dyDescent="0.4">
      <c r="C13" s="108"/>
      <c r="D13" s="23" t="s">
        <v>17</v>
      </c>
      <c r="E13" s="24">
        <v>0.14000000000000001</v>
      </c>
      <c r="F13" s="25">
        <v>0.18</v>
      </c>
      <c r="G13" s="26">
        <v>0.9</v>
      </c>
      <c r="H13" s="27">
        <v>0.93</v>
      </c>
      <c r="I13" s="28">
        <v>5.6</v>
      </c>
      <c r="J13" s="29">
        <v>6.1</v>
      </c>
      <c r="K13" s="30">
        <f t="shared" si="4"/>
        <v>1.4676480000000003</v>
      </c>
      <c r="L13" s="31">
        <f t="shared" si="4"/>
        <v>2.1239712000000002</v>
      </c>
      <c r="M13" s="71">
        <f t="shared" si="1"/>
        <v>1.7958096000000001</v>
      </c>
      <c r="N13" s="72">
        <f t="shared" si="2"/>
        <v>21.549715200000001</v>
      </c>
      <c r="O13">
        <v>75</v>
      </c>
      <c r="P13" s="74">
        <f t="shared" si="3"/>
        <v>-53.450284799999999</v>
      </c>
      <c r="S13" t="s">
        <v>40</v>
      </c>
    </row>
    <row r="14" spans="3:19" x14ac:dyDescent="0.35">
      <c r="C14" s="107" t="s">
        <v>18</v>
      </c>
      <c r="D14" s="35" t="s">
        <v>19</v>
      </c>
      <c r="E14" s="36">
        <v>0.1</v>
      </c>
      <c r="F14" s="37">
        <v>0.12</v>
      </c>
      <c r="G14" s="38">
        <v>0.85</v>
      </c>
      <c r="H14" s="39">
        <v>0.92</v>
      </c>
      <c r="I14" s="40">
        <v>4.3</v>
      </c>
      <c r="J14" s="41">
        <v>4.9000000000000004</v>
      </c>
      <c r="K14" s="42">
        <f t="shared" si="4"/>
        <v>0.76024000000000003</v>
      </c>
      <c r="L14" s="43">
        <f t="shared" si="4"/>
        <v>1.1251968000000001</v>
      </c>
      <c r="M14" s="71">
        <f t="shared" si="1"/>
        <v>0.94271840000000007</v>
      </c>
      <c r="N14" s="72">
        <f t="shared" si="2"/>
        <v>11.312620800000001</v>
      </c>
      <c r="O14">
        <v>5</v>
      </c>
      <c r="P14" s="74">
        <f t="shared" si="3"/>
        <v>6.3126208000000013</v>
      </c>
      <c r="S14" t="s">
        <v>41</v>
      </c>
    </row>
    <row r="15" spans="3:19" ht="15" thickBot="1" x14ac:dyDescent="0.4">
      <c r="C15" s="107"/>
      <c r="D15" s="44" t="s">
        <v>20</v>
      </c>
      <c r="E15" s="45">
        <v>0.22</v>
      </c>
      <c r="F15" s="46">
        <v>0.26</v>
      </c>
      <c r="G15" s="47">
        <v>0.75</v>
      </c>
      <c r="H15" s="48">
        <v>0.85</v>
      </c>
      <c r="I15" s="49">
        <v>2.5</v>
      </c>
      <c r="J15" s="50">
        <v>2.8</v>
      </c>
      <c r="K15" s="51">
        <f t="shared" si="4"/>
        <v>0.8580000000000001</v>
      </c>
      <c r="L15" s="52">
        <f t="shared" si="4"/>
        <v>1.2871040000000002</v>
      </c>
      <c r="M15" s="71">
        <f t="shared" si="1"/>
        <v>1.0725520000000002</v>
      </c>
      <c r="N15" s="72">
        <f t="shared" si="2"/>
        <v>12.870624000000003</v>
      </c>
      <c r="O15">
        <v>0</v>
      </c>
      <c r="P15" s="74">
        <f t="shared" si="3"/>
        <v>12.870624000000003</v>
      </c>
      <c r="S15" t="s">
        <v>42</v>
      </c>
    </row>
    <row r="16" spans="3:19" x14ac:dyDescent="0.35">
      <c r="C16" s="109" t="s">
        <v>21</v>
      </c>
      <c r="D16" s="53" t="s">
        <v>22</v>
      </c>
      <c r="E16" s="6">
        <v>0.125</v>
      </c>
      <c r="F16" s="7">
        <v>0.13200000000000001</v>
      </c>
      <c r="G16" s="54">
        <f>11.5%/E16</f>
        <v>0.92</v>
      </c>
      <c r="H16" s="55">
        <f>12.3%/F16</f>
        <v>0.93181818181818188</v>
      </c>
      <c r="I16" s="10">
        <v>8.1999999999999993</v>
      </c>
      <c r="J16" s="11">
        <v>8.1999999999999993</v>
      </c>
      <c r="K16" s="12">
        <f t="shared" si="4"/>
        <v>1.9614400000000001</v>
      </c>
      <c r="L16" s="32">
        <f t="shared" si="4"/>
        <v>2.0978880000000002</v>
      </c>
      <c r="M16" s="71">
        <f t="shared" si="1"/>
        <v>2.0296640000000004</v>
      </c>
      <c r="N16" s="72">
        <f t="shared" si="2"/>
        <v>24.355968000000004</v>
      </c>
      <c r="O16">
        <v>11</v>
      </c>
      <c r="P16" s="74">
        <f t="shared" si="3"/>
        <v>13.355968000000004</v>
      </c>
      <c r="S16" t="s">
        <v>43</v>
      </c>
    </row>
    <row r="17" spans="3:19" x14ac:dyDescent="0.35">
      <c r="C17" s="110"/>
      <c r="D17" s="56" t="s">
        <v>23</v>
      </c>
      <c r="E17" s="15">
        <v>0.04</v>
      </c>
      <c r="F17" s="16">
        <v>7.0000000000000007E-2</v>
      </c>
      <c r="G17" s="17">
        <v>0.85</v>
      </c>
      <c r="H17" s="18">
        <v>0.95</v>
      </c>
      <c r="I17" s="57">
        <v>6.2</v>
      </c>
      <c r="J17" s="58">
        <v>7.2</v>
      </c>
      <c r="K17" s="59">
        <f t="shared" si="4"/>
        <v>0.43846400000000002</v>
      </c>
      <c r="L17" s="22">
        <f t="shared" si="4"/>
        <v>0.99590400000000012</v>
      </c>
      <c r="M17" s="71">
        <f t="shared" si="1"/>
        <v>0.71718400000000004</v>
      </c>
      <c r="N17" s="72">
        <f t="shared" si="2"/>
        <v>8.6062080000000005</v>
      </c>
      <c r="O17">
        <v>5</v>
      </c>
      <c r="P17" s="74">
        <f t="shared" si="3"/>
        <v>3.6062080000000005</v>
      </c>
      <c r="S17" t="s">
        <v>44</v>
      </c>
    </row>
    <row r="18" spans="3:19" x14ac:dyDescent="0.35">
      <c r="C18" s="110"/>
      <c r="D18" s="56" t="s">
        <v>24</v>
      </c>
      <c r="E18" s="15">
        <v>0.32</v>
      </c>
      <c r="F18" s="16">
        <v>0.36</v>
      </c>
      <c r="G18" s="17">
        <v>0.9</v>
      </c>
      <c r="H18" s="18">
        <v>0.93</v>
      </c>
      <c r="I18" s="57">
        <f>0.6*15</f>
        <v>9</v>
      </c>
      <c r="J18" s="58">
        <f>0.8*15</f>
        <v>12</v>
      </c>
      <c r="K18" s="33">
        <f t="shared" si="4"/>
        <v>5.3913600000000006</v>
      </c>
      <c r="L18" s="34">
        <f t="shared" si="4"/>
        <v>8.3566079999999996</v>
      </c>
      <c r="M18" s="71">
        <f t="shared" si="1"/>
        <v>6.8739840000000001</v>
      </c>
      <c r="N18" s="72">
        <f t="shared" si="2"/>
        <v>82.487808000000001</v>
      </c>
      <c r="O18">
        <v>10</v>
      </c>
      <c r="P18" s="74">
        <f t="shared" si="3"/>
        <v>72.487808000000001</v>
      </c>
      <c r="S18" t="s">
        <v>45</v>
      </c>
    </row>
    <row r="19" spans="3:19" ht="44" thickBot="1" x14ac:dyDescent="0.4">
      <c r="C19" s="111"/>
      <c r="D19" s="60" t="s">
        <v>25</v>
      </c>
      <c r="E19" s="24">
        <v>3.0000000000000001E-3</v>
      </c>
      <c r="F19" s="25">
        <v>1.4999999999999999E-2</v>
      </c>
      <c r="G19" s="26">
        <v>0.8</v>
      </c>
      <c r="H19" s="27">
        <v>0.95</v>
      </c>
      <c r="I19" s="61">
        <v>7</v>
      </c>
      <c r="J19" s="62">
        <v>7.5</v>
      </c>
      <c r="K19" s="63">
        <f t="shared" si="4"/>
        <v>3.4944000000000003E-2</v>
      </c>
      <c r="L19" s="31">
        <f t="shared" si="4"/>
        <v>0.2223</v>
      </c>
      <c r="M19" s="71">
        <f t="shared" si="1"/>
        <v>0.12862200000000001</v>
      </c>
      <c r="N19" s="72">
        <f t="shared" si="2"/>
        <v>1.5434640000000002</v>
      </c>
      <c r="O19">
        <v>8</v>
      </c>
      <c r="P19" s="74">
        <f t="shared" si="3"/>
        <v>-6.4565359999999998</v>
      </c>
      <c r="S19" t="s">
        <v>46</v>
      </c>
    </row>
    <row r="20" spans="3:19" x14ac:dyDescent="0.35">
      <c r="C20" s="106" t="s">
        <v>26</v>
      </c>
      <c r="D20" s="53" t="s">
        <v>27</v>
      </c>
      <c r="E20" s="6">
        <v>0.18</v>
      </c>
      <c r="F20" s="7">
        <v>0.2</v>
      </c>
      <c r="G20" s="8">
        <v>0.9</v>
      </c>
      <c r="H20" s="9">
        <v>0.95</v>
      </c>
      <c r="I20" s="64">
        <v>12</v>
      </c>
      <c r="J20" s="65">
        <v>15</v>
      </c>
      <c r="K20" s="12">
        <f t="shared" si="4"/>
        <v>4.04352</v>
      </c>
      <c r="L20" s="32">
        <f t="shared" si="4"/>
        <v>5.9279999999999999</v>
      </c>
      <c r="M20" s="71">
        <f t="shared" si="1"/>
        <v>4.98576</v>
      </c>
      <c r="N20" s="72">
        <f t="shared" si="2"/>
        <v>59.829120000000003</v>
      </c>
      <c r="O20">
        <v>20</v>
      </c>
      <c r="P20" s="74">
        <f t="shared" si="3"/>
        <v>39.829120000000003</v>
      </c>
      <c r="S20" t="s">
        <v>47</v>
      </c>
    </row>
    <row r="21" spans="3:19" x14ac:dyDescent="0.35">
      <c r="C21" s="107"/>
      <c r="D21" s="56" t="s">
        <v>28</v>
      </c>
      <c r="E21" s="17">
        <v>0.25</v>
      </c>
      <c r="F21" s="18">
        <v>0.35</v>
      </c>
      <c r="G21" s="17">
        <v>0.85</v>
      </c>
      <c r="H21" s="18">
        <v>0.9</v>
      </c>
      <c r="I21" s="57">
        <v>8</v>
      </c>
      <c r="J21" s="58">
        <v>12.8</v>
      </c>
      <c r="K21" s="33">
        <f t="shared" si="4"/>
        <v>3.536</v>
      </c>
      <c r="L21" s="34">
        <f t="shared" si="4"/>
        <v>8.3865599999999993</v>
      </c>
      <c r="M21" s="71">
        <f t="shared" si="1"/>
        <v>5.9612800000000004</v>
      </c>
      <c r="N21" s="72">
        <f t="shared" si="2"/>
        <v>71.535359999999997</v>
      </c>
      <c r="O21">
        <v>15</v>
      </c>
      <c r="P21" s="74">
        <f t="shared" si="3"/>
        <v>56.535359999999997</v>
      </c>
      <c r="S21" t="s">
        <v>48</v>
      </c>
    </row>
    <row r="22" spans="3:19" x14ac:dyDescent="0.35">
      <c r="C22" s="107"/>
      <c r="D22" s="56" t="s">
        <v>29</v>
      </c>
      <c r="E22" s="17">
        <v>0.1</v>
      </c>
      <c r="F22" s="18">
        <v>0.18</v>
      </c>
      <c r="G22" s="17">
        <v>0.95</v>
      </c>
      <c r="H22" s="18">
        <v>0.98</v>
      </c>
      <c r="I22" s="57">
        <v>14.4</v>
      </c>
      <c r="J22" s="58">
        <v>16</v>
      </c>
      <c r="K22" s="33">
        <f t="shared" si="4"/>
        <v>2.84544</v>
      </c>
      <c r="L22" s="22">
        <f t="shared" si="4"/>
        <v>5.8705920000000003</v>
      </c>
      <c r="M22" s="71">
        <f t="shared" si="1"/>
        <v>4.3580160000000001</v>
      </c>
      <c r="N22" s="72">
        <f t="shared" si="2"/>
        <v>52.296192000000005</v>
      </c>
      <c r="O22">
        <v>11</v>
      </c>
      <c r="P22" s="74">
        <f t="shared" si="3"/>
        <v>41.296192000000005</v>
      </c>
      <c r="S22" t="s">
        <v>49</v>
      </c>
    </row>
    <row r="23" spans="3:19" ht="15" thickBot="1" x14ac:dyDescent="0.4">
      <c r="C23" s="108"/>
      <c r="D23" s="60" t="s">
        <v>30</v>
      </c>
      <c r="E23" s="66">
        <v>5.0000000000000001E-3</v>
      </c>
      <c r="F23" s="67">
        <v>2.5000000000000001E-2</v>
      </c>
      <c r="G23" s="26">
        <v>0.7</v>
      </c>
      <c r="H23" s="27">
        <v>0.9</v>
      </c>
      <c r="I23" s="61">
        <v>8</v>
      </c>
      <c r="J23" s="62">
        <v>14</v>
      </c>
      <c r="K23" s="68">
        <f t="shared" si="4"/>
        <v>5.8239999999999993E-2</v>
      </c>
      <c r="L23" s="31">
        <f t="shared" si="4"/>
        <v>0.65520000000000012</v>
      </c>
      <c r="M23" s="71">
        <f t="shared" si="1"/>
        <v>0.35672000000000009</v>
      </c>
      <c r="N23" s="72">
        <f t="shared" si="2"/>
        <v>4.2806400000000009</v>
      </c>
      <c r="O23">
        <v>6</v>
      </c>
      <c r="P23" s="74">
        <f t="shared" si="3"/>
        <v>-1.7193599999999991</v>
      </c>
      <c r="S23" t="s">
        <v>50</v>
      </c>
    </row>
    <row r="28" spans="3:19" ht="18.5" x14ac:dyDescent="0.45">
      <c r="C28" s="75" t="s">
        <v>0</v>
      </c>
      <c r="D28" s="75" t="s">
        <v>1</v>
      </c>
      <c r="E28" s="75" t="s">
        <v>58</v>
      </c>
      <c r="F28" s="75" t="s">
        <v>56</v>
      </c>
      <c r="G28" s="75" t="s">
        <v>57</v>
      </c>
      <c r="H28" s="75" t="s">
        <v>79</v>
      </c>
      <c r="I28" s="75" t="s">
        <v>59</v>
      </c>
    </row>
    <row r="29" spans="3:19" ht="16" x14ac:dyDescent="0.4">
      <c r="C29" s="100" t="s">
        <v>8</v>
      </c>
      <c r="D29" s="76" t="s">
        <v>9</v>
      </c>
      <c r="E29" s="92">
        <f t="shared" ref="E29:E46" si="5">G29-H29</f>
        <v>15.848575999999994</v>
      </c>
      <c r="F29" s="77">
        <v>2.1540479999999995</v>
      </c>
      <c r="G29" s="78">
        <f>F29*$O$2</f>
        <v>25.848575999999994</v>
      </c>
      <c r="H29" s="78">
        <v>10</v>
      </c>
      <c r="I29" s="76" t="s">
        <v>33</v>
      </c>
    </row>
    <row r="30" spans="3:19" ht="16" x14ac:dyDescent="0.4">
      <c r="C30" s="100"/>
      <c r="D30" s="76" t="s">
        <v>10</v>
      </c>
      <c r="E30" s="92">
        <f t="shared" si="5"/>
        <v>-0.36084800000000428</v>
      </c>
      <c r="F30" s="77">
        <v>1.6365959999999997</v>
      </c>
      <c r="G30" s="78">
        <f t="shared" ref="G30:G46" si="6">F30*$O$2</f>
        <v>19.639151999999996</v>
      </c>
      <c r="H30" s="78">
        <v>20</v>
      </c>
      <c r="I30" s="76" t="s">
        <v>61</v>
      </c>
    </row>
    <row r="31" spans="3:19" ht="16.5" thickBot="1" x14ac:dyDescent="0.45">
      <c r="C31" s="101"/>
      <c r="D31" s="83" t="s">
        <v>11</v>
      </c>
      <c r="E31" s="93">
        <f t="shared" si="5"/>
        <v>2.2543360000000021</v>
      </c>
      <c r="F31" s="85">
        <v>1.8545280000000002</v>
      </c>
      <c r="G31" s="84">
        <f t="shared" si="6"/>
        <v>22.254336000000002</v>
      </c>
      <c r="H31" s="84">
        <v>20</v>
      </c>
      <c r="I31" s="83" t="s">
        <v>62</v>
      </c>
    </row>
    <row r="32" spans="3:19" ht="16" x14ac:dyDescent="0.4">
      <c r="C32" s="102" t="s">
        <v>12</v>
      </c>
      <c r="D32" s="86" t="s">
        <v>13</v>
      </c>
      <c r="E32" s="94">
        <f t="shared" si="5"/>
        <v>-29.972096000000001</v>
      </c>
      <c r="F32" s="88">
        <v>1.6689919999999998</v>
      </c>
      <c r="G32" s="87">
        <f t="shared" si="6"/>
        <v>20.027903999999999</v>
      </c>
      <c r="H32" s="87">
        <v>50</v>
      </c>
      <c r="I32" s="86" t="s">
        <v>63</v>
      </c>
    </row>
    <row r="33" spans="3:9" ht="16" x14ac:dyDescent="0.4">
      <c r="C33" s="100"/>
      <c r="D33" s="76" t="s">
        <v>14</v>
      </c>
      <c r="E33" s="92">
        <f t="shared" si="5"/>
        <v>-26.233087999999999</v>
      </c>
      <c r="F33" s="77">
        <v>1.9805760000000001</v>
      </c>
      <c r="G33" s="78">
        <f t="shared" si="6"/>
        <v>23.766912000000001</v>
      </c>
      <c r="H33" s="78">
        <v>50</v>
      </c>
      <c r="I33" s="76" t="s">
        <v>64</v>
      </c>
    </row>
    <row r="34" spans="3:9" ht="16" x14ac:dyDescent="0.4">
      <c r="C34" s="100"/>
      <c r="D34" s="76" t="s">
        <v>15</v>
      </c>
      <c r="E34" s="92">
        <f t="shared" si="5"/>
        <v>-24.6745856</v>
      </c>
      <c r="F34" s="77">
        <v>2.1104512</v>
      </c>
      <c r="G34" s="78">
        <f t="shared" si="6"/>
        <v>25.3254144</v>
      </c>
      <c r="H34" s="78">
        <v>50</v>
      </c>
      <c r="I34" s="76" t="s">
        <v>65</v>
      </c>
    </row>
    <row r="35" spans="3:9" ht="16" x14ac:dyDescent="0.4">
      <c r="C35" s="100"/>
      <c r="D35" s="76" t="s">
        <v>16</v>
      </c>
      <c r="E35" s="92">
        <f t="shared" si="5"/>
        <v>-37.219743999999999</v>
      </c>
      <c r="F35" s="77">
        <v>1.4816880000000001</v>
      </c>
      <c r="G35" s="78">
        <f t="shared" si="6"/>
        <v>17.780256000000001</v>
      </c>
      <c r="H35" s="78">
        <v>55</v>
      </c>
      <c r="I35" s="76" t="s">
        <v>66</v>
      </c>
    </row>
    <row r="36" spans="3:9" ht="16.5" thickBot="1" x14ac:dyDescent="0.45">
      <c r="C36" s="101"/>
      <c r="D36" s="83" t="s">
        <v>17</v>
      </c>
      <c r="E36" s="93">
        <f t="shared" si="5"/>
        <v>-53.450284799999999</v>
      </c>
      <c r="F36" s="85">
        <v>1.7958096000000001</v>
      </c>
      <c r="G36" s="84">
        <f t="shared" si="6"/>
        <v>21.549715200000001</v>
      </c>
      <c r="H36" s="84">
        <v>75</v>
      </c>
      <c r="I36" s="83" t="s">
        <v>67</v>
      </c>
    </row>
    <row r="37" spans="3:9" ht="16" x14ac:dyDescent="0.4">
      <c r="C37" s="102" t="s">
        <v>18</v>
      </c>
      <c r="D37" s="86" t="s">
        <v>19</v>
      </c>
      <c r="E37" s="94">
        <f t="shared" si="5"/>
        <v>6.3126208000000013</v>
      </c>
      <c r="F37" s="88">
        <v>0.94271840000000007</v>
      </c>
      <c r="G37" s="87">
        <f t="shared" si="6"/>
        <v>11.312620800000001</v>
      </c>
      <c r="H37" s="87">
        <v>5</v>
      </c>
      <c r="I37" s="86" t="s">
        <v>68</v>
      </c>
    </row>
    <row r="38" spans="3:9" ht="16.5" thickBot="1" x14ac:dyDescent="0.45">
      <c r="C38" s="101"/>
      <c r="D38" s="83" t="s">
        <v>20</v>
      </c>
      <c r="E38" s="93">
        <f t="shared" si="5"/>
        <v>12.870624000000003</v>
      </c>
      <c r="F38" s="85">
        <v>1.0725520000000002</v>
      </c>
      <c r="G38" s="84">
        <f t="shared" si="6"/>
        <v>12.870624000000003</v>
      </c>
      <c r="H38" s="84">
        <v>0</v>
      </c>
      <c r="I38" s="83" t="s">
        <v>69</v>
      </c>
    </row>
    <row r="39" spans="3:9" ht="16" x14ac:dyDescent="0.4">
      <c r="C39" s="96" t="s">
        <v>21</v>
      </c>
      <c r="D39" s="90" t="s">
        <v>22</v>
      </c>
      <c r="E39" s="94">
        <f t="shared" si="5"/>
        <v>13.355968000000004</v>
      </c>
      <c r="F39" s="88">
        <v>2.0296640000000004</v>
      </c>
      <c r="G39" s="87">
        <f t="shared" si="6"/>
        <v>24.355968000000004</v>
      </c>
      <c r="H39" s="87">
        <v>11</v>
      </c>
      <c r="I39" s="86" t="s">
        <v>70</v>
      </c>
    </row>
    <row r="40" spans="3:9" ht="16" x14ac:dyDescent="0.4">
      <c r="C40" s="97"/>
      <c r="D40" s="79" t="s">
        <v>23</v>
      </c>
      <c r="E40" s="92">
        <f t="shared" si="5"/>
        <v>3.6062080000000005</v>
      </c>
      <c r="F40" s="77">
        <v>0.71718400000000004</v>
      </c>
      <c r="G40" s="78">
        <f t="shared" si="6"/>
        <v>8.6062080000000005</v>
      </c>
      <c r="H40" s="78">
        <v>5</v>
      </c>
      <c r="I40" s="76" t="s">
        <v>71</v>
      </c>
    </row>
    <row r="41" spans="3:9" ht="16" x14ac:dyDescent="0.4">
      <c r="C41" s="97"/>
      <c r="D41" s="79" t="s">
        <v>24</v>
      </c>
      <c r="E41" s="92">
        <f t="shared" si="5"/>
        <v>72.487808000000001</v>
      </c>
      <c r="F41" s="77">
        <v>6.8739840000000001</v>
      </c>
      <c r="G41" s="78">
        <f t="shared" si="6"/>
        <v>82.487808000000001</v>
      </c>
      <c r="H41" s="78">
        <v>10</v>
      </c>
      <c r="I41" s="76" t="s">
        <v>72</v>
      </c>
    </row>
    <row r="42" spans="3:9" ht="16.5" thickBot="1" x14ac:dyDescent="0.45">
      <c r="C42" s="98"/>
      <c r="D42" s="91" t="s">
        <v>60</v>
      </c>
      <c r="E42" s="93">
        <f t="shared" si="5"/>
        <v>-6.4565359999999998</v>
      </c>
      <c r="F42" s="85">
        <v>0.12862200000000001</v>
      </c>
      <c r="G42" s="84">
        <f t="shared" si="6"/>
        <v>1.5434640000000002</v>
      </c>
      <c r="H42" s="84">
        <v>8</v>
      </c>
      <c r="I42" s="83" t="s">
        <v>73</v>
      </c>
    </row>
    <row r="43" spans="3:9" ht="16" x14ac:dyDescent="0.4">
      <c r="C43" s="99" t="s">
        <v>26</v>
      </c>
      <c r="D43" s="89" t="s">
        <v>27</v>
      </c>
      <c r="E43" s="95">
        <f t="shared" si="5"/>
        <v>39.829120000000003</v>
      </c>
      <c r="F43" s="82">
        <v>4.98576</v>
      </c>
      <c r="G43" s="81">
        <f t="shared" si="6"/>
        <v>59.829120000000003</v>
      </c>
      <c r="H43" s="81">
        <v>20</v>
      </c>
      <c r="I43" s="80" t="s">
        <v>74</v>
      </c>
    </row>
    <row r="44" spans="3:9" ht="16" x14ac:dyDescent="0.4">
      <c r="C44" s="100"/>
      <c r="D44" s="79" t="s">
        <v>28</v>
      </c>
      <c r="E44" s="92">
        <f t="shared" si="5"/>
        <v>56.535359999999997</v>
      </c>
      <c r="F44" s="77">
        <v>5.9612800000000004</v>
      </c>
      <c r="G44" s="78">
        <f t="shared" si="6"/>
        <v>71.535359999999997</v>
      </c>
      <c r="H44" s="78">
        <v>15</v>
      </c>
      <c r="I44" s="76" t="s">
        <v>75</v>
      </c>
    </row>
    <row r="45" spans="3:9" ht="16" x14ac:dyDescent="0.4">
      <c r="C45" s="100"/>
      <c r="D45" s="79" t="s">
        <v>29</v>
      </c>
      <c r="E45" s="92">
        <f t="shared" si="5"/>
        <v>41.296192000000005</v>
      </c>
      <c r="F45" s="77">
        <v>4.3580160000000001</v>
      </c>
      <c r="G45" s="78">
        <f t="shared" si="6"/>
        <v>52.296192000000005</v>
      </c>
      <c r="H45" s="78">
        <v>11</v>
      </c>
      <c r="I45" s="76" t="s">
        <v>76</v>
      </c>
    </row>
    <row r="46" spans="3:9" ht="16" x14ac:dyDescent="0.4">
      <c r="C46" s="100"/>
      <c r="D46" s="79" t="s">
        <v>78</v>
      </c>
      <c r="E46" s="92">
        <f t="shared" si="5"/>
        <v>-1.7193599999999991</v>
      </c>
      <c r="F46" s="77">
        <v>0.35672000000000009</v>
      </c>
      <c r="G46" s="78">
        <f t="shared" si="6"/>
        <v>4.2806400000000009</v>
      </c>
      <c r="H46" s="78">
        <v>6</v>
      </c>
      <c r="I46" s="76" t="s">
        <v>77</v>
      </c>
    </row>
    <row r="47" spans="3:9" ht="7.75" customHeight="1" x14ac:dyDescent="0.35"/>
  </sheetData>
  <mergeCells count="16">
    <mergeCell ref="K4:L4"/>
    <mergeCell ref="C4:C5"/>
    <mergeCell ref="D4:D5"/>
    <mergeCell ref="E4:F4"/>
    <mergeCell ref="G4:H4"/>
    <mergeCell ref="I4:J4"/>
    <mergeCell ref="C6:C8"/>
    <mergeCell ref="C9:C13"/>
    <mergeCell ref="C14:C15"/>
    <mergeCell ref="C16:C19"/>
    <mergeCell ref="C20:C23"/>
    <mergeCell ref="C39:C42"/>
    <mergeCell ref="C43:C46"/>
    <mergeCell ref="C29:C31"/>
    <mergeCell ref="C32:C36"/>
    <mergeCell ref="C37:C38"/>
  </mergeCells>
  <conditionalFormatting sqref="E29:E4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{28D58DC9-11A8-42A9-86EC-9B67D3F5E1E8}</x14:id>
        </ext>
      </extLst>
    </cfRule>
  </conditionalFormatting>
  <conditionalFormatting sqref="P1:P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{58F21883-D70B-4FFC-950A-EACF40FB71E1}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D58DC9-11A8-42A9-86EC-9B67D3F5E1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E29:E45</xm:sqref>
        </x14:conditionalFormatting>
        <x14:conditionalFormatting xmlns:xm="http://schemas.microsoft.com/office/excel/2006/main">
          <x14:cfRule type="dataBar" id="{58F21883-D70B-4FFC-950A-EACF40FB71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P1:P1048576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d831754-bec5-4989-9045-92ee375d870c" xsi:nil="true"/>
    <have xmlns="39e3a40f-4c2d-4461-bbcf-6103dd5d99db">true</have>
    <UploadedtoiSupplier xmlns="39e3a40f-4c2d-4461-bbcf-6103dd5d99db">false</UploadedtoiSupplier>
    <Edited xmlns="39e3a40f-4c2d-4461-bbcf-6103dd5d99db" xsi:nil="true"/>
    <_ip_UnifiedCompliancePolicyProperties xmlns="http://schemas.microsoft.com/sharepoint/v3" xsi:nil="true"/>
    <lcf76f155ced4ddcb4097134ff3c332f xmlns="39e3a40f-4c2d-4461-bbcf-6103dd5d99db">
      <Terms xmlns="http://schemas.microsoft.com/office/infopath/2007/PartnerControls"/>
    </lcf76f155ced4ddcb4097134ff3c332f>
    <Notes xmlns="39e3a40f-4c2d-4461-bbcf-6103dd5d99d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D245A0B90E5E41B48A24EE7B5E0801" ma:contentTypeVersion="26" ma:contentTypeDescription="Create a new document." ma:contentTypeScope="" ma:versionID="44d9ab195c9621104e52462650ebe280">
  <xsd:schema xmlns:xsd="http://www.w3.org/2001/XMLSchema" xmlns:xs="http://www.w3.org/2001/XMLSchema" xmlns:p="http://schemas.microsoft.com/office/2006/metadata/properties" xmlns:ns1="http://schemas.microsoft.com/sharepoint/v3" xmlns:ns2="39e3a40f-4c2d-4461-bbcf-6103dd5d99db" xmlns:ns3="9d831754-bec5-4989-9045-92ee375d870c" targetNamespace="http://schemas.microsoft.com/office/2006/metadata/properties" ma:root="true" ma:fieldsID="dfa08e264cfaa79752489a737996fea6" ns1:_="" ns2:_="" ns3:_="">
    <xsd:import namespace="http://schemas.microsoft.com/sharepoint/v3"/>
    <xsd:import namespace="39e3a40f-4c2d-4461-bbcf-6103dd5d99db"/>
    <xsd:import namespace="9d831754-bec5-4989-9045-92ee375d8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Edited" minOccurs="0"/>
                <xsd:element ref="ns2:MediaServiceObjectDetectorVersions" minOccurs="0"/>
                <xsd:element ref="ns2:have" minOccurs="0"/>
                <xsd:element ref="ns2:MediaServiceSearchPropertie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UploadedtoiSupplier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e3a40f-4c2d-4461-bbcf-6103dd5d99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description="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description="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Location" ma:description="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description="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description="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description="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description="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3b9ef3b-c3eb-4338-9687-26a906f0e2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ited" ma:index="24" nillable="true" ma:displayName="Edited" ma:format="Dropdown" ma:internalName="Edited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have" ma:index="26" nillable="true" ma:displayName="have" ma:default="1" ma:format="Dropdown" ma:internalName="have">
      <xsd:simpleType>
        <xsd:restriction base="dms:Boolean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8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UploadedtoiSupplier" ma:index="31" ma:displayName="Uploaded to iSupplier" ma:default="0" ma:format="Dropdown" ma:internalName="UploadedtoiSupplier">
      <xsd:simpleType>
        <xsd:restriction base="dms:Boolean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831754-bec5-4989-9045-92ee375d87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3ce28f9-a62f-4c32-91ed-51506ba88a9a}" ma:internalName="TaxCatchAll" ma:showField="CatchAllData" ma:web="9d831754-bec5-4989-9045-92ee375d8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7F531E-9314-40F9-B0F9-761E1C8A1AD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d831754-bec5-4989-9045-92ee375d870c"/>
    <ds:schemaRef ds:uri="39e3a40f-4c2d-4461-bbcf-6103dd5d99db"/>
  </ds:schemaRefs>
</ds:datastoreItem>
</file>

<file path=customXml/itemProps2.xml><?xml version="1.0" encoding="utf-8"?>
<ds:datastoreItem xmlns:ds="http://schemas.openxmlformats.org/officeDocument/2006/customXml" ds:itemID="{F66D0F27-50F6-40E0-A70F-9D18C7AB16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9e3a40f-4c2d-4461-bbcf-6103dd5d99db"/>
    <ds:schemaRef ds:uri="9d831754-bec5-4989-9045-92ee375d87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16D328-AC1A-402B-9774-289FFF3F32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Ohad Rotem</dc:creator>
  <cp:lastModifiedBy>Chris Tynan</cp:lastModifiedBy>
  <dcterms:created xsi:type="dcterms:W3CDTF">2025-08-22T19:27:37Z</dcterms:created>
  <dcterms:modified xsi:type="dcterms:W3CDTF">2026-02-20T14:49:45Z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0x0101002AD245A0B90E5E41B48A24EE7B5E0801</vt:lpwstr>
  </property>
  <property fmtid="{D5CDD505-2E9C-101B-9397-08002B2CF9AE}" pid="3" name="MediaServiceImageTags">
    <vt:lpwstr/>
  </property>
</Properties>
</file>