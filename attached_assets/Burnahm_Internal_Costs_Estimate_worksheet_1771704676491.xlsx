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urnhamdev.sharepoint.com/sites/Corp/Shared Documents/3. Ops &amp; Admin/16. Engr and Ops/4. Tools and Templates/4.3 CapEx OpEx Models/Capex Models/"/>
    </mc:Choice>
  </mc:AlternateContent>
  <xr:revisionPtr revIDLastSave="17" documentId="8_{B939B2B7-E4BE-4365-9A24-23EFD13F274A}" xr6:coauthVersionLast="47" xr6:coauthVersionMax="47" xr10:uidLastSave="{F83F9C34-EDE6-4BFB-862D-3C663089E71A}"/>
  <bookViews>
    <workbookView xWindow="-28920" yWindow="-120" windowWidth="29040" windowHeight="15720" firstSheet="2" activeTab="5" xr2:uid="{1C4DCBFB-4662-43B6-A0BF-71B59D69643B}"/>
  </bookViews>
  <sheets>
    <sheet name="Burnham Totals" sheetId="6" r:id="rId1"/>
    <sheet name="Burnham Project Mgmt Costs-1" sheetId="8" r:id="rId2"/>
    <sheet name="Burnham Project Mgmt Costs-2" sheetId="7" r:id="rId3"/>
    <sheet name="Operations During Construction" sheetId="2" r:id="rId4"/>
    <sheet name="Spare Parts breakdown" sheetId="4" r:id="rId5"/>
    <sheet name="Fixtures and Furnishings" sheetId="9" r:id="rId6"/>
    <sheet name="Utility" sheetId="10" r:id="rId7"/>
    <sheet name="Sheet1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" l="1"/>
  <c r="F24" i="7"/>
  <c r="E12" i="4"/>
  <c r="E13" i="8"/>
  <c r="E21" i="8"/>
  <c r="E22" i="8" s="1"/>
  <c r="F22" i="10"/>
  <c r="E2" i="7"/>
  <c r="E16" i="7" s="1"/>
  <c r="E33" i="8"/>
  <c r="E27" i="8"/>
  <c r="E18" i="8"/>
  <c r="E17" i="8"/>
  <c r="E16" i="8"/>
  <c r="E15" i="8"/>
  <c r="E14" i="8"/>
  <c r="E10" i="8"/>
  <c r="E9" i="8"/>
  <c r="E8" i="8"/>
  <c r="E7" i="8"/>
  <c r="E6" i="8"/>
  <c r="E5" i="8"/>
  <c r="F29" i="7"/>
  <c r="E36" i="7" l="1"/>
  <c r="E6" i="7"/>
  <c r="E8" i="7"/>
  <c r="E10" i="7"/>
  <c r="E15" i="7"/>
  <c r="F22" i="7"/>
  <c r="E34" i="8"/>
  <c r="F44" i="7" l="1"/>
  <c r="F45" i="7"/>
  <c r="F8" i="10"/>
  <c r="F20" i="10"/>
  <c r="F19" i="10"/>
  <c r="F16" i="10"/>
  <c r="E18" i="10"/>
  <c r="F18" i="10" s="1"/>
  <c r="E17" i="10"/>
  <c r="F17" i="10" s="1"/>
  <c r="F48" i="7" l="1"/>
  <c r="C10" i="6" s="1"/>
  <c r="F15" i="10"/>
  <c r="F14" i="10"/>
  <c r="C34" i="6" s="1"/>
  <c r="F13" i="10"/>
  <c r="F12" i="10"/>
  <c r="F6" i="10" l="1"/>
  <c r="F9" i="10" s="1"/>
  <c r="F4" i="10"/>
  <c r="F5" i="10"/>
  <c r="F7" i="10"/>
  <c r="F3" i="10"/>
  <c r="F14" i="9" l="1"/>
  <c r="F13" i="9"/>
  <c r="F12" i="9"/>
  <c r="F11" i="9"/>
  <c r="F10" i="9"/>
  <c r="F9" i="9"/>
  <c r="F8" i="9"/>
  <c r="F7" i="9"/>
  <c r="F4" i="9"/>
  <c r="F5" i="9"/>
  <c r="F6" i="9"/>
  <c r="F29" i="2"/>
  <c r="F30" i="2"/>
  <c r="F28" i="2"/>
  <c r="F27" i="2"/>
  <c r="F23" i="2"/>
  <c r="F24" i="2"/>
  <c r="F18" i="2"/>
  <c r="F17" i="2"/>
  <c r="F16" i="2"/>
  <c r="F22" i="2"/>
  <c r="C14" i="6" s="1"/>
  <c r="F15" i="2"/>
  <c r="F41" i="7"/>
  <c r="F40" i="7"/>
  <c r="F39" i="7"/>
  <c r="F38" i="7"/>
  <c r="F37" i="7"/>
  <c r="F36" i="7"/>
  <c r="F35" i="7"/>
  <c r="F32" i="7"/>
  <c r="F31" i="7"/>
  <c r="F30" i="7"/>
  <c r="F19" i="8"/>
  <c r="F11" i="8"/>
  <c r="F28" i="7"/>
  <c r="F27" i="7"/>
  <c r="F26" i="7"/>
  <c r="F25" i="7"/>
  <c r="F15" i="7"/>
  <c r="F14" i="7"/>
  <c r="F12" i="7"/>
  <c r="E37" i="8"/>
  <c r="F37" i="8" s="1"/>
  <c r="F33" i="8"/>
  <c r="E28" i="8"/>
  <c r="E30" i="8" s="1"/>
  <c r="F30" i="8" s="1"/>
  <c r="F27" i="8"/>
  <c r="F22" i="8"/>
  <c r="F21" i="8"/>
  <c r="F18" i="8"/>
  <c r="C17" i="8"/>
  <c r="F17" i="8" s="1"/>
  <c r="F16" i="8"/>
  <c r="F15" i="8"/>
  <c r="F14" i="8"/>
  <c r="C13" i="8"/>
  <c r="F13" i="8" s="1"/>
  <c r="F10" i="8"/>
  <c r="C9" i="8"/>
  <c r="F9" i="8" s="1"/>
  <c r="F8" i="8"/>
  <c r="F7" i="8"/>
  <c r="F6" i="8"/>
  <c r="C5" i="8"/>
  <c r="F5" i="8" s="1"/>
  <c r="C5" i="6" s="1"/>
  <c r="F18" i="7"/>
  <c r="F13" i="7"/>
  <c r="F11" i="7"/>
  <c r="F10" i="7"/>
  <c r="F9" i="7"/>
  <c r="F8" i="7"/>
  <c r="F7" i="7"/>
  <c r="F6" i="7"/>
  <c r="C25" i="6"/>
  <c r="C6" i="6" l="1"/>
  <c r="F15" i="9"/>
  <c r="C22" i="6" s="1"/>
  <c r="F33" i="7"/>
  <c r="C8" i="6" s="1"/>
  <c r="F31" i="2"/>
  <c r="C16" i="6" s="1"/>
  <c r="F25" i="2"/>
  <c r="F20" i="2"/>
  <c r="C15" i="6" s="1"/>
  <c r="F42" i="7"/>
  <c r="C9" i="6" s="1"/>
  <c r="E35" i="8"/>
  <c r="F35" i="8" s="1"/>
  <c r="E23" i="8"/>
  <c r="F23" i="8" s="1"/>
  <c r="E24" i="8"/>
  <c r="F24" i="8" s="1"/>
  <c r="E31" i="8"/>
  <c r="F31" i="8" s="1"/>
  <c r="F34" i="8"/>
  <c r="F28" i="8"/>
  <c r="E25" i="8"/>
  <c r="F25" i="8" s="1"/>
  <c r="E29" i="8"/>
  <c r="F29" i="8" s="1"/>
  <c r="E36" i="8"/>
  <c r="F36" i="8" s="1"/>
  <c r="F16" i="7"/>
  <c r="F19" i="7"/>
  <c r="F17" i="7"/>
  <c r="E4" i="4"/>
  <c r="E5" i="4"/>
  <c r="E6" i="4"/>
  <c r="E7" i="4"/>
  <c r="E8" i="4"/>
  <c r="E9" i="4"/>
  <c r="E10" i="4"/>
  <c r="E3" i="4"/>
  <c r="F11" i="2"/>
  <c r="F10" i="2"/>
  <c r="F9" i="2"/>
  <c r="E8" i="2"/>
  <c r="F8" i="2" s="1"/>
  <c r="F7" i="2"/>
  <c r="F43" i="8" l="1"/>
  <c r="F20" i="7"/>
  <c r="C7" i="6" s="1"/>
  <c r="E6" i="2"/>
  <c r="F6" i="2" s="1"/>
  <c r="G18" i="1"/>
  <c r="F18" i="1"/>
  <c r="E5" i="2"/>
  <c r="F5" i="2" s="1"/>
  <c r="E4" i="2"/>
  <c r="F4" i="2" s="1"/>
  <c r="F13" i="2" s="1"/>
  <c r="G8" i="1"/>
  <c r="G7" i="1"/>
  <c r="G6" i="1"/>
  <c r="G17" i="1"/>
  <c r="G16" i="1"/>
  <c r="F17" i="1"/>
  <c r="F19" i="1" s="1"/>
  <c r="F16" i="1"/>
  <c r="C13" i="6" l="1"/>
  <c r="C38" i="6" s="1"/>
  <c r="C10" i="1"/>
  <c r="F10" i="1" s="1"/>
  <c r="C9" i="1"/>
  <c r="F9" i="1" s="1"/>
  <c r="C8" i="1"/>
  <c r="F8" i="1" s="1"/>
  <c r="C7" i="1"/>
  <c r="F7" i="1" s="1"/>
  <c r="E6" i="1"/>
  <c r="C6" i="1"/>
  <c r="F6" i="1" s="1"/>
  <c r="F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tc={8C8A2C51-A848-4B7C-B5C1-DCEEC1A6AC71}</author>
  </authors>
  <commentList>
    <comment ref="C7" authorId="0" shapeId="0" xr:uid="{8C8A2C51-A848-4B7C-B5C1-DCEEC1A6AC71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Verify accuracy</t>
      </text>
    </comment>
  </commentList>
</comments>
</file>

<file path=xl/sharedStrings.xml><?xml version="1.0" encoding="utf-8"?>
<sst xmlns="http://schemas.openxmlformats.org/spreadsheetml/2006/main" count="439" uniqueCount="219">
  <si>
    <t>Burnham Internal Project Costs</t>
  </si>
  <si>
    <t>Burnham Project Management Costs</t>
  </si>
  <si>
    <t>Capital Team Site Personnel</t>
  </si>
  <si>
    <t>Temporary Construction Facilities</t>
  </si>
  <si>
    <t>Construction PPE / First Aid</t>
  </si>
  <si>
    <t>3rd Party Engineering Support</t>
  </si>
  <si>
    <t>Legal Support</t>
  </si>
  <si>
    <t>Operations During Construction</t>
  </si>
  <si>
    <t>Operations Staff pre-COD</t>
  </si>
  <si>
    <t>Operational Adjustments to site</t>
  </si>
  <si>
    <t>Operations Handtools / devices</t>
  </si>
  <si>
    <t>Gas Sampling for Gas Quality</t>
  </si>
  <si>
    <t>Insurance</t>
  </si>
  <si>
    <t>Builder's Risk Policy</t>
  </si>
  <si>
    <t>Fixtures and Furnishings</t>
  </si>
  <si>
    <t>Permanent Office Furnishings</t>
  </si>
  <si>
    <t>Spare Parts</t>
  </si>
  <si>
    <t xml:space="preserve">Utilities </t>
  </si>
  <si>
    <t>Temp Power</t>
  </si>
  <si>
    <t>Permanent</t>
  </si>
  <si>
    <t>Nat. Gas</t>
  </si>
  <si>
    <t>Water</t>
  </si>
  <si>
    <t>Sewer</t>
  </si>
  <si>
    <t>IT</t>
  </si>
  <si>
    <t>Utilities During Construction</t>
  </si>
  <si>
    <t>Subtotal</t>
  </si>
  <si>
    <t>Persimmons Burnham Owners Cost Management</t>
  </si>
  <si>
    <t>Construction Personnel</t>
  </si>
  <si>
    <t>Rate</t>
  </si>
  <si>
    <t>UOM</t>
  </si>
  <si>
    <t>QTY</t>
  </si>
  <si>
    <t>Total</t>
  </si>
  <si>
    <t>Needs update?</t>
  </si>
  <si>
    <t>C-PM</t>
  </si>
  <si>
    <t>HR</t>
  </si>
  <si>
    <t>Yes</t>
  </si>
  <si>
    <t>Need to confirm burdened rate</t>
  </si>
  <si>
    <t>C-PM Rental Car</t>
  </si>
  <si>
    <t>MO</t>
  </si>
  <si>
    <t>No</t>
  </si>
  <si>
    <t>C-PM Hotel</t>
  </si>
  <si>
    <t>C-PM Flight</t>
  </si>
  <si>
    <t>C-PM Incidental</t>
  </si>
  <si>
    <t>C-PM Fuel</t>
  </si>
  <si>
    <t>C-PM Training</t>
  </si>
  <si>
    <t>LS</t>
  </si>
  <si>
    <t>C-PE</t>
  </si>
  <si>
    <t>C-PE Rental Car</t>
  </si>
  <si>
    <t>C-PE Hotel</t>
  </si>
  <si>
    <t>C-PE Flight</t>
  </si>
  <si>
    <t>C-PE Incidental</t>
  </si>
  <si>
    <t>C-PE Fuel</t>
  </si>
  <si>
    <t>CP Team Flights</t>
  </si>
  <si>
    <t>EA</t>
  </si>
  <si>
    <t>Should be part of  Burnham Mgmt fee?</t>
  </si>
  <si>
    <t>CP Team Hotel</t>
  </si>
  <si>
    <t>Day</t>
  </si>
  <si>
    <t>CP Team Rental Car</t>
  </si>
  <si>
    <t>CP Team M&amp;IE</t>
  </si>
  <si>
    <t>CP Team Fuel</t>
  </si>
  <si>
    <t>ENG Team Flights</t>
  </si>
  <si>
    <t>ENG Team Hotel</t>
  </si>
  <si>
    <t>ENG Team Rental Car</t>
  </si>
  <si>
    <t>ENG Team M&amp;IE</t>
  </si>
  <si>
    <t>ENG Team Fuel</t>
  </si>
  <si>
    <t>DC Team Flights</t>
  </si>
  <si>
    <t>DC Team Hotel</t>
  </si>
  <si>
    <t>DC Team Rental Car</t>
  </si>
  <si>
    <t>DC Team M&amp;IE</t>
  </si>
  <si>
    <t>DC Team Fuel</t>
  </si>
  <si>
    <t>Description</t>
  </si>
  <si>
    <t>Construction Office</t>
  </si>
  <si>
    <t>Construction Office Trailer</t>
  </si>
  <si>
    <t>Office trailer rental</t>
  </si>
  <si>
    <t>Construction Office Furnishing</t>
  </si>
  <si>
    <t>Chairs/tables/fridge</t>
  </si>
  <si>
    <t>Construction Office Supplies</t>
  </si>
  <si>
    <t>Monitors/paper/pens</t>
  </si>
  <si>
    <t>Construction Printer</t>
  </si>
  <si>
    <t>11x17 printer</t>
  </si>
  <si>
    <t>Construction Internet</t>
  </si>
  <si>
    <t>Remote internet</t>
  </si>
  <si>
    <t>Construction IT Supplies</t>
  </si>
  <si>
    <t>Modems etc</t>
  </si>
  <si>
    <t>Project Drawing Sets</t>
  </si>
  <si>
    <t>Construction Software Licenses</t>
  </si>
  <si>
    <t>P3, Bluebeam</t>
  </si>
  <si>
    <t>Storage Container</t>
  </si>
  <si>
    <t>Mo</t>
  </si>
  <si>
    <t>Construction Water/tea/coffee</t>
  </si>
  <si>
    <t>Water/coffee/tea for office</t>
  </si>
  <si>
    <t>Multivista</t>
  </si>
  <si>
    <t>Construction Office Subtotal</t>
  </si>
  <si>
    <t>Engineering Post FID</t>
  </si>
  <si>
    <t>inc.20% for anticipated changes</t>
  </si>
  <si>
    <t>Vendor Engineering (Misc)</t>
  </si>
  <si>
    <t>Burnham Equipment Vendor - Additional Design</t>
  </si>
  <si>
    <t>Geotechnical Engineering  Construction Admin</t>
  </si>
  <si>
    <t>Environmental Permitting Support</t>
  </si>
  <si>
    <t>Misc Permit Fees</t>
  </si>
  <si>
    <t>Surveying</t>
  </si>
  <si>
    <t>Engineering Post FID Subtotal</t>
  </si>
  <si>
    <t>First Aid / PPE</t>
  </si>
  <si>
    <t xml:space="preserve"> Construction First Aid Kit/AED</t>
  </si>
  <si>
    <t>First aid kit and aed</t>
  </si>
  <si>
    <t>PPE</t>
  </si>
  <si>
    <t>Hard Hat, glasses, ear protection, H2S monitors</t>
  </si>
  <si>
    <t>Site Signage</t>
  </si>
  <si>
    <t>Signage for around site</t>
  </si>
  <si>
    <t>Saftety Training</t>
  </si>
  <si>
    <t>Safety Incentive / Safety Apprectiation</t>
  </si>
  <si>
    <t>Construction Legal Support (K&amp;L Gates) - Ryan</t>
  </si>
  <si>
    <t>Prevaling Wage Admin Support</t>
  </si>
  <si>
    <t>ITC Legal Support (H&amp;K)</t>
  </si>
  <si>
    <t>Construction Legal Subtotal</t>
  </si>
  <si>
    <t>Ops During Construction</t>
  </si>
  <si>
    <t>Operator A</t>
  </si>
  <si>
    <t>Operator B</t>
  </si>
  <si>
    <t>Operations Director/Manager</t>
  </si>
  <si>
    <t>Ops Flights</t>
  </si>
  <si>
    <t>Ops Hotel</t>
  </si>
  <si>
    <t>Ops Rental Car</t>
  </si>
  <si>
    <t>Ops M&amp;IE</t>
  </si>
  <si>
    <t>Ops Fuel</t>
  </si>
  <si>
    <t>Ops During Construction Personnel Subtotal</t>
  </si>
  <si>
    <t>Ops During Construction Tools</t>
  </si>
  <si>
    <t>Ops equipment</t>
  </si>
  <si>
    <t>Hand held gas analyzer, Fluke equipment</t>
  </si>
  <si>
    <t>Ops Hand tools</t>
  </si>
  <si>
    <t>Tool sets for maintenance</t>
  </si>
  <si>
    <t>Ops During Construction Tools Subtotal</t>
  </si>
  <si>
    <t>Ops Plant Adjustments</t>
  </si>
  <si>
    <t>Ops plant adjustments</t>
  </si>
  <si>
    <t>Misc. infrastructure requests by Ops</t>
  </si>
  <si>
    <t>Pre-Injection Gas Sampling / Comissioning</t>
  </si>
  <si>
    <t>Gas Samples</t>
  </si>
  <si>
    <t>ea</t>
  </si>
  <si>
    <t>Calibration Gas</t>
  </si>
  <si>
    <t>Additional Vendor Trips / Troubles</t>
  </si>
  <si>
    <t>Equipment</t>
  </si>
  <si>
    <t>Vendor</t>
  </si>
  <si>
    <t>Value</t>
  </si>
  <si>
    <t>Spare Parts Value</t>
  </si>
  <si>
    <t>Biogas Blower</t>
  </si>
  <si>
    <t>TBD</t>
  </si>
  <si>
    <t>H2S Removal</t>
  </si>
  <si>
    <t>EcoVapor</t>
  </si>
  <si>
    <t>GUU</t>
  </si>
  <si>
    <t>Prodeval</t>
  </si>
  <si>
    <t>DeOx</t>
  </si>
  <si>
    <t>Blending Skid</t>
  </si>
  <si>
    <t>Standby Systems</t>
  </si>
  <si>
    <t>PG Compressor</t>
  </si>
  <si>
    <t>ACS</t>
  </si>
  <si>
    <t>Flare</t>
  </si>
  <si>
    <t>Zeeco</t>
  </si>
  <si>
    <t>Misc</t>
  </si>
  <si>
    <t>Multiple</t>
  </si>
  <si>
    <t>Subtotal=</t>
  </si>
  <si>
    <t>Owner Fixtures and Furnishings</t>
  </si>
  <si>
    <t>Operations Office Furnishing</t>
  </si>
  <si>
    <t>Chairs/tables/water cooler/fridge</t>
  </si>
  <si>
    <t>Operations office Supplies</t>
  </si>
  <si>
    <t>Printer/monitors etc.</t>
  </si>
  <si>
    <t>Ops First Aid Kit/AED</t>
  </si>
  <si>
    <t>Operations IT Set-up</t>
  </si>
  <si>
    <t>Labeling / Signage</t>
  </si>
  <si>
    <t>Monument Sign</t>
  </si>
  <si>
    <t>Storage Shelving</t>
  </si>
  <si>
    <t>Misc F&amp;F</t>
  </si>
  <si>
    <t>Subtotal Owner Fixtures and Furnishings</t>
  </si>
  <si>
    <t>Notes</t>
  </si>
  <si>
    <t>Utility Interconnects</t>
  </si>
  <si>
    <t>Perm Power</t>
  </si>
  <si>
    <t>Wrapped into Interconnect</t>
  </si>
  <si>
    <t>Internet</t>
  </si>
  <si>
    <t>Subtotal Utility Interconnects</t>
  </si>
  <si>
    <t>Utility Usage</t>
  </si>
  <si>
    <t>Monthly Water</t>
  </si>
  <si>
    <t>1000 Gallons</t>
  </si>
  <si>
    <t>50$ minimum assumed</t>
  </si>
  <si>
    <t>Monthly Sewer</t>
  </si>
  <si>
    <t>Water Total</t>
  </si>
  <si>
    <t>Sewer Total</t>
  </si>
  <si>
    <t>kWh</t>
  </si>
  <si>
    <t>MMBTU</t>
  </si>
  <si>
    <t>Internet bills</t>
  </si>
  <si>
    <t>Subtotal Utility Usage</t>
  </si>
  <si>
    <t>Persimmon</t>
  </si>
  <si>
    <t>Project Delivery (Mark's Team)</t>
  </si>
  <si>
    <t>Annual Cost</t>
  </si>
  <si>
    <t>Allocation</t>
  </si>
  <si>
    <t>Duration</t>
  </si>
  <si>
    <t>Cost</t>
  </si>
  <si>
    <t>$K</t>
  </si>
  <si>
    <t>%</t>
  </si>
  <si>
    <t>Months</t>
  </si>
  <si>
    <t>$/hr</t>
  </si>
  <si>
    <t>SPM</t>
  </si>
  <si>
    <t>Trailer</t>
  </si>
  <si>
    <t>Other</t>
  </si>
  <si>
    <t>Person A</t>
  </si>
  <si>
    <t>Person B</t>
  </si>
  <si>
    <t>Ops Manager</t>
  </si>
  <si>
    <t>Added by SC, not sure if it needs to be included</t>
  </si>
  <si>
    <t>2080 Man-Hours/ Yr</t>
  </si>
  <si>
    <t>Air Permit in Buisness Development Fees</t>
  </si>
  <si>
    <t>First Aid / PPE Subtotal</t>
  </si>
  <si>
    <t>Ribbon Cutting</t>
  </si>
  <si>
    <t>Received ROM from GRDA</t>
  </si>
  <si>
    <t>Carried elsewhere</t>
  </si>
  <si>
    <t>Construction Months</t>
  </si>
  <si>
    <t>BOP Engineering Design</t>
  </si>
  <si>
    <t>BOP Engineering Construction Admin</t>
  </si>
  <si>
    <t>Engineering Commissioning</t>
  </si>
  <si>
    <t>MULTIPLIER</t>
  </si>
  <si>
    <t>Note -likley high water bill, filling digesters X3</t>
  </si>
  <si>
    <t>RDU/DC Mgmt Expenses</t>
  </si>
  <si>
    <t>Lagoon / Liner QC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</si>
</sst>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$-409]#,##0_);\([$$-409]#,##0\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FF"/>
      <name val="Calibri"/>
      <family val="2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5" fillId="0" borderId="0" xfId="0" applyNumberFormat="1" applyFont="1"/>
    <xf numFmtId="9" fontId="5" fillId="0" borderId="0" xfId="0" applyNumberFormat="1" applyFont="1"/>
    <xf numFmtId="0" fontId="5" fillId="0" borderId="0" xfId="0" applyFont="1"/>
    <xf numFmtId="164" fontId="4" fillId="0" borderId="0" xfId="0" applyNumberFormat="1" applyFont="1"/>
    <xf numFmtId="0" fontId="4" fillId="0" borderId="1" xfId="0" applyFont="1" applyBorder="1"/>
    <xf numFmtId="164" fontId="5" fillId="0" borderId="1" xfId="0" applyNumberFormat="1" applyFont="1" applyBorder="1"/>
    <xf numFmtId="9" fontId="5" fillId="0" borderId="1" xfId="0" applyNumberFormat="1" applyFont="1" applyBorder="1"/>
    <xf numFmtId="0" fontId="5" fillId="0" borderId="1" xfId="0" applyFont="1" applyBorder="1"/>
    <xf numFmtId="164" fontId="4" fillId="0" borderId="1" xfId="0" applyNumberFormat="1" applyFont="1" applyBorder="1"/>
    <xf numFmtId="164" fontId="3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44" fontId="0" fillId="0" borderId="0" xfId="1" applyFont="1"/>
    <xf numFmtId="2" fontId="0" fillId="0" borderId="0" xfId="1" applyNumberFormat="1" applyFont="1"/>
    <xf numFmtId="1" fontId="0" fillId="0" borderId="0" xfId="0" applyNumberFormat="1"/>
    <xf numFmtId="0" fontId="4" fillId="3" borderId="1" xfId="0" applyFont="1" applyFill="1" applyBorder="1"/>
    <xf numFmtId="164" fontId="5" fillId="3" borderId="1" xfId="0" applyNumberFormat="1" applyFont="1" applyFill="1" applyBorder="1"/>
    <xf numFmtId="9" fontId="5" fillId="3" borderId="1" xfId="0" applyNumberFormat="1" applyFont="1" applyFill="1" applyBorder="1"/>
    <xf numFmtId="0" fontId="5" fillId="3" borderId="1" xfId="0" applyFont="1" applyFill="1" applyBorder="1"/>
    <xf numFmtId="164" fontId="4" fillId="3" borderId="0" xfId="0" applyNumberFormat="1" applyFont="1" applyFill="1"/>
    <xf numFmtId="2" fontId="0" fillId="3" borderId="0" xfId="0" applyNumberFormat="1" applyFill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7" fillId="0" borderId="0" xfId="0" applyFont="1" applyAlignment="1">
      <alignment horizontal="left"/>
    </xf>
    <xf numFmtId="0" fontId="0" fillId="4" borderId="3" xfId="0" applyFill="1" applyBorder="1" applyAlignment="1">
      <alignment horizontal="right"/>
    </xf>
    <xf numFmtId="0" fontId="0" fillId="4" borderId="3" xfId="0" applyFill="1" applyBorder="1"/>
    <xf numFmtId="1" fontId="0" fillId="4" borderId="3" xfId="0" applyNumberFormat="1" applyFill="1" applyBorder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left"/>
    </xf>
    <xf numFmtId="0" fontId="0" fillId="0" borderId="3" xfId="0" applyBorder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0" borderId="4" xfId="0" applyBorder="1"/>
    <xf numFmtId="3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right"/>
    </xf>
    <xf numFmtId="3" fontId="0" fillId="0" borderId="3" xfId="0" applyNumberFormat="1" applyBorder="1"/>
    <xf numFmtId="0" fontId="0" fillId="6" borderId="0" xfId="0" applyFill="1" applyAlignment="1">
      <alignment horizontal="center"/>
    </xf>
    <xf numFmtId="0" fontId="0" fillId="6" borderId="0" xfId="0" applyFill="1"/>
    <xf numFmtId="1" fontId="0" fillId="6" borderId="0" xfId="0" applyNumberFormat="1" applyFill="1"/>
    <xf numFmtId="3" fontId="8" fillId="7" borderId="0" xfId="0" applyNumberFormat="1" applyFont="1" applyFill="1" applyAlignment="1">
      <alignment horizontal="right" indent="1"/>
    </xf>
    <xf numFmtId="0" fontId="2" fillId="0" borderId="0" xfId="0" applyFont="1"/>
    <xf numFmtId="17" fontId="0" fillId="0" borderId="0" xfId="0" applyNumberFormat="1"/>
    <xf numFmtId="0" fontId="2" fillId="0" borderId="3" xfId="0" applyFont="1" applyBorder="1"/>
    <xf numFmtId="0" fontId="0" fillId="0" borderId="5" xfId="0" applyBorder="1"/>
    <xf numFmtId="3" fontId="0" fillId="0" borderId="5" xfId="0" applyNumberFormat="1" applyBorder="1"/>
    <xf numFmtId="0" fontId="0" fillId="4" borderId="1" xfId="0" applyFill="1" applyBorder="1" applyAlignment="1">
      <alignment horizontal="right"/>
    </xf>
    <xf numFmtId="3" fontId="0" fillId="4" borderId="1" xfId="0" applyNumberFormat="1" applyFill="1" applyBorder="1"/>
    <xf numFmtId="0" fontId="0" fillId="8" borderId="3" xfId="0" applyFill="1" applyBorder="1"/>
    <xf numFmtId="0" fontId="0" fillId="9" borderId="0" xfId="0" applyFill="1"/>
    <xf numFmtId="44" fontId="0" fillId="0" borderId="0" xfId="0" applyNumberForma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an Carver" id="{66EFBCDC-52AD-49C8-8B52-162E9A6E7AF4}" userId="S::sean@burnhamrng.com::9259d0f7-1cce-4487-8e77-8bca892e908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5-06-24T16:52:52.32" personId="{66EFBCDC-52AD-49C8-8B52-162E9A6E7AF4}" id="{8C8A2C51-A848-4B7C-B5C1-DCEEC1A6AC71}">
    <text>Verify accuracy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41FF-30D3-4E59-B49B-84792025CE09}">
  <dimension ref="B2:F38"/>
  <sheetViews>
    <sheetView topLeftCell="A10" zoomScale="110" zoomScaleNormal="110" workbookViewId="0">
      <selection activeCell="C13" sqref="C13:C16"/>
    </sheetView>
  </sheetViews>
  <sheetFormatPr defaultRowHeight="15" x14ac:dyDescent="0.25"/>
  <cols>
    <col min="1" max="1" width="5.85546875" customWidth="1"/>
    <col min="2" max="2" width="39.140625" customWidth="1"/>
    <col min="3" max="3" width="13.42578125" bestFit="1" customWidth="1"/>
    <col min="4" max="4" width="18.7109375" customWidth="1"/>
    <col min="5" max="5" width="16" customWidth="1"/>
    <col min="6" max="6" width="15.5703125" customWidth="1"/>
  </cols>
  <sheetData>
    <row r="2" spans="2:6" x14ac:dyDescent="0.25">
      <c r="B2" s="64" t="s">
        <v>0</v>
      </c>
      <c r="C2" s="64"/>
    </row>
    <row r="4" spans="2:6" x14ac:dyDescent="0.25">
      <c r="B4" t="s">
        <v>1</v>
      </c>
      <c r="C4" s="31"/>
    </row>
    <row r="5" spans="2:6" x14ac:dyDescent="0.25">
      <c r="B5" s="51" t="s">
        <v>2</v>
      </c>
      <c r="C5" s="52">
        <f>SUM('Burnham Project Mgmt Costs-1'!F5:F19)</f>
        <v>913996.05039999995</v>
      </c>
      <c r="E5" s="20"/>
    </row>
    <row r="6" spans="2:6" x14ac:dyDescent="0.25">
      <c r="B6" s="51" t="s">
        <v>217</v>
      </c>
      <c r="C6" s="52">
        <f>SUM('Burnham Project Mgmt Costs-1'!F21:F37)</f>
        <v>187950</v>
      </c>
      <c r="E6" s="20"/>
    </row>
    <row r="7" spans="2:6" x14ac:dyDescent="0.25">
      <c r="B7" s="49" t="s">
        <v>3</v>
      </c>
      <c r="C7" s="48">
        <f>'Burnham Project Mgmt Costs-2'!F20</f>
        <v>130730</v>
      </c>
      <c r="E7" s="20"/>
      <c r="F7" s="58"/>
    </row>
    <row r="8" spans="2:6" x14ac:dyDescent="0.25">
      <c r="B8" s="49" t="s">
        <v>5</v>
      </c>
      <c r="C8" s="48">
        <f>'Burnham Project Mgmt Costs-2'!F33</f>
        <v>45000</v>
      </c>
      <c r="E8" s="20"/>
    </row>
    <row r="9" spans="2:6" x14ac:dyDescent="0.25">
      <c r="B9" s="49" t="s">
        <v>4</v>
      </c>
      <c r="C9" s="48">
        <f>'Burnham Project Mgmt Costs-2'!F42</f>
        <v>25450</v>
      </c>
      <c r="E9" s="20"/>
      <c r="F9" s="58"/>
    </row>
    <row r="10" spans="2:6" x14ac:dyDescent="0.25">
      <c r="B10" s="49" t="s">
        <v>6</v>
      </c>
      <c r="C10" s="48">
        <f>'Burnham Project Mgmt Costs-2'!F48</f>
        <v>60000</v>
      </c>
      <c r="E10" s="20"/>
      <c r="F10" s="58"/>
    </row>
    <row r="11" spans="2:6" ht="15.95" customHeight="1" x14ac:dyDescent="0.25">
      <c r="B11" s="49"/>
      <c r="C11" s="48"/>
    </row>
    <row r="12" spans="2:6" x14ac:dyDescent="0.25">
      <c r="B12" s="50" t="s">
        <v>7</v>
      </c>
      <c r="C12" s="48"/>
    </row>
    <row r="13" spans="2:6" x14ac:dyDescent="0.25">
      <c r="B13" s="49" t="s">
        <v>8</v>
      </c>
      <c r="C13" s="48">
        <f>SUM('Operations During Construction'!F4:F11)</f>
        <v>215997.59999999998</v>
      </c>
    </row>
    <row r="14" spans="2:6" x14ac:dyDescent="0.25">
      <c r="B14" s="49" t="s">
        <v>9</v>
      </c>
      <c r="C14" s="48">
        <f>'Operations During Construction'!F22</f>
        <v>100000</v>
      </c>
    </row>
    <row r="15" spans="2:6" x14ac:dyDescent="0.25">
      <c r="B15" s="49" t="s">
        <v>10</v>
      </c>
      <c r="C15" s="48">
        <f>'Operations During Construction'!F20</f>
        <v>17500</v>
      </c>
    </row>
    <row r="16" spans="2:6" x14ac:dyDescent="0.25">
      <c r="B16" s="49" t="s">
        <v>11</v>
      </c>
      <c r="C16" s="48">
        <f>'Operations During Construction'!F31</f>
        <v>92250</v>
      </c>
    </row>
    <row r="17" spans="2:4" x14ac:dyDescent="0.25">
      <c r="B17" s="47"/>
      <c r="C17" s="48"/>
    </row>
    <row r="18" spans="2:4" x14ac:dyDescent="0.25">
      <c r="B18" s="47" t="s">
        <v>12</v>
      </c>
      <c r="C18" s="48"/>
    </row>
    <row r="19" spans="2:4" x14ac:dyDescent="0.25">
      <c r="B19" s="49" t="s">
        <v>13</v>
      </c>
      <c r="C19" s="56"/>
      <c r="D19" t="s">
        <v>215</v>
      </c>
    </row>
    <row r="20" spans="2:4" x14ac:dyDescent="0.25">
      <c r="B20" s="47"/>
      <c r="C20" s="48"/>
    </row>
    <row r="21" spans="2:4" x14ac:dyDescent="0.25">
      <c r="B21" s="50" t="s">
        <v>14</v>
      </c>
      <c r="C21" s="48"/>
    </row>
    <row r="22" spans="2:4" x14ac:dyDescent="0.25">
      <c r="B22" s="49" t="s">
        <v>15</v>
      </c>
      <c r="C22" s="48">
        <f>'Fixtures and Furnishings'!F15</f>
        <v>247150</v>
      </c>
    </row>
    <row r="23" spans="2:4" x14ac:dyDescent="0.25">
      <c r="B23" s="47"/>
      <c r="C23" s="48"/>
    </row>
    <row r="24" spans="2:4" x14ac:dyDescent="0.25">
      <c r="B24" s="50" t="s">
        <v>16</v>
      </c>
      <c r="C24" s="47"/>
    </row>
    <row r="25" spans="2:4" x14ac:dyDescent="0.25">
      <c r="B25" s="49" t="s">
        <v>16</v>
      </c>
      <c r="C25" s="48">
        <f>'Spare Parts breakdown'!E12</f>
        <v>653551.90249999997</v>
      </c>
    </row>
    <row r="26" spans="2:4" x14ac:dyDescent="0.25">
      <c r="B26" s="47"/>
      <c r="C26" s="48"/>
    </row>
    <row r="27" spans="2:4" x14ac:dyDescent="0.25">
      <c r="B27" s="50" t="s">
        <v>17</v>
      </c>
      <c r="C27" s="48"/>
    </row>
    <row r="28" spans="2:4" x14ac:dyDescent="0.25">
      <c r="B28" s="49" t="s">
        <v>18</v>
      </c>
      <c r="C28" s="48">
        <v>5000</v>
      </c>
    </row>
    <row r="29" spans="2:4" x14ac:dyDescent="0.25">
      <c r="B29" s="49" t="s">
        <v>19</v>
      </c>
      <c r="C29" s="48">
        <v>160000</v>
      </c>
    </row>
    <row r="30" spans="2:4" x14ac:dyDescent="0.25">
      <c r="B30" s="49" t="s">
        <v>20</v>
      </c>
      <c r="C30" s="48">
        <v>0</v>
      </c>
    </row>
    <row r="31" spans="2:4" x14ac:dyDescent="0.25">
      <c r="B31" s="49" t="s">
        <v>21</v>
      </c>
      <c r="C31" s="48">
        <v>0</v>
      </c>
    </row>
    <row r="32" spans="2:4" x14ac:dyDescent="0.25">
      <c r="B32" s="49" t="s">
        <v>22</v>
      </c>
      <c r="C32" s="48">
        <v>0</v>
      </c>
    </row>
    <row r="33" spans="2:3" x14ac:dyDescent="0.25">
      <c r="B33" s="49" t="s">
        <v>23</v>
      </c>
      <c r="C33" s="48">
        <v>2500</v>
      </c>
    </row>
    <row r="34" spans="2:3" x14ac:dyDescent="0.25">
      <c r="B34" s="49" t="s">
        <v>24</v>
      </c>
      <c r="C34" s="48">
        <f>Utility!F20</f>
        <v>77601.88</v>
      </c>
    </row>
    <row r="35" spans="2:3" x14ac:dyDescent="0.25">
      <c r="B35" s="18"/>
      <c r="C35" s="31"/>
    </row>
    <row r="36" spans="2:3" x14ac:dyDescent="0.25">
      <c r="B36" s="50" t="s">
        <v>208</v>
      </c>
      <c r="C36" s="48">
        <v>75000</v>
      </c>
    </row>
    <row r="37" spans="2:3" ht="15.75" thickBot="1" x14ac:dyDescent="0.3">
      <c r="B37" s="60"/>
      <c r="C37" s="61"/>
    </row>
    <row r="38" spans="2:3" ht="16.5" thickTop="1" thickBot="1" x14ac:dyDescent="0.3">
      <c r="B38" s="62" t="s">
        <v>25</v>
      </c>
      <c r="C38" s="63">
        <f>SUM(C5:C37)</f>
        <v>3009677.4328999999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0C2B-EC2C-45F5-ADEF-F926D8CBCAA9}">
  <dimension ref="B1:H43"/>
  <sheetViews>
    <sheetView view="pageBreakPreview" zoomScaleNormal="100" zoomScaleSheetLayoutView="100" workbookViewId="0">
      <selection activeCell="E2" sqref="E2"/>
    </sheetView>
  </sheetViews>
  <sheetFormatPr defaultRowHeight="15" x14ac:dyDescent="0.25"/>
  <cols>
    <col min="1" max="1" width="1.85546875" customWidth="1"/>
    <col min="2" max="2" width="31.42578125" customWidth="1"/>
    <col min="6" max="6" width="11" customWidth="1"/>
    <col min="7" max="7" width="26.140625" customWidth="1"/>
    <col min="8" max="8" width="46.42578125" customWidth="1"/>
  </cols>
  <sheetData>
    <row r="1" spans="2:8" x14ac:dyDescent="0.25">
      <c r="G1" s="16"/>
    </row>
    <row r="2" spans="2:8" x14ac:dyDescent="0.25">
      <c r="B2" s="67" t="s">
        <v>26</v>
      </c>
      <c r="C2" s="67"/>
      <c r="D2" s="67"/>
      <c r="E2" s="65">
        <v>18</v>
      </c>
      <c r="F2" t="s">
        <v>211</v>
      </c>
      <c r="G2" s="16"/>
    </row>
    <row r="3" spans="2:8" x14ac:dyDescent="0.25">
      <c r="G3" s="16"/>
    </row>
    <row r="4" spans="2:8" ht="15.75" thickBot="1" x14ac:dyDescent="0.3">
      <c r="B4" s="34" t="s">
        <v>27</v>
      </c>
      <c r="C4" s="34" t="s">
        <v>28</v>
      </c>
      <c r="D4" s="34" t="s">
        <v>29</v>
      </c>
      <c r="E4" s="34" t="s">
        <v>30</v>
      </c>
      <c r="F4" s="34" t="s">
        <v>31</v>
      </c>
      <c r="G4" s="34" t="s">
        <v>32</v>
      </c>
      <c r="H4" s="35"/>
    </row>
    <row r="5" spans="2:8" x14ac:dyDescent="0.25">
      <c r="B5" s="18" t="s">
        <v>33</v>
      </c>
      <c r="C5" s="21">
        <f>72.12*1.55</f>
        <v>111.78600000000002</v>
      </c>
      <c r="D5" s="19" t="s">
        <v>34</v>
      </c>
      <c r="E5">
        <f>((E2*4.33)*40)</f>
        <v>3117.6</v>
      </c>
      <c r="F5" s="19">
        <f t="shared" ref="F5:F11" si="0">C5*E5</f>
        <v>348504.03360000002</v>
      </c>
      <c r="G5" s="53" t="s">
        <v>35</v>
      </c>
      <c r="H5" t="s">
        <v>36</v>
      </c>
    </row>
    <row r="6" spans="2:8" x14ac:dyDescent="0.25">
      <c r="B6" s="18" t="s">
        <v>37</v>
      </c>
      <c r="C6">
        <v>3500</v>
      </c>
      <c r="D6" t="s">
        <v>38</v>
      </c>
      <c r="E6">
        <f>$E$2</f>
        <v>18</v>
      </c>
      <c r="F6" s="19">
        <f t="shared" si="0"/>
        <v>63000</v>
      </c>
      <c r="G6" s="16" t="s">
        <v>39</v>
      </c>
    </row>
    <row r="7" spans="2:8" x14ac:dyDescent="0.25">
      <c r="B7" s="18" t="s">
        <v>40</v>
      </c>
      <c r="C7">
        <v>4000</v>
      </c>
      <c r="D7" t="s">
        <v>38</v>
      </c>
      <c r="E7">
        <f>$E$2</f>
        <v>18</v>
      </c>
      <c r="F7" s="19">
        <f t="shared" si="0"/>
        <v>72000</v>
      </c>
      <c r="G7" s="16" t="s">
        <v>39</v>
      </c>
    </row>
    <row r="8" spans="2:8" x14ac:dyDescent="0.25">
      <c r="B8" s="18" t="s">
        <v>41</v>
      </c>
      <c r="C8">
        <v>850</v>
      </c>
      <c r="D8" t="s">
        <v>38</v>
      </c>
      <c r="E8">
        <f>$E$2</f>
        <v>18</v>
      </c>
      <c r="F8" s="19">
        <f t="shared" si="0"/>
        <v>15300</v>
      </c>
      <c r="G8" s="16" t="s">
        <v>39</v>
      </c>
    </row>
    <row r="9" spans="2:8" x14ac:dyDescent="0.25">
      <c r="B9" s="18" t="s">
        <v>42</v>
      </c>
      <c r="C9">
        <f>68*30</f>
        <v>2040</v>
      </c>
      <c r="D9" t="s">
        <v>38</v>
      </c>
      <c r="E9">
        <f>$E$2</f>
        <v>18</v>
      </c>
      <c r="F9" s="19">
        <f t="shared" si="0"/>
        <v>36720</v>
      </c>
      <c r="G9" s="16" t="s">
        <v>39</v>
      </c>
    </row>
    <row r="10" spans="2:8" x14ac:dyDescent="0.25">
      <c r="B10" s="18" t="s">
        <v>43</v>
      </c>
      <c r="C10">
        <v>200</v>
      </c>
      <c r="D10" t="s">
        <v>38</v>
      </c>
      <c r="E10">
        <f>$E$2</f>
        <v>18</v>
      </c>
      <c r="F10" s="19">
        <f t="shared" si="0"/>
        <v>3600</v>
      </c>
      <c r="G10" s="16" t="s">
        <v>39</v>
      </c>
    </row>
    <row r="11" spans="2:8" x14ac:dyDescent="0.25">
      <c r="B11" s="18" t="s">
        <v>44</v>
      </c>
      <c r="C11">
        <v>2500</v>
      </c>
      <c r="D11" t="s">
        <v>45</v>
      </c>
      <c r="E11">
        <v>2</v>
      </c>
      <c r="F11" s="19">
        <f t="shared" si="0"/>
        <v>5000</v>
      </c>
      <c r="G11" s="16" t="s">
        <v>39</v>
      </c>
    </row>
    <row r="12" spans="2:8" x14ac:dyDescent="0.25">
      <c r="F12" s="19"/>
      <c r="G12" s="16"/>
    </row>
    <row r="13" spans="2:8" x14ac:dyDescent="0.25">
      <c r="B13" s="18" t="s">
        <v>46</v>
      </c>
      <c r="C13" s="21">
        <f>48.08*1.55</f>
        <v>74.524000000000001</v>
      </c>
      <c r="D13" s="19" t="s">
        <v>34</v>
      </c>
      <c r="E13">
        <f>((E2*0.75*4.33)*40)</f>
        <v>2338.1999999999998</v>
      </c>
      <c r="F13" s="19">
        <f t="shared" ref="F13:F19" si="1">C13*E13</f>
        <v>174252.01679999998</v>
      </c>
      <c r="G13" s="53" t="s">
        <v>35</v>
      </c>
      <c r="H13" t="s">
        <v>36</v>
      </c>
    </row>
    <row r="14" spans="2:8" x14ac:dyDescent="0.25">
      <c r="B14" s="18" t="s">
        <v>47</v>
      </c>
      <c r="C14">
        <v>3500</v>
      </c>
      <c r="D14" t="s">
        <v>38</v>
      </c>
      <c r="E14">
        <f>$E$2</f>
        <v>18</v>
      </c>
      <c r="F14" s="19">
        <f t="shared" si="1"/>
        <v>63000</v>
      </c>
      <c r="G14" s="16" t="s">
        <v>39</v>
      </c>
    </row>
    <row r="15" spans="2:8" x14ac:dyDescent="0.25">
      <c r="B15" s="18" t="s">
        <v>48</v>
      </c>
      <c r="C15">
        <v>4000</v>
      </c>
      <c r="D15" t="s">
        <v>38</v>
      </c>
      <c r="E15">
        <f>$E$2</f>
        <v>18</v>
      </c>
      <c r="F15" s="19">
        <f t="shared" si="1"/>
        <v>72000</v>
      </c>
      <c r="G15" s="16" t="s">
        <v>39</v>
      </c>
    </row>
    <row r="16" spans="2:8" x14ac:dyDescent="0.25">
      <c r="B16" s="18" t="s">
        <v>49</v>
      </c>
      <c r="C16">
        <v>850</v>
      </c>
      <c r="D16" t="s">
        <v>38</v>
      </c>
      <c r="E16">
        <f>$E$2</f>
        <v>18</v>
      </c>
      <c r="F16" s="19">
        <f t="shared" si="1"/>
        <v>15300</v>
      </c>
      <c r="G16" s="16" t="s">
        <v>39</v>
      </c>
    </row>
    <row r="17" spans="2:8" x14ac:dyDescent="0.25">
      <c r="B17" s="18" t="s">
        <v>50</v>
      </c>
      <c r="C17">
        <f>68*30</f>
        <v>2040</v>
      </c>
      <c r="D17" t="s">
        <v>38</v>
      </c>
      <c r="E17">
        <f>$E$2</f>
        <v>18</v>
      </c>
      <c r="F17" s="19">
        <f t="shared" si="1"/>
        <v>36720</v>
      </c>
      <c r="G17" s="16" t="s">
        <v>39</v>
      </c>
    </row>
    <row r="18" spans="2:8" x14ac:dyDescent="0.25">
      <c r="B18" s="18" t="s">
        <v>51</v>
      </c>
      <c r="C18">
        <v>200</v>
      </c>
      <c r="D18" t="s">
        <v>38</v>
      </c>
      <c r="E18">
        <f>$E$2</f>
        <v>18</v>
      </c>
      <c r="F18" s="19">
        <f t="shared" si="1"/>
        <v>3600</v>
      </c>
      <c r="G18" s="16" t="s">
        <v>39</v>
      </c>
    </row>
    <row r="19" spans="2:8" x14ac:dyDescent="0.25">
      <c r="B19" s="18" t="s">
        <v>44</v>
      </c>
      <c r="C19">
        <v>2500</v>
      </c>
      <c r="D19" t="s">
        <v>45</v>
      </c>
      <c r="E19">
        <v>2</v>
      </c>
      <c r="F19" s="19">
        <f t="shared" si="1"/>
        <v>5000</v>
      </c>
      <c r="G19" s="16" t="s">
        <v>39</v>
      </c>
    </row>
    <row r="20" spans="2:8" x14ac:dyDescent="0.25">
      <c r="G20" s="16"/>
    </row>
    <row r="21" spans="2:8" x14ac:dyDescent="0.25">
      <c r="B21" s="18" t="s">
        <v>52</v>
      </c>
      <c r="C21">
        <v>850</v>
      </c>
      <c r="D21" t="s">
        <v>53</v>
      </c>
      <c r="E21">
        <f>E2*(2+0.5+0.5)</f>
        <v>54</v>
      </c>
      <c r="F21" s="19">
        <f>C21*E21</f>
        <v>45900</v>
      </c>
      <c r="G21" s="16" t="s">
        <v>39</v>
      </c>
      <c r="H21" t="s">
        <v>54</v>
      </c>
    </row>
    <row r="22" spans="2:8" x14ac:dyDescent="0.25">
      <c r="B22" s="18" t="s">
        <v>55</v>
      </c>
      <c r="C22">
        <v>200</v>
      </c>
      <c r="D22" t="s">
        <v>56</v>
      </c>
      <c r="E22">
        <f>E21*3</f>
        <v>162</v>
      </c>
      <c r="F22" s="19">
        <f>C22*E22</f>
        <v>32400</v>
      </c>
      <c r="G22" s="16" t="s">
        <v>39</v>
      </c>
      <c r="H22" t="s">
        <v>54</v>
      </c>
    </row>
    <row r="23" spans="2:8" x14ac:dyDescent="0.25">
      <c r="B23" s="18" t="s">
        <v>57</v>
      </c>
      <c r="C23">
        <v>75</v>
      </c>
      <c r="D23" t="s">
        <v>56</v>
      </c>
      <c r="E23">
        <f>E22</f>
        <v>162</v>
      </c>
      <c r="F23" s="19">
        <f>C23*E23</f>
        <v>12150</v>
      </c>
      <c r="G23" s="16" t="s">
        <v>39</v>
      </c>
      <c r="H23" t="s">
        <v>54</v>
      </c>
    </row>
    <row r="24" spans="2:8" x14ac:dyDescent="0.25">
      <c r="B24" s="18" t="s">
        <v>58</v>
      </c>
      <c r="C24">
        <v>68</v>
      </c>
      <c r="D24" t="s">
        <v>56</v>
      </c>
      <c r="E24">
        <f>E22</f>
        <v>162</v>
      </c>
      <c r="F24" s="19">
        <f>C24*E24</f>
        <v>11016</v>
      </c>
      <c r="G24" s="16" t="s">
        <v>39</v>
      </c>
      <c r="H24" t="s">
        <v>54</v>
      </c>
    </row>
    <row r="25" spans="2:8" x14ac:dyDescent="0.25">
      <c r="B25" s="18" t="s">
        <v>59</v>
      </c>
      <c r="C25">
        <v>20</v>
      </c>
      <c r="D25" t="s">
        <v>56</v>
      </c>
      <c r="E25">
        <f>E22</f>
        <v>162</v>
      </c>
      <c r="F25" s="19">
        <f>C25*E25</f>
        <v>3240</v>
      </c>
      <c r="G25" s="16" t="s">
        <v>39</v>
      </c>
      <c r="H25" t="s">
        <v>54</v>
      </c>
    </row>
    <row r="26" spans="2:8" x14ac:dyDescent="0.25">
      <c r="G26" s="16"/>
    </row>
    <row r="27" spans="2:8" x14ac:dyDescent="0.25">
      <c r="B27" s="18" t="s">
        <v>60</v>
      </c>
      <c r="C27">
        <v>850</v>
      </c>
      <c r="D27" t="s">
        <v>53</v>
      </c>
      <c r="E27">
        <f>15*2</f>
        <v>30</v>
      </c>
      <c r="F27" s="19">
        <f>C27*E27</f>
        <v>25500</v>
      </c>
      <c r="G27" s="16" t="s">
        <v>39</v>
      </c>
      <c r="H27" t="s">
        <v>54</v>
      </c>
    </row>
    <row r="28" spans="2:8" x14ac:dyDescent="0.25">
      <c r="B28" s="18" t="s">
        <v>61</v>
      </c>
      <c r="C28">
        <v>200</v>
      </c>
      <c r="D28" t="s">
        <v>56</v>
      </c>
      <c r="E28">
        <f>E27*4</f>
        <v>120</v>
      </c>
      <c r="F28" s="19">
        <f>C28*E28</f>
        <v>24000</v>
      </c>
      <c r="G28" s="16" t="s">
        <v>39</v>
      </c>
      <c r="H28" t="s">
        <v>54</v>
      </c>
    </row>
    <row r="29" spans="2:8" x14ac:dyDescent="0.25">
      <c r="B29" s="18" t="s">
        <v>62</v>
      </c>
      <c r="C29">
        <v>75</v>
      </c>
      <c r="D29" t="s">
        <v>56</v>
      </c>
      <c r="E29">
        <f>E28</f>
        <v>120</v>
      </c>
      <c r="F29" s="19">
        <f>C29*E29</f>
        <v>9000</v>
      </c>
      <c r="G29" s="16" t="s">
        <v>39</v>
      </c>
      <c r="H29" t="s">
        <v>54</v>
      </c>
    </row>
    <row r="30" spans="2:8" x14ac:dyDescent="0.25">
      <c r="B30" s="18" t="s">
        <v>63</v>
      </c>
      <c r="C30">
        <v>68</v>
      </c>
      <c r="D30" t="s">
        <v>56</v>
      </c>
      <c r="E30">
        <f>E28</f>
        <v>120</v>
      </c>
      <c r="F30" s="19">
        <f>C30*E30</f>
        <v>8160</v>
      </c>
      <c r="G30" s="16" t="s">
        <v>39</v>
      </c>
      <c r="H30" t="s">
        <v>54</v>
      </c>
    </row>
    <row r="31" spans="2:8" x14ac:dyDescent="0.25">
      <c r="B31" s="18" t="s">
        <v>64</v>
      </c>
      <c r="C31">
        <v>20</v>
      </c>
      <c r="D31" t="s">
        <v>56</v>
      </c>
      <c r="E31">
        <f>E28</f>
        <v>120</v>
      </c>
      <c r="F31" s="19">
        <f>C31*E31</f>
        <v>2400</v>
      </c>
      <c r="G31" s="16" t="s">
        <v>39</v>
      </c>
      <c r="H31" t="s">
        <v>54</v>
      </c>
    </row>
    <row r="32" spans="2:8" x14ac:dyDescent="0.25">
      <c r="G32" s="16"/>
    </row>
    <row r="33" spans="2:8" x14ac:dyDescent="0.25">
      <c r="B33" s="18" t="s">
        <v>65</v>
      </c>
      <c r="C33">
        <v>850</v>
      </c>
      <c r="D33" t="s">
        <v>53</v>
      </c>
      <c r="E33">
        <f>E2/2</f>
        <v>9</v>
      </c>
      <c r="F33" s="19">
        <f>C33*E33</f>
        <v>7650</v>
      </c>
      <c r="G33" s="16" t="s">
        <v>39</v>
      </c>
      <c r="H33" t="s">
        <v>54</v>
      </c>
    </row>
    <row r="34" spans="2:8" x14ac:dyDescent="0.25">
      <c r="B34" s="18" t="s">
        <v>66</v>
      </c>
      <c r="C34">
        <v>200</v>
      </c>
      <c r="D34" t="s">
        <v>56</v>
      </c>
      <c r="E34">
        <f>E33*2</f>
        <v>18</v>
      </c>
      <c r="F34" s="19">
        <f>C34*E34</f>
        <v>3600</v>
      </c>
      <c r="G34" s="16" t="s">
        <v>39</v>
      </c>
      <c r="H34" t="s">
        <v>54</v>
      </c>
    </row>
    <row r="35" spans="2:8" x14ac:dyDescent="0.25">
      <c r="B35" s="18" t="s">
        <v>67</v>
      </c>
      <c r="C35">
        <v>75</v>
      </c>
      <c r="D35" t="s">
        <v>56</v>
      </c>
      <c r="E35">
        <f>E34</f>
        <v>18</v>
      </c>
      <c r="F35" s="19">
        <f>C35*E35</f>
        <v>1350</v>
      </c>
      <c r="G35" s="16" t="s">
        <v>39</v>
      </c>
      <c r="H35" t="s">
        <v>54</v>
      </c>
    </row>
    <row r="36" spans="2:8" x14ac:dyDescent="0.25">
      <c r="B36" s="18" t="s">
        <v>68</v>
      </c>
      <c r="C36">
        <v>68</v>
      </c>
      <c r="D36" t="s">
        <v>56</v>
      </c>
      <c r="E36">
        <f>E34</f>
        <v>18</v>
      </c>
      <c r="F36" s="19">
        <f>C36*E36</f>
        <v>1224</v>
      </c>
      <c r="G36" s="16" t="s">
        <v>39</v>
      </c>
      <c r="H36" t="s">
        <v>54</v>
      </c>
    </row>
    <row r="37" spans="2:8" x14ac:dyDescent="0.25">
      <c r="B37" s="18" t="s">
        <v>69</v>
      </c>
      <c r="C37">
        <v>20</v>
      </c>
      <c r="D37" t="s">
        <v>56</v>
      </c>
      <c r="E37">
        <f>E34</f>
        <v>18</v>
      </c>
      <c r="F37" s="19">
        <f>C37*E37</f>
        <v>360</v>
      </c>
      <c r="G37" s="16" t="s">
        <v>39</v>
      </c>
      <c r="H37" t="s">
        <v>54</v>
      </c>
    </row>
    <row r="38" spans="2:8" x14ac:dyDescent="0.25">
      <c r="B38" s="18"/>
      <c r="F38" s="19"/>
      <c r="G38" s="16"/>
    </row>
    <row r="42" spans="2:8" ht="15.75" thickBot="1" x14ac:dyDescent="0.3">
      <c r="B42" s="32"/>
      <c r="C42" s="32"/>
      <c r="D42" s="32"/>
      <c r="E42" s="32"/>
      <c r="F42" s="32"/>
      <c r="G42" s="33"/>
      <c r="H42" s="32"/>
    </row>
    <row r="43" spans="2:8" ht="15.75" thickTop="1" x14ac:dyDescent="0.25">
      <c r="B43" s="18" t="s">
        <v>25</v>
      </c>
      <c r="F43" s="19">
        <f>SUM(F5:F42)</f>
        <v>1101946.0504000001</v>
      </c>
    </row>
  </sheetData>
  <mergeCells count="1">
    <mergeCell ref="B2:D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1E9A-C722-4236-8500-4025CDC86199}">
  <dimension ref="B1:H48"/>
  <sheetViews>
    <sheetView zoomScale="80" zoomScaleNormal="80" workbookViewId="0">
      <selection activeCell="B16" sqref="B16"/>
    </sheetView>
  </sheetViews>
  <sheetFormatPr defaultRowHeight="15" x14ac:dyDescent="0.25"/>
  <cols>
    <col min="1" max="1" width="1.85546875" customWidth="1"/>
    <col min="2" max="2" width="39.42578125" customWidth="1"/>
    <col min="6" max="6" width="11" customWidth="1"/>
    <col min="7" max="7" width="26.140625" customWidth="1"/>
    <col min="8" max="8" width="46.42578125" customWidth="1"/>
  </cols>
  <sheetData>
    <row r="1" spans="2:8" x14ac:dyDescent="0.25">
      <c r="G1" s="16"/>
    </row>
    <row r="2" spans="2:8" x14ac:dyDescent="0.25">
      <c r="B2" s="67" t="s">
        <v>26</v>
      </c>
      <c r="C2" s="67"/>
      <c r="D2" s="67"/>
      <c r="E2">
        <f>'Burnham Project Mgmt Costs-1'!E2</f>
        <v>18</v>
      </c>
      <c r="G2" s="16"/>
    </row>
    <row r="3" spans="2:8" x14ac:dyDescent="0.25">
      <c r="G3" s="16"/>
    </row>
    <row r="4" spans="2:8" ht="15.75" thickBot="1" x14ac:dyDescent="0.3">
      <c r="B4" s="34" t="s">
        <v>70</v>
      </c>
      <c r="C4" s="34" t="s">
        <v>28</v>
      </c>
      <c r="D4" s="34" t="s">
        <v>29</v>
      </c>
      <c r="E4" s="34" t="s">
        <v>30</v>
      </c>
      <c r="F4" s="34" t="s">
        <v>31</v>
      </c>
      <c r="G4" s="34" t="s">
        <v>32</v>
      </c>
      <c r="H4" s="35"/>
    </row>
    <row r="5" spans="2:8" x14ac:dyDescent="0.25">
      <c r="B5" s="36" t="s">
        <v>71</v>
      </c>
      <c r="C5" s="17"/>
      <c r="D5" s="17"/>
      <c r="E5" s="17"/>
      <c r="F5" s="17"/>
      <c r="G5" s="17"/>
    </row>
    <row r="6" spans="2:8" x14ac:dyDescent="0.25">
      <c r="B6" s="18" t="s">
        <v>72</v>
      </c>
      <c r="C6">
        <v>2600</v>
      </c>
      <c r="D6" t="s">
        <v>38</v>
      </c>
      <c r="E6" s="16">
        <f>E2</f>
        <v>18</v>
      </c>
      <c r="F6" s="22">
        <f t="shared" ref="F6:F11" si="0">C6*E6</f>
        <v>46800</v>
      </c>
      <c r="G6" s="16" t="s">
        <v>39</v>
      </c>
      <c r="H6" s="30" t="s">
        <v>73</v>
      </c>
    </row>
    <row r="7" spans="2:8" x14ac:dyDescent="0.25">
      <c r="B7" s="18" t="s">
        <v>74</v>
      </c>
      <c r="C7">
        <v>10000</v>
      </c>
      <c r="D7" t="s">
        <v>45</v>
      </c>
      <c r="E7" s="16">
        <v>1</v>
      </c>
      <c r="F7" s="22">
        <f t="shared" si="0"/>
        <v>10000</v>
      </c>
      <c r="G7" s="16" t="s">
        <v>39</v>
      </c>
      <c r="H7" s="30" t="s">
        <v>75</v>
      </c>
    </row>
    <row r="8" spans="2:8" x14ac:dyDescent="0.25">
      <c r="B8" s="18" t="s">
        <v>76</v>
      </c>
      <c r="C8">
        <v>60</v>
      </c>
      <c r="D8" t="s">
        <v>38</v>
      </c>
      <c r="E8" s="16">
        <f>E2</f>
        <v>18</v>
      </c>
      <c r="F8" s="22">
        <f t="shared" si="0"/>
        <v>1080</v>
      </c>
      <c r="G8" s="16" t="s">
        <v>39</v>
      </c>
      <c r="H8" s="30" t="s">
        <v>77</v>
      </c>
    </row>
    <row r="9" spans="2:8" x14ac:dyDescent="0.25">
      <c r="B9" s="18" t="s">
        <v>78</v>
      </c>
      <c r="C9">
        <v>400</v>
      </c>
      <c r="D9" t="s">
        <v>45</v>
      </c>
      <c r="E9" s="16">
        <v>1</v>
      </c>
      <c r="F9" s="22">
        <f t="shared" si="0"/>
        <v>400</v>
      </c>
      <c r="G9" s="16" t="s">
        <v>39</v>
      </c>
      <c r="H9" s="30" t="s">
        <v>79</v>
      </c>
    </row>
    <row r="10" spans="2:8" x14ac:dyDescent="0.25">
      <c r="B10" s="18" t="s">
        <v>80</v>
      </c>
      <c r="C10">
        <v>100</v>
      </c>
      <c r="D10" t="s">
        <v>38</v>
      </c>
      <c r="E10" s="16">
        <f>E2</f>
        <v>18</v>
      </c>
      <c r="F10" s="22">
        <f t="shared" si="0"/>
        <v>1800</v>
      </c>
      <c r="G10" s="16" t="s">
        <v>39</v>
      </c>
      <c r="H10" s="30" t="s">
        <v>81</v>
      </c>
    </row>
    <row r="11" spans="2:8" x14ac:dyDescent="0.25">
      <c r="B11" s="18" t="s">
        <v>82</v>
      </c>
      <c r="C11">
        <v>2500</v>
      </c>
      <c r="D11" t="s">
        <v>45</v>
      </c>
      <c r="E11" s="16">
        <v>1</v>
      </c>
      <c r="F11" s="22">
        <f t="shared" si="0"/>
        <v>2500</v>
      </c>
      <c r="G11" s="16" t="s">
        <v>39</v>
      </c>
      <c r="H11" s="30" t="s">
        <v>83</v>
      </c>
    </row>
    <row r="12" spans="2:8" x14ac:dyDescent="0.25">
      <c r="B12" s="18" t="s">
        <v>84</v>
      </c>
      <c r="C12">
        <v>2000</v>
      </c>
      <c r="D12" t="s">
        <v>45</v>
      </c>
      <c r="E12" s="16">
        <v>2</v>
      </c>
      <c r="F12" s="22">
        <f t="shared" ref="F12" si="1">C12*E12</f>
        <v>4000</v>
      </c>
      <c r="G12" s="16" t="s">
        <v>39</v>
      </c>
      <c r="H12" s="30"/>
    </row>
    <row r="13" spans="2:8" x14ac:dyDescent="0.25">
      <c r="B13" s="18" t="s">
        <v>85</v>
      </c>
      <c r="C13">
        <v>5000</v>
      </c>
      <c r="D13" t="s">
        <v>45</v>
      </c>
      <c r="E13" s="16">
        <v>2</v>
      </c>
      <c r="F13" s="22">
        <f t="shared" ref="F13:F15" si="2">C13*E13</f>
        <v>10000</v>
      </c>
      <c r="G13" s="16" t="s">
        <v>39</v>
      </c>
      <c r="H13" s="30" t="s">
        <v>86</v>
      </c>
    </row>
    <row r="14" spans="2:8" x14ac:dyDescent="0.25">
      <c r="B14" s="18" t="s">
        <v>87</v>
      </c>
      <c r="C14">
        <v>500</v>
      </c>
      <c r="D14" t="s">
        <v>88</v>
      </c>
      <c r="E14" s="16">
        <v>12</v>
      </c>
      <c r="F14" s="22">
        <f t="shared" si="2"/>
        <v>6000</v>
      </c>
      <c r="G14" s="16" t="s">
        <v>39</v>
      </c>
    </row>
    <row r="15" spans="2:8" x14ac:dyDescent="0.25">
      <c r="B15" s="18" t="s">
        <v>89</v>
      </c>
      <c r="C15">
        <v>50</v>
      </c>
      <c r="D15" t="s">
        <v>38</v>
      </c>
      <c r="E15" s="16">
        <f>E2</f>
        <v>18</v>
      </c>
      <c r="F15" s="22">
        <f t="shared" si="2"/>
        <v>900</v>
      </c>
      <c r="G15" s="16" t="s">
        <v>39</v>
      </c>
      <c r="H15" s="30" t="s">
        <v>90</v>
      </c>
    </row>
    <row r="16" spans="2:8" x14ac:dyDescent="0.25">
      <c r="B16" s="18" t="s">
        <v>91</v>
      </c>
      <c r="C16">
        <v>3500</v>
      </c>
      <c r="D16" t="s">
        <v>88</v>
      </c>
      <c r="E16" s="16">
        <f>E2*0.75</f>
        <v>13.5</v>
      </c>
      <c r="F16" s="22">
        <f>C16*E16</f>
        <v>47250</v>
      </c>
      <c r="G16" s="16" t="s">
        <v>39</v>
      </c>
    </row>
    <row r="17" spans="2:8" x14ac:dyDescent="0.25">
      <c r="B17" s="18"/>
      <c r="F17" s="22">
        <f>C17*E17</f>
        <v>0</v>
      </c>
      <c r="G17" s="16" t="s">
        <v>39</v>
      </c>
    </row>
    <row r="18" spans="2:8" x14ac:dyDescent="0.25">
      <c r="B18" s="18"/>
      <c r="F18" s="22">
        <f>C18*E18</f>
        <v>0</v>
      </c>
      <c r="G18" s="16" t="s">
        <v>39</v>
      </c>
    </row>
    <row r="19" spans="2:8" x14ac:dyDescent="0.25">
      <c r="B19" s="18"/>
      <c r="F19" s="22">
        <f>C19*E19</f>
        <v>0</v>
      </c>
      <c r="G19" s="16" t="s">
        <v>39</v>
      </c>
    </row>
    <row r="20" spans="2:8" x14ac:dyDescent="0.25">
      <c r="B20" s="37" t="s">
        <v>92</v>
      </c>
      <c r="C20" s="38"/>
      <c r="D20" s="38"/>
      <c r="E20" s="38"/>
      <c r="F20" s="39">
        <f>SUM(F6:F19)</f>
        <v>130730</v>
      </c>
      <c r="G20" s="38"/>
      <c r="H20" s="38"/>
    </row>
    <row r="21" spans="2:8" x14ac:dyDescent="0.25">
      <c r="B21" t="s">
        <v>93</v>
      </c>
      <c r="F21" s="22"/>
    </row>
    <row r="22" spans="2:8" x14ac:dyDescent="0.25">
      <c r="B22" s="18" t="s">
        <v>212</v>
      </c>
      <c r="C22" s="54">
        <v>0</v>
      </c>
      <c r="D22" s="54" t="s">
        <v>45</v>
      </c>
      <c r="E22" s="54">
        <v>1</v>
      </c>
      <c r="F22" s="54">
        <f>C22*E22</f>
        <v>0</v>
      </c>
      <c r="G22" s="54"/>
      <c r="H22" t="s">
        <v>210</v>
      </c>
    </row>
    <row r="23" spans="2:8" x14ac:dyDescent="0.25">
      <c r="B23" s="18" t="s">
        <v>213</v>
      </c>
      <c r="C23">
        <v>94264</v>
      </c>
      <c r="D23" t="s">
        <v>45</v>
      </c>
      <c r="E23">
        <v>0</v>
      </c>
      <c r="F23" s="22">
        <f>C23*E23*1.2</f>
        <v>0</v>
      </c>
      <c r="G23" s="16" t="s">
        <v>39</v>
      </c>
      <c r="H23" t="s">
        <v>94</v>
      </c>
    </row>
    <row r="24" spans="2:8" x14ac:dyDescent="0.25">
      <c r="B24" s="18" t="s">
        <v>95</v>
      </c>
      <c r="C24">
        <v>10000</v>
      </c>
      <c r="D24" t="s">
        <v>45</v>
      </c>
      <c r="E24">
        <v>1</v>
      </c>
      <c r="F24" s="22">
        <f t="shared" ref="F24:F32" si="3">C24*E24</f>
        <v>10000</v>
      </c>
      <c r="G24" s="16" t="s">
        <v>39</v>
      </c>
      <c r="H24" t="s">
        <v>96</v>
      </c>
    </row>
    <row r="25" spans="2:8" x14ac:dyDescent="0.25">
      <c r="B25" s="18" t="s">
        <v>97</v>
      </c>
      <c r="C25" s="54">
        <v>35000</v>
      </c>
      <c r="D25" s="54" t="s">
        <v>45</v>
      </c>
      <c r="E25" s="54">
        <v>0</v>
      </c>
      <c r="F25" s="55">
        <f t="shared" si="3"/>
        <v>0</v>
      </c>
      <c r="G25" s="53" t="s">
        <v>39</v>
      </c>
    </row>
    <row r="26" spans="2:8" x14ac:dyDescent="0.25">
      <c r="B26" s="18" t="s">
        <v>98</v>
      </c>
      <c r="C26" s="31">
        <v>15000</v>
      </c>
      <c r="D26" t="s">
        <v>45</v>
      </c>
      <c r="E26">
        <v>1</v>
      </c>
      <c r="F26" s="22">
        <f t="shared" si="3"/>
        <v>15000</v>
      </c>
      <c r="G26" s="16" t="s">
        <v>35</v>
      </c>
      <c r="H26" t="s">
        <v>206</v>
      </c>
    </row>
    <row r="27" spans="2:8" x14ac:dyDescent="0.25">
      <c r="B27" s="18" t="s">
        <v>99</v>
      </c>
      <c r="C27" s="31">
        <v>25000</v>
      </c>
      <c r="D27" t="s">
        <v>45</v>
      </c>
      <c r="E27">
        <v>0</v>
      </c>
      <c r="F27" s="22">
        <f t="shared" si="3"/>
        <v>0</v>
      </c>
      <c r="G27" s="16" t="s">
        <v>35</v>
      </c>
    </row>
    <row r="28" spans="2:8" x14ac:dyDescent="0.25">
      <c r="B28" s="18" t="s">
        <v>100</v>
      </c>
      <c r="C28" s="31">
        <v>10000</v>
      </c>
      <c r="D28" t="s">
        <v>45</v>
      </c>
      <c r="E28">
        <v>2</v>
      </c>
      <c r="F28" s="22">
        <f t="shared" si="3"/>
        <v>20000</v>
      </c>
      <c r="G28" s="16" t="s">
        <v>39</v>
      </c>
    </row>
    <row r="29" spans="2:8" x14ac:dyDescent="0.25">
      <c r="B29" s="18" t="s">
        <v>214</v>
      </c>
      <c r="C29" s="31">
        <v>45000</v>
      </c>
      <c r="D29" t="s">
        <v>45</v>
      </c>
      <c r="E29">
        <v>0</v>
      </c>
      <c r="F29" s="22">
        <f t="shared" si="3"/>
        <v>0</v>
      </c>
      <c r="G29" s="16" t="s">
        <v>39</v>
      </c>
    </row>
    <row r="30" spans="2:8" x14ac:dyDescent="0.25">
      <c r="B30" s="18" t="s">
        <v>218</v>
      </c>
      <c r="C30" s="31">
        <v>75000</v>
      </c>
      <c r="D30" t="s">
        <v>45</v>
      </c>
      <c r="E30">
        <v>0</v>
      </c>
      <c r="F30" s="22">
        <f t="shared" si="3"/>
        <v>0</v>
      </c>
      <c r="G30" s="16" t="s">
        <v>39</v>
      </c>
    </row>
    <row r="31" spans="2:8" x14ac:dyDescent="0.25">
      <c r="B31" s="18"/>
      <c r="F31" s="22">
        <f t="shared" si="3"/>
        <v>0</v>
      </c>
      <c r="G31" s="16" t="s">
        <v>39</v>
      </c>
    </row>
    <row r="32" spans="2:8" x14ac:dyDescent="0.25">
      <c r="B32" s="18"/>
      <c r="F32" s="22">
        <f t="shared" si="3"/>
        <v>0</v>
      </c>
      <c r="G32" s="16" t="s">
        <v>39</v>
      </c>
    </row>
    <row r="33" spans="2:8" x14ac:dyDescent="0.25">
      <c r="B33" s="37" t="s">
        <v>101</v>
      </c>
      <c r="C33" s="38"/>
      <c r="D33" s="38"/>
      <c r="E33" s="38"/>
      <c r="F33" s="39">
        <f>SUM(F21:F32)</f>
        <v>45000</v>
      </c>
      <c r="G33" s="38"/>
      <c r="H33" s="38"/>
    </row>
    <row r="34" spans="2:8" x14ac:dyDescent="0.25">
      <c r="B34" t="s">
        <v>102</v>
      </c>
      <c r="F34" s="22"/>
    </row>
    <row r="35" spans="2:8" x14ac:dyDescent="0.25">
      <c r="B35" s="18" t="s">
        <v>103</v>
      </c>
      <c r="C35">
        <v>650</v>
      </c>
      <c r="D35" t="s">
        <v>45</v>
      </c>
      <c r="E35">
        <v>1</v>
      </c>
      <c r="F35" s="22">
        <f t="shared" ref="F35" si="4">C35*E35</f>
        <v>650</v>
      </c>
      <c r="G35" s="16" t="s">
        <v>39</v>
      </c>
      <c r="H35" s="30" t="s">
        <v>104</v>
      </c>
    </row>
    <row r="36" spans="2:8" x14ac:dyDescent="0.25">
      <c r="B36" s="18" t="s">
        <v>105</v>
      </c>
      <c r="C36">
        <v>100</v>
      </c>
      <c r="D36" t="s">
        <v>38</v>
      </c>
      <c r="E36">
        <f>E2</f>
        <v>18</v>
      </c>
      <c r="F36">
        <f t="shared" ref="F36:F41" si="5">C36*E36</f>
        <v>1800</v>
      </c>
      <c r="G36" s="16" t="s">
        <v>39</v>
      </c>
      <c r="H36" t="s">
        <v>106</v>
      </c>
    </row>
    <row r="37" spans="2:8" x14ac:dyDescent="0.25">
      <c r="B37" s="18" t="s">
        <v>107</v>
      </c>
      <c r="C37">
        <v>2000</v>
      </c>
      <c r="D37" t="s">
        <v>45</v>
      </c>
      <c r="E37">
        <v>1</v>
      </c>
      <c r="F37">
        <f t="shared" si="5"/>
        <v>2000</v>
      </c>
      <c r="G37" s="16" t="s">
        <v>39</v>
      </c>
      <c r="H37" t="s">
        <v>108</v>
      </c>
    </row>
    <row r="38" spans="2:8" x14ac:dyDescent="0.25">
      <c r="B38" s="18" t="s">
        <v>109</v>
      </c>
      <c r="C38">
        <v>500</v>
      </c>
      <c r="D38" t="s">
        <v>45</v>
      </c>
      <c r="E38">
        <v>2</v>
      </c>
      <c r="F38" s="22">
        <f t="shared" si="5"/>
        <v>1000</v>
      </c>
      <c r="G38" s="16" t="s">
        <v>35</v>
      </c>
    </row>
    <row r="39" spans="2:8" x14ac:dyDescent="0.25">
      <c r="B39" s="18" t="s">
        <v>110</v>
      </c>
      <c r="C39">
        <v>10000</v>
      </c>
      <c r="D39" t="s">
        <v>45</v>
      </c>
      <c r="E39">
        <v>2</v>
      </c>
      <c r="F39" s="22">
        <f t="shared" si="5"/>
        <v>20000</v>
      </c>
      <c r="G39" s="16" t="s">
        <v>35</v>
      </c>
    </row>
    <row r="40" spans="2:8" x14ac:dyDescent="0.25">
      <c r="B40" s="18"/>
      <c r="F40" s="22">
        <f t="shared" si="5"/>
        <v>0</v>
      </c>
      <c r="G40" s="16" t="s">
        <v>35</v>
      </c>
    </row>
    <row r="41" spans="2:8" x14ac:dyDescent="0.25">
      <c r="B41" s="18"/>
      <c r="F41" s="22">
        <f t="shared" si="5"/>
        <v>0</v>
      </c>
      <c r="G41" s="16" t="s">
        <v>35</v>
      </c>
    </row>
    <row r="42" spans="2:8" x14ac:dyDescent="0.25">
      <c r="B42" s="37" t="s">
        <v>207</v>
      </c>
      <c r="C42" s="38"/>
      <c r="D42" s="38"/>
      <c r="E42" s="38"/>
      <c r="F42" s="39">
        <f>SUM(F34:F41)</f>
        <v>25450</v>
      </c>
      <c r="G42" s="38"/>
      <c r="H42" s="38"/>
    </row>
    <row r="43" spans="2:8" x14ac:dyDescent="0.25">
      <c r="B43" s="30" t="s">
        <v>6</v>
      </c>
    </row>
    <row r="44" spans="2:8" x14ac:dyDescent="0.25">
      <c r="B44" s="18" t="s">
        <v>111</v>
      </c>
      <c r="C44">
        <v>20000</v>
      </c>
      <c r="D44" t="s">
        <v>45</v>
      </c>
      <c r="E44">
        <v>1</v>
      </c>
      <c r="F44" s="22">
        <f>C44*E44</f>
        <v>20000</v>
      </c>
      <c r="G44" s="16" t="s">
        <v>39</v>
      </c>
    </row>
    <row r="45" spans="2:8" x14ac:dyDescent="0.25">
      <c r="B45" s="18" t="s">
        <v>112</v>
      </c>
      <c r="C45">
        <v>20000</v>
      </c>
      <c r="D45" t="s">
        <v>45</v>
      </c>
      <c r="E45">
        <v>1</v>
      </c>
      <c r="F45" s="22">
        <f>C45*E45</f>
        <v>20000</v>
      </c>
      <c r="G45" s="16" t="s">
        <v>39</v>
      </c>
    </row>
    <row r="46" spans="2:8" x14ac:dyDescent="0.25">
      <c r="B46" s="18" t="s">
        <v>113</v>
      </c>
      <c r="C46">
        <v>20000</v>
      </c>
      <c r="D46" t="s">
        <v>45</v>
      </c>
      <c r="E46">
        <v>1</v>
      </c>
      <c r="F46" s="22">
        <v>20000</v>
      </c>
      <c r="G46" s="16" t="s">
        <v>39</v>
      </c>
    </row>
    <row r="48" spans="2:8" x14ac:dyDescent="0.25">
      <c r="B48" s="37" t="s">
        <v>114</v>
      </c>
      <c r="C48" s="38"/>
      <c r="D48" s="38"/>
      <c r="E48" s="38"/>
      <c r="F48" s="39">
        <f>SUM(F43:F47)</f>
        <v>60000</v>
      </c>
      <c r="G48" s="38"/>
      <c r="H48" s="38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6B4B-B713-4A70-8C3F-767FAFD29802}">
  <dimension ref="B2:G31"/>
  <sheetViews>
    <sheetView workbookViewId="0">
      <selection activeCell="F36" sqref="F36"/>
    </sheetView>
  </sheetViews>
  <sheetFormatPr defaultRowHeight="15" x14ac:dyDescent="0.25"/>
  <cols>
    <col min="1" max="1" width="10.140625" bestFit="1" customWidth="1"/>
    <col min="2" max="2" width="40.5703125" customWidth="1"/>
    <col min="3" max="3" width="16.42578125" customWidth="1"/>
    <col min="4" max="4" width="14.42578125" customWidth="1"/>
    <col min="5" max="5" width="9.5703125" customWidth="1"/>
    <col min="6" max="6" width="17.140625" customWidth="1"/>
    <col min="7" max="7" width="35" customWidth="1"/>
  </cols>
  <sheetData>
    <row r="2" spans="2:7" x14ac:dyDescent="0.25">
      <c r="B2" s="40" t="s">
        <v>70</v>
      </c>
      <c r="C2" s="40" t="s">
        <v>28</v>
      </c>
      <c r="D2" s="40" t="s">
        <v>29</v>
      </c>
      <c r="E2" s="40" t="s">
        <v>30</v>
      </c>
      <c r="F2" s="40" t="s">
        <v>31</v>
      </c>
      <c r="G2" s="43"/>
    </row>
    <row r="3" spans="2:7" x14ac:dyDescent="0.25">
      <c r="B3" s="42" t="s">
        <v>115</v>
      </c>
      <c r="C3" s="17"/>
      <c r="D3" s="17"/>
      <c r="E3" s="17"/>
      <c r="F3" s="17"/>
    </row>
    <row r="4" spans="2:7" x14ac:dyDescent="0.25">
      <c r="B4" s="18" t="s">
        <v>116</v>
      </c>
      <c r="C4">
        <v>72.12</v>
      </c>
      <c r="D4" t="s">
        <v>34</v>
      </c>
      <c r="E4">
        <f>2080/2</f>
        <v>1040</v>
      </c>
      <c r="F4" s="19">
        <f t="shared" ref="F4:F11" si="0">E4*C4</f>
        <v>75004.800000000003</v>
      </c>
    </row>
    <row r="5" spans="2:7" x14ac:dyDescent="0.25">
      <c r="B5" s="18" t="s">
        <v>117</v>
      </c>
      <c r="C5">
        <v>72.12</v>
      </c>
      <c r="D5" t="s">
        <v>34</v>
      </c>
      <c r="E5" s="22">
        <f>2080/3</f>
        <v>693.33333333333337</v>
      </c>
      <c r="F5" s="19">
        <f t="shared" si="0"/>
        <v>50003.200000000004</v>
      </c>
    </row>
    <row r="6" spans="2:7" x14ac:dyDescent="0.25">
      <c r="B6" s="18" t="s">
        <v>118</v>
      </c>
      <c r="C6">
        <v>144.22999999999999</v>
      </c>
      <c r="D6" t="s">
        <v>34</v>
      </c>
      <c r="E6">
        <f>2080/4</f>
        <v>520</v>
      </c>
      <c r="F6" s="19">
        <f t="shared" si="0"/>
        <v>74999.599999999991</v>
      </c>
    </row>
    <row r="7" spans="2:7" x14ac:dyDescent="0.25">
      <c r="B7" s="18" t="s">
        <v>119</v>
      </c>
      <c r="C7">
        <v>850</v>
      </c>
      <c r="D7" t="s">
        <v>53</v>
      </c>
      <c r="E7">
        <v>6</v>
      </c>
      <c r="F7" s="19">
        <f t="shared" si="0"/>
        <v>5100</v>
      </c>
    </row>
    <row r="8" spans="2:7" x14ac:dyDescent="0.25">
      <c r="B8" s="18" t="s">
        <v>120</v>
      </c>
      <c r="C8">
        <v>200</v>
      </c>
      <c r="D8" t="s">
        <v>56</v>
      </c>
      <c r="E8">
        <f>5*6</f>
        <v>30</v>
      </c>
      <c r="F8" s="19">
        <f t="shared" si="0"/>
        <v>6000</v>
      </c>
    </row>
    <row r="9" spans="2:7" x14ac:dyDescent="0.25">
      <c r="B9" s="18" t="s">
        <v>121</v>
      </c>
      <c r="C9">
        <v>75</v>
      </c>
      <c r="D9" t="s">
        <v>56</v>
      </c>
      <c r="E9">
        <v>30</v>
      </c>
      <c r="F9" s="19">
        <f t="shared" si="0"/>
        <v>2250</v>
      </c>
    </row>
    <row r="10" spans="2:7" x14ac:dyDescent="0.25">
      <c r="B10" s="18" t="s">
        <v>122</v>
      </c>
      <c r="C10">
        <v>68</v>
      </c>
      <c r="D10" t="s">
        <v>56</v>
      </c>
      <c r="E10">
        <v>30</v>
      </c>
      <c r="F10" s="19">
        <f t="shared" si="0"/>
        <v>2040</v>
      </c>
    </row>
    <row r="11" spans="2:7" x14ac:dyDescent="0.25">
      <c r="B11" s="18" t="s">
        <v>123</v>
      </c>
      <c r="C11">
        <v>20</v>
      </c>
      <c r="D11" t="s">
        <v>56</v>
      </c>
      <c r="E11">
        <v>30</v>
      </c>
      <c r="F11" s="19">
        <f t="shared" si="0"/>
        <v>600</v>
      </c>
    </row>
    <row r="13" spans="2:7" x14ac:dyDescent="0.25">
      <c r="B13" s="37" t="s">
        <v>124</v>
      </c>
      <c r="C13" s="38"/>
      <c r="D13" s="38"/>
      <c r="E13" s="38"/>
      <c r="F13" s="39">
        <f>SUM(F1:F12)</f>
        <v>215997.59999999998</v>
      </c>
      <c r="G13" s="38"/>
    </row>
    <row r="14" spans="2:7" x14ac:dyDescent="0.25">
      <c r="B14" s="30" t="s">
        <v>125</v>
      </c>
    </row>
    <row r="15" spans="2:7" x14ac:dyDescent="0.25">
      <c r="B15" s="18" t="s">
        <v>126</v>
      </c>
      <c r="C15">
        <v>7500</v>
      </c>
      <c r="D15" t="s">
        <v>45</v>
      </c>
      <c r="E15">
        <v>1</v>
      </c>
      <c r="F15">
        <f>C15*E15</f>
        <v>7500</v>
      </c>
      <c r="G15" t="s">
        <v>127</v>
      </c>
    </row>
    <row r="16" spans="2:7" x14ac:dyDescent="0.25">
      <c r="B16" s="18" t="s">
        <v>128</v>
      </c>
      <c r="C16">
        <v>10000</v>
      </c>
      <c r="D16" t="s">
        <v>45</v>
      </c>
      <c r="E16">
        <v>1</v>
      </c>
      <c r="F16">
        <f t="shared" ref="F16" si="1">C16*E16</f>
        <v>10000</v>
      </c>
      <c r="G16" t="s">
        <v>129</v>
      </c>
    </row>
    <row r="17" spans="2:7" x14ac:dyDescent="0.25">
      <c r="C17">
        <v>0</v>
      </c>
      <c r="D17" t="s">
        <v>45</v>
      </c>
      <c r="E17">
        <v>1</v>
      </c>
      <c r="F17">
        <f>C17*E17</f>
        <v>0</v>
      </c>
    </row>
    <row r="18" spans="2:7" x14ac:dyDescent="0.25">
      <c r="C18">
        <v>0</v>
      </c>
      <c r="D18" t="s">
        <v>45</v>
      </c>
      <c r="E18">
        <v>1</v>
      </c>
      <c r="F18">
        <f>C18*E18</f>
        <v>0</v>
      </c>
    </row>
    <row r="20" spans="2:7" x14ac:dyDescent="0.25">
      <c r="B20" s="37" t="s">
        <v>130</v>
      </c>
      <c r="C20" s="38"/>
      <c r="D20" s="38"/>
      <c r="E20" s="38"/>
      <c r="F20" s="39">
        <f>SUM(F14:F19)</f>
        <v>17500</v>
      </c>
      <c r="G20" s="38"/>
    </row>
    <row r="21" spans="2:7" x14ac:dyDescent="0.25">
      <c r="B21" t="s">
        <v>131</v>
      </c>
    </row>
    <row r="22" spans="2:7" x14ac:dyDescent="0.25">
      <c r="B22" s="18" t="s">
        <v>132</v>
      </c>
      <c r="C22">
        <v>50000</v>
      </c>
      <c r="D22" t="s">
        <v>45</v>
      </c>
      <c r="E22">
        <v>2</v>
      </c>
      <c r="F22">
        <f>C22*E22</f>
        <v>100000</v>
      </c>
      <c r="G22" t="s">
        <v>133</v>
      </c>
    </row>
    <row r="23" spans="2:7" x14ac:dyDescent="0.25">
      <c r="C23">
        <v>0</v>
      </c>
      <c r="D23" t="s">
        <v>45</v>
      </c>
      <c r="E23">
        <v>1</v>
      </c>
      <c r="F23">
        <f>C23*E23</f>
        <v>0</v>
      </c>
    </row>
    <row r="24" spans="2:7" x14ac:dyDescent="0.25">
      <c r="C24">
        <v>0</v>
      </c>
      <c r="D24" t="s">
        <v>45</v>
      </c>
      <c r="E24">
        <v>1</v>
      </c>
      <c r="F24">
        <f>C24*E24</f>
        <v>0</v>
      </c>
    </row>
    <row r="25" spans="2:7" x14ac:dyDescent="0.25">
      <c r="B25" s="46" t="s">
        <v>131</v>
      </c>
      <c r="C25" s="44"/>
      <c r="D25" s="44"/>
      <c r="E25" s="44"/>
      <c r="F25" s="44">
        <f>SUM(F22:F24)</f>
        <v>100000</v>
      </c>
      <c r="G25" s="44"/>
    </row>
    <row r="26" spans="2:7" x14ac:dyDescent="0.25">
      <c r="B26" t="s">
        <v>134</v>
      </c>
    </row>
    <row r="27" spans="2:7" x14ac:dyDescent="0.25">
      <c r="B27" s="18" t="s">
        <v>135</v>
      </c>
      <c r="C27">
        <v>23500</v>
      </c>
      <c r="D27" t="s">
        <v>136</v>
      </c>
      <c r="E27">
        <v>3</v>
      </c>
      <c r="F27">
        <f>C27*E27</f>
        <v>70500</v>
      </c>
    </row>
    <row r="28" spans="2:7" x14ac:dyDescent="0.25">
      <c r="B28" s="18" t="s">
        <v>137</v>
      </c>
      <c r="C28">
        <v>12500</v>
      </c>
      <c r="D28" t="s">
        <v>45</v>
      </c>
      <c r="E28">
        <v>1</v>
      </c>
      <c r="F28">
        <f>C28*E28</f>
        <v>12500</v>
      </c>
    </row>
    <row r="29" spans="2:7" x14ac:dyDescent="0.25">
      <c r="B29" s="18" t="s">
        <v>138</v>
      </c>
      <c r="C29">
        <v>9250</v>
      </c>
      <c r="D29" t="s">
        <v>45</v>
      </c>
      <c r="E29">
        <v>1</v>
      </c>
      <c r="F29">
        <f>C29*E29</f>
        <v>9250</v>
      </c>
    </row>
    <row r="30" spans="2:7" x14ac:dyDescent="0.25">
      <c r="B30" s="18"/>
      <c r="F30">
        <f>C30*E30</f>
        <v>0</v>
      </c>
    </row>
    <row r="31" spans="2:7" x14ac:dyDescent="0.25">
      <c r="B31" s="46" t="s">
        <v>134</v>
      </c>
      <c r="C31" s="44"/>
      <c r="D31" s="44"/>
      <c r="E31" s="44"/>
      <c r="F31" s="44">
        <f>SUM(F26:F30)</f>
        <v>92250</v>
      </c>
      <c r="G31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A084-8CA9-4F9B-A8E3-B5A3A58BF2B1}">
  <dimension ref="B2:F13"/>
  <sheetViews>
    <sheetView workbookViewId="0">
      <selection activeCell="E7" sqref="E7"/>
    </sheetView>
  </sheetViews>
  <sheetFormatPr defaultRowHeight="15" x14ac:dyDescent="0.25"/>
  <cols>
    <col min="2" max="2" width="13" bestFit="1" customWidth="1"/>
    <col min="3" max="3" width="14" bestFit="1" customWidth="1"/>
    <col min="4" max="4" width="16" customWidth="1"/>
    <col min="5" max="5" width="21.28515625" customWidth="1"/>
    <col min="6" max="6" width="33.5703125" customWidth="1"/>
  </cols>
  <sheetData>
    <row r="2" spans="2:6" ht="18.75" x14ac:dyDescent="0.25">
      <c r="B2" s="29" t="s">
        <v>139</v>
      </c>
      <c r="C2" s="29" t="s">
        <v>140</v>
      </c>
      <c r="D2" s="29" t="s">
        <v>141</v>
      </c>
      <c r="E2" s="29" t="s">
        <v>142</v>
      </c>
      <c r="F2" s="29"/>
    </row>
    <row r="3" spans="2:6" x14ac:dyDescent="0.25">
      <c r="B3" t="s">
        <v>143</v>
      </c>
      <c r="C3" t="s">
        <v>144</v>
      </c>
      <c r="D3">
        <v>10000</v>
      </c>
      <c r="E3">
        <f>D3*0.05</f>
        <v>500</v>
      </c>
    </row>
    <row r="4" spans="2:6" x14ac:dyDescent="0.25">
      <c r="B4" t="s">
        <v>145</v>
      </c>
      <c r="C4" t="s">
        <v>146</v>
      </c>
      <c r="D4">
        <v>710442</v>
      </c>
      <c r="E4">
        <f t="shared" ref="E4:E10" si="0">D4*0.05</f>
        <v>35522.1</v>
      </c>
    </row>
    <row r="5" spans="2:6" x14ac:dyDescent="0.25">
      <c r="B5" t="s">
        <v>147</v>
      </c>
      <c r="C5" t="s">
        <v>148</v>
      </c>
      <c r="D5">
        <v>6124498</v>
      </c>
      <c r="E5">
        <f t="shared" si="0"/>
        <v>306224.90000000002</v>
      </c>
    </row>
    <row r="6" spans="2:6" x14ac:dyDescent="0.25">
      <c r="B6" t="s">
        <v>149</v>
      </c>
      <c r="C6" t="s">
        <v>146</v>
      </c>
      <c r="D6">
        <v>736595</v>
      </c>
      <c r="E6">
        <f t="shared" si="0"/>
        <v>36829.75</v>
      </c>
    </row>
    <row r="7" spans="2:6" x14ac:dyDescent="0.25">
      <c r="B7" t="s">
        <v>150</v>
      </c>
      <c r="C7" t="s">
        <v>151</v>
      </c>
      <c r="D7">
        <v>315000</v>
      </c>
      <c r="E7">
        <f t="shared" si="0"/>
        <v>15750</v>
      </c>
    </row>
    <row r="8" spans="2:6" x14ac:dyDescent="0.25">
      <c r="B8" t="s">
        <v>152</v>
      </c>
      <c r="C8" t="s">
        <v>153</v>
      </c>
      <c r="D8">
        <v>936474</v>
      </c>
      <c r="E8">
        <f t="shared" si="0"/>
        <v>46823.700000000004</v>
      </c>
    </row>
    <row r="9" spans="2:6" x14ac:dyDescent="0.25">
      <c r="B9" t="s">
        <v>154</v>
      </c>
      <c r="C9" t="s">
        <v>155</v>
      </c>
      <c r="D9">
        <v>81500</v>
      </c>
      <c r="E9">
        <f t="shared" si="0"/>
        <v>4075</v>
      </c>
    </row>
    <row r="10" spans="2:6" x14ac:dyDescent="0.25">
      <c r="B10" t="s">
        <v>156</v>
      </c>
      <c r="C10" t="s">
        <v>157</v>
      </c>
      <c r="D10">
        <v>100000</v>
      </c>
      <c r="E10">
        <f t="shared" si="0"/>
        <v>5000</v>
      </c>
    </row>
    <row r="12" spans="2:6" x14ac:dyDescent="0.25">
      <c r="D12" s="18" t="s">
        <v>158</v>
      </c>
      <c r="E12" s="20">
        <f>SUM(E3:E10)*1.45</f>
        <v>653551.90249999997</v>
      </c>
    </row>
    <row r="13" spans="2:6" x14ac:dyDescent="0.25">
      <c r="E13" s="6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7EEA-9494-475F-B51F-51958E4D87C1}">
  <dimension ref="B2:H15"/>
  <sheetViews>
    <sheetView tabSelected="1" zoomScale="150" zoomScaleNormal="150" workbookViewId="0">
      <selection activeCell="C12" sqref="C12"/>
    </sheetView>
  </sheetViews>
  <sheetFormatPr defaultRowHeight="15" x14ac:dyDescent="0.25"/>
  <cols>
    <col min="2" max="2" width="34.28515625" bestFit="1" customWidth="1"/>
    <col min="3" max="3" width="15" customWidth="1"/>
    <col min="4" max="4" width="11.42578125" customWidth="1"/>
    <col min="5" max="5" width="10.5703125" customWidth="1"/>
    <col min="6" max="6" width="24.28515625" customWidth="1"/>
  </cols>
  <sheetData>
    <row r="2" spans="2:8" x14ac:dyDescent="0.25">
      <c r="B2" s="40" t="s">
        <v>70</v>
      </c>
      <c r="C2" s="40" t="s">
        <v>28</v>
      </c>
      <c r="D2" s="40" t="s">
        <v>29</v>
      </c>
      <c r="E2" s="40" t="s">
        <v>30</v>
      </c>
      <c r="F2" s="40" t="s">
        <v>31</v>
      </c>
      <c r="G2" s="41"/>
      <c r="H2" s="43"/>
    </row>
    <row r="3" spans="2:8" x14ac:dyDescent="0.25">
      <c r="B3" s="17" t="s">
        <v>159</v>
      </c>
      <c r="C3" s="17"/>
      <c r="D3" s="17"/>
      <c r="E3" s="17"/>
      <c r="F3" s="17"/>
      <c r="G3" s="16"/>
    </row>
    <row r="4" spans="2:8" x14ac:dyDescent="0.25">
      <c r="B4" s="18" t="s">
        <v>160</v>
      </c>
      <c r="C4">
        <v>20000</v>
      </c>
      <c r="D4" s="16" t="s">
        <v>45</v>
      </c>
      <c r="E4" s="16">
        <v>2</v>
      </c>
      <c r="F4">
        <f t="shared" ref="F4:F14" si="0">C4*E4</f>
        <v>40000</v>
      </c>
      <c r="G4" t="s">
        <v>161</v>
      </c>
    </row>
    <row r="5" spans="2:8" x14ac:dyDescent="0.25">
      <c r="B5" s="18" t="s">
        <v>162</v>
      </c>
      <c r="C5">
        <v>3000</v>
      </c>
      <c r="D5" s="16" t="s">
        <v>45</v>
      </c>
      <c r="E5" s="16">
        <v>1</v>
      </c>
      <c r="F5">
        <f t="shared" si="0"/>
        <v>3000</v>
      </c>
      <c r="G5" t="s">
        <v>163</v>
      </c>
    </row>
    <row r="6" spans="2:8" x14ac:dyDescent="0.25">
      <c r="B6" s="18" t="s">
        <v>164</v>
      </c>
      <c r="C6">
        <v>650</v>
      </c>
      <c r="D6" s="16" t="s">
        <v>45</v>
      </c>
      <c r="E6" s="16">
        <v>1</v>
      </c>
      <c r="F6">
        <f t="shared" si="0"/>
        <v>650</v>
      </c>
      <c r="G6" s="30" t="s">
        <v>104</v>
      </c>
    </row>
    <row r="7" spans="2:8" x14ac:dyDescent="0.25">
      <c r="B7" s="18" t="s">
        <v>165</v>
      </c>
      <c r="C7">
        <v>50000</v>
      </c>
      <c r="D7" s="16" t="s">
        <v>45</v>
      </c>
      <c r="E7" s="16">
        <v>1</v>
      </c>
      <c r="F7">
        <f t="shared" si="0"/>
        <v>50000</v>
      </c>
    </row>
    <row r="8" spans="2:8" x14ac:dyDescent="0.25">
      <c r="B8" s="18" t="s">
        <v>166</v>
      </c>
      <c r="C8">
        <v>3500</v>
      </c>
      <c r="D8" s="16" t="s">
        <v>45</v>
      </c>
      <c r="E8" s="16">
        <v>1</v>
      </c>
      <c r="F8">
        <f t="shared" si="0"/>
        <v>3500</v>
      </c>
    </row>
    <row r="9" spans="2:8" x14ac:dyDescent="0.25">
      <c r="B9" s="18" t="s">
        <v>167</v>
      </c>
      <c r="C9">
        <v>50000</v>
      </c>
      <c r="D9" s="16" t="s">
        <v>45</v>
      </c>
      <c r="E9" s="16">
        <v>2</v>
      </c>
      <c r="F9">
        <f t="shared" si="0"/>
        <v>100000</v>
      </c>
    </row>
    <row r="10" spans="2:8" x14ac:dyDescent="0.25">
      <c r="B10" s="18" t="s">
        <v>168</v>
      </c>
      <c r="C10">
        <v>35000</v>
      </c>
      <c r="D10" s="16" t="s">
        <v>45</v>
      </c>
      <c r="E10" s="16">
        <v>1</v>
      </c>
      <c r="F10">
        <f t="shared" si="0"/>
        <v>35000</v>
      </c>
    </row>
    <row r="11" spans="2:8" x14ac:dyDescent="0.25">
      <c r="B11" s="18" t="s">
        <v>169</v>
      </c>
      <c r="C11">
        <v>15000</v>
      </c>
      <c r="D11" s="16" t="s">
        <v>45</v>
      </c>
      <c r="E11" s="16">
        <v>1</v>
      </c>
      <c r="F11">
        <f t="shared" si="0"/>
        <v>15000</v>
      </c>
    </row>
    <row r="12" spans="2:8" x14ac:dyDescent="0.25">
      <c r="C12">
        <v>0</v>
      </c>
      <c r="D12" s="16" t="s">
        <v>45</v>
      </c>
      <c r="E12" s="16">
        <v>0</v>
      </c>
      <c r="F12">
        <f t="shared" si="0"/>
        <v>0</v>
      </c>
    </row>
    <row r="13" spans="2:8" x14ac:dyDescent="0.25">
      <c r="C13">
        <v>0</v>
      </c>
      <c r="D13" s="16" t="s">
        <v>45</v>
      </c>
      <c r="E13" s="16">
        <v>0</v>
      </c>
      <c r="F13">
        <f t="shared" si="0"/>
        <v>0</v>
      </c>
    </row>
    <row r="14" spans="2:8" x14ac:dyDescent="0.25">
      <c r="C14">
        <v>0</v>
      </c>
      <c r="D14" s="16" t="s">
        <v>45</v>
      </c>
      <c r="E14" s="16">
        <v>0</v>
      </c>
      <c r="F14">
        <f t="shared" si="0"/>
        <v>0</v>
      </c>
    </row>
    <row r="15" spans="2:8" x14ac:dyDescent="0.25">
      <c r="B15" s="45" t="s">
        <v>170</v>
      </c>
      <c r="C15" s="44"/>
      <c r="D15" s="44"/>
      <c r="E15" s="44"/>
      <c r="F15" s="44">
        <f>SUM(F4:F14)</f>
        <v>247150</v>
      </c>
      <c r="G15" s="44"/>
      <c r="H15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7ADB-BCD8-4006-AB7F-8059D1312B9F}">
  <dimension ref="B1:G22"/>
  <sheetViews>
    <sheetView workbookViewId="0">
      <selection activeCell="G23" sqref="G23"/>
    </sheetView>
  </sheetViews>
  <sheetFormatPr defaultRowHeight="15" x14ac:dyDescent="0.25"/>
  <cols>
    <col min="2" max="2" width="32.140625" bestFit="1" customWidth="1"/>
    <col min="3" max="3" width="13.140625" customWidth="1"/>
    <col min="4" max="4" width="11.28515625" bestFit="1" customWidth="1"/>
    <col min="6" max="6" width="18.140625" customWidth="1"/>
    <col min="7" max="7" width="30.42578125" customWidth="1"/>
  </cols>
  <sheetData>
    <row r="1" spans="2:7" x14ac:dyDescent="0.25">
      <c r="B1" s="40" t="s">
        <v>70</v>
      </c>
      <c r="C1" s="40" t="s">
        <v>28</v>
      </c>
      <c r="D1" s="40" t="s">
        <v>29</v>
      </c>
      <c r="E1" s="40" t="s">
        <v>30</v>
      </c>
      <c r="F1" s="40" t="s">
        <v>31</v>
      </c>
      <c r="G1" s="40" t="s">
        <v>171</v>
      </c>
    </row>
    <row r="2" spans="2:7" x14ac:dyDescent="0.25">
      <c r="B2" s="57" t="s">
        <v>172</v>
      </c>
    </row>
    <row r="3" spans="2:7" x14ac:dyDescent="0.25">
      <c r="B3" s="18" t="s">
        <v>21</v>
      </c>
      <c r="C3">
        <v>0</v>
      </c>
      <c r="D3" s="16" t="s">
        <v>45</v>
      </c>
      <c r="E3" s="16">
        <v>1</v>
      </c>
      <c r="F3">
        <f>C3*E3</f>
        <v>0</v>
      </c>
    </row>
    <row r="4" spans="2:7" x14ac:dyDescent="0.25">
      <c r="B4" s="18" t="s">
        <v>22</v>
      </c>
      <c r="C4">
        <v>0</v>
      </c>
      <c r="D4" s="16" t="s">
        <v>45</v>
      </c>
      <c r="E4" s="16">
        <v>1</v>
      </c>
      <c r="F4">
        <f t="shared" ref="F4:F8" si="0">C4*E4</f>
        <v>0</v>
      </c>
    </row>
    <row r="5" spans="2:7" x14ac:dyDescent="0.25">
      <c r="B5" s="18" t="s">
        <v>18</v>
      </c>
      <c r="C5">
        <v>10000</v>
      </c>
      <c r="D5" s="16" t="s">
        <v>45</v>
      </c>
      <c r="E5" s="16">
        <v>1</v>
      </c>
      <c r="F5">
        <f t="shared" si="0"/>
        <v>10000</v>
      </c>
    </row>
    <row r="6" spans="2:7" x14ac:dyDescent="0.25">
      <c r="B6" s="18" t="s">
        <v>173</v>
      </c>
      <c r="C6">
        <v>160000</v>
      </c>
      <c r="D6" s="16" t="s">
        <v>45</v>
      </c>
      <c r="E6" s="16">
        <v>1</v>
      </c>
      <c r="F6">
        <f t="shared" si="0"/>
        <v>160000</v>
      </c>
      <c r="G6" t="s">
        <v>209</v>
      </c>
    </row>
    <row r="7" spans="2:7" x14ac:dyDescent="0.25">
      <c r="B7" s="18" t="s">
        <v>20</v>
      </c>
      <c r="C7">
        <v>0</v>
      </c>
      <c r="D7" s="16" t="s">
        <v>45</v>
      </c>
      <c r="E7" s="16">
        <v>1</v>
      </c>
      <c r="F7">
        <f t="shared" si="0"/>
        <v>0</v>
      </c>
      <c r="G7" s="16" t="s">
        <v>174</v>
      </c>
    </row>
    <row r="8" spans="2:7" x14ac:dyDescent="0.25">
      <c r="B8" s="18" t="s">
        <v>175</v>
      </c>
      <c r="C8">
        <v>2500</v>
      </c>
      <c r="D8" s="16" t="s">
        <v>45</v>
      </c>
      <c r="E8" s="16">
        <v>1</v>
      </c>
      <c r="F8">
        <f t="shared" si="0"/>
        <v>2500</v>
      </c>
      <c r="G8" s="16"/>
    </row>
    <row r="9" spans="2:7" x14ac:dyDescent="0.25">
      <c r="B9" s="45" t="s">
        <v>176</v>
      </c>
      <c r="C9" s="44"/>
      <c r="D9" s="44"/>
      <c r="E9" s="44"/>
      <c r="F9" s="44">
        <f>SUM(F3:F8)</f>
        <v>172500</v>
      </c>
    </row>
    <row r="11" spans="2:7" x14ac:dyDescent="0.25">
      <c r="B11" s="59" t="s">
        <v>177</v>
      </c>
      <c r="C11" s="43"/>
      <c r="D11" s="43"/>
      <c r="E11" s="43"/>
      <c r="F11" s="43"/>
    </row>
    <row r="12" spans="2:7" hidden="1" x14ac:dyDescent="0.25">
      <c r="B12" s="18" t="s">
        <v>178</v>
      </c>
      <c r="C12">
        <v>2.2599999999999998</v>
      </c>
      <c r="D12" s="16" t="s">
        <v>179</v>
      </c>
      <c r="E12">
        <v>2</v>
      </c>
      <c r="F12">
        <f>C12*E12+50</f>
        <v>54.519999999999996</v>
      </c>
      <c r="G12" t="s">
        <v>180</v>
      </c>
    </row>
    <row r="13" spans="2:7" hidden="1" x14ac:dyDescent="0.25">
      <c r="B13" s="18" t="s">
        <v>181</v>
      </c>
      <c r="C13">
        <v>3.91</v>
      </c>
      <c r="D13" t="s">
        <v>179</v>
      </c>
      <c r="E13">
        <v>2</v>
      </c>
      <c r="F13">
        <f>C13*E13+50</f>
        <v>57.82</v>
      </c>
      <c r="G13" t="s">
        <v>180</v>
      </c>
    </row>
    <row r="14" spans="2:7" x14ac:dyDescent="0.25">
      <c r="B14" s="18" t="s">
        <v>182</v>
      </c>
      <c r="C14">
        <v>54.52</v>
      </c>
      <c r="D14" t="s">
        <v>38</v>
      </c>
      <c r="E14">
        <v>4</v>
      </c>
      <c r="F14" s="22">
        <f>C14*E14</f>
        <v>218.08</v>
      </c>
    </row>
    <row r="15" spans="2:7" x14ac:dyDescent="0.25">
      <c r="B15" s="18" t="s">
        <v>183</v>
      </c>
      <c r="C15">
        <v>85.63</v>
      </c>
      <c r="D15" t="s">
        <v>38</v>
      </c>
      <c r="E15">
        <v>4</v>
      </c>
      <c r="F15" s="22">
        <f>C15*E15</f>
        <v>342.52</v>
      </c>
    </row>
    <row r="16" spans="2:7" x14ac:dyDescent="0.25">
      <c r="B16" s="18" t="s">
        <v>18</v>
      </c>
      <c r="C16">
        <v>1.0999999999999999E-2</v>
      </c>
      <c r="D16" t="s">
        <v>184</v>
      </c>
      <c r="E16">
        <v>276480</v>
      </c>
      <c r="F16" s="22">
        <f>C16*E16</f>
        <v>3041.2799999999997</v>
      </c>
    </row>
    <row r="17" spans="2:7" x14ac:dyDescent="0.25">
      <c r="B17" s="18" t="s">
        <v>173</v>
      </c>
      <c r="C17">
        <v>1.0999999999999999E-2</v>
      </c>
      <c r="D17" t="s">
        <v>184</v>
      </c>
      <c r="E17">
        <f>600000*4</f>
        <v>2400000</v>
      </c>
      <c r="F17" s="22">
        <f>E17*C17</f>
        <v>26400</v>
      </c>
    </row>
    <row r="18" spans="2:7" x14ac:dyDescent="0.25">
      <c r="B18" s="18" t="s">
        <v>20</v>
      </c>
      <c r="C18">
        <v>3.76</v>
      </c>
      <c r="D18" t="s">
        <v>185</v>
      </c>
      <c r="E18">
        <f>3125*4</f>
        <v>12500</v>
      </c>
      <c r="F18" s="22">
        <f>C18*E18</f>
        <v>47000</v>
      </c>
    </row>
    <row r="19" spans="2:7" x14ac:dyDescent="0.25">
      <c r="B19" s="18" t="s">
        <v>186</v>
      </c>
      <c r="C19">
        <v>150</v>
      </c>
      <c r="D19" t="s">
        <v>38</v>
      </c>
      <c r="E19">
        <v>4</v>
      </c>
      <c r="F19" s="22">
        <f>C19*E19</f>
        <v>600</v>
      </c>
    </row>
    <row r="20" spans="2:7" x14ac:dyDescent="0.25">
      <c r="B20" s="45" t="s">
        <v>187</v>
      </c>
      <c r="C20" s="44"/>
      <c r="D20" s="44"/>
      <c r="E20" s="44"/>
      <c r="F20" s="44">
        <f>SUM(F14:F19)</f>
        <v>77601.88</v>
      </c>
    </row>
    <row r="22" spans="2:7" x14ac:dyDescent="0.25">
      <c r="F22">
        <f>F20*3</f>
        <v>232805.64</v>
      </c>
      <c r="G22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CE04-1F1C-4344-95B6-87A6FD99C781}">
  <dimension ref="B2:H23"/>
  <sheetViews>
    <sheetView workbookViewId="0">
      <selection activeCell="H32" sqref="H32"/>
    </sheetView>
  </sheetViews>
  <sheetFormatPr defaultRowHeight="15" x14ac:dyDescent="0.25"/>
  <cols>
    <col min="2" max="2" width="13.140625" customWidth="1"/>
    <col min="3" max="3" width="18" customWidth="1"/>
    <col min="4" max="4" width="15.5703125" customWidth="1"/>
    <col min="5" max="5" width="10.5703125" customWidth="1"/>
    <col min="6" max="6" width="17.28515625" customWidth="1"/>
    <col min="7" max="7" width="10.140625" bestFit="1" customWidth="1"/>
  </cols>
  <sheetData>
    <row r="2" spans="2:7" x14ac:dyDescent="0.25">
      <c r="B2" t="s">
        <v>188</v>
      </c>
    </row>
    <row r="3" spans="2:7" ht="15.75" x14ac:dyDescent="0.25">
      <c r="B3" s="1" t="s">
        <v>189</v>
      </c>
      <c r="C3" s="2"/>
      <c r="D3" s="2"/>
      <c r="E3" s="2"/>
      <c r="F3" s="2"/>
    </row>
    <row r="4" spans="2:7" ht="15.75" x14ac:dyDescent="0.25">
      <c r="B4" s="3"/>
      <c r="C4" s="4" t="s">
        <v>190</v>
      </c>
      <c r="D4" s="4" t="s">
        <v>191</v>
      </c>
      <c r="E4" s="4" t="s">
        <v>192</v>
      </c>
      <c r="F4" s="4" t="s">
        <v>193</v>
      </c>
      <c r="G4" s="4" t="s">
        <v>28</v>
      </c>
    </row>
    <row r="5" spans="2:7" ht="15.75" x14ac:dyDescent="0.25">
      <c r="B5" s="3"/>
      <c r="C5" s="5" t="s">
        <v>194</v>
      </c>
      <c r="D5" s="5" t="s">
        <v>195</v>
      </c>
      <c r="E5" s="5" t="s">
        <v>196</v>
      </c>
      <c r="F5" s="5" t="s">
        <v>194</v>
      </c>
      <c r="G5" s="5" t="s">
        <v>197</v>
      </c>
    </row>
    <row r="6" spans="2:7" ht="15.75" x14ac:dyDescent="0.25">
      <c r="B6" s="2" t="s">
        <v>198</v>
      </c>
      <c r="C6" s="6">
        <f>200*1.5</f>
        <v>300</v>
      </c>
      <c r="D6" s="7">
        <v>0.2</v>
      </c>
      <c r="E6" s="8">
        <f>12*1.5</f>
        <v>18</v>
      </c>
      <c r="F6" s="9">
        <f>C6/12*E6*D6</f>
        <v>90</v>
      </c>
      <c r="G6" s="19">
        <f>300000/2080</f>
        <v>144.23076923076923</v>
      </c>
    </row>
    <row r="7" spans="2:7" ht="15.75" x14ac:dyDescent="0.25">
      <c r="B7" s="2" t="s">
        <v>33</v>
      </c>
      <c r="C7" s="6">
        <f>165*1.5</f>
        <v>247.5</v>
      </c>
      <c r="D7" s="7">
        <v>1</v>
      </c>
      <c r="E7" s="8">
        <v>14</v>
      </c>
      <c r="F7" s="9">
        <f t="shared" ref="F7:F10" si="0">C7/12*E7*D7</f>
        <v>288.75</v>
      </c>
      <c r="G7" s="19">
        <f>248000/2080</f>
        <v>119.23076923076923</v>
      </c>
    </row>
    <row r="8" spans="2:7" ht="15.75" x14ac:dyDescent="0.25">
      <c r="B8" s="2" t="s">
        <v>46</v>
      </c>
      <c r="C8" s="6">
        <f>125*1.5</f>
        <v>187.5</v>
      </c>
      <c r="D8" s="7">
        <v>1</v>
      </c>
      <c r="E8" s="8">
        <v>12</v>
      </c>
      <c r="F8" s="9">
        <f t="shared" si="0"/>
        <v>187.5</v>
      </c>
      <c r="G8" s="19">
        <f>188000/2080</f>
        <v>90.384615384615387</v>
      </c>
    </row>
    <row r="9" spans="2:7" ht="15.75" x14ac:dyDescent="0.25">
      <c r="B9" s="2" t="s">
        <v>199</v>
      </c>
      <c r="C9" s="6">
        <f>5*12</f>
        <v>60</v>
      </c>
      <c r="D9" s="7">
        <v>1</v>
      </c>
      <c r="E9" s="8">
        <v>14</v>
      </c>
      <c r="F9" s="9">
        <f t="shared" si="0"/>
        <v>70</v>
      </c>
    </row>
    <row r="10" spans="2:7" ht="16.5" thickBot="1" x14ac:dyDescent="0.3">
      <c r="B10" s="10" t="s">
        <v>200</v>
      </c>
      <c r="C10" s="11">
        <f>5*12</f>
        <v>60</v>
      </c>
      <c r="D10" s="12">
        <v>1</v>
      </c>
      <c r="E10" s="13">
        <v>14</v>
      </c>
      <c r="F10" s="14">
        <f t="shared" si="0"/>
        <v>70</v>
      </c>
    </row>
    <row r="11" spans="2:7" ht="15.75" x14ac:dyDescent="0.25">
      <c r="B11" s="1" t="s">
        <v>31</v>
      </c>
      <c r="C11" s="2"/>
      <c r="D11" s="2"/>
      <c r="E11" s="2"/>
      <c r="F11" s="15">
        <f>SUM(F6:F10)</f>
        <v>706.25</v>
      </c>
    </row>
    <row r="13" spans="2:7" ht="15.75" x14ac:dyDescent="0.25">
      <c r="B13" s="1" t="s">
        <v>115</v>
      </c>
      <c r="C13" s="2"/>
      <c r="D13" s="2"/>
      <c r="E13" s="2"/>
      <c r="F13" s="2"/>
    </row>
    <row r="14" spans="2:7" ht="15.75" x14ac:dyDescent="0.25">
      <c r="B14" s="3"/>
      <c r="C14" s="4" t="s">
        <v>190</v>
      </c>
      <c r="D14" s="4" t="s">
        <v>191</v>
      </c>
      <c r="E14" s="4" t="s">
        <v>192</v>
      </c>
      <c r="F14" s="4" t="s">
        <v>193</v>
      </c>
      <c r="G14" s="4" t="s">
        <v>28</v>
      </c>
    </row>
    <row r="15" spans="2:7" ht="15.75" x14ac:dyDescent="0.25">
      <c r="B15" s="3"/>
      <c r="C15" s="5" t="s">
        <v>194</v>
      </c>
      <c r="D15" s="5" t="s">
        <v>195</v>
      </c>
      <c r="E15" s="5" t="s">
        <v>196</v>
      </c>
      <c r="F15" s="5" t="s">
        <v>194</v>
      </c>
      <c r="G15" s="5" t="s">
        <v>197</v>
      </c>
    </row>
    <row r="16" spans="2:7" ht="15.75" x14ac:dyDescent="0.25">
      <c r="B16" s="2" t="s">
        <v>201</v>
      </c>
      <c r="C16" s="6">
        <v>150</v>
      </c>
      <c r="D16" s="7">
        <v>1</v>
      </c>
      <c r="E16" s="8">
        <v>6</v>
      </c>
      <c r="F16" s="9">
        <f>C16/12*E16*D16</f>
        <v>75</v>
      </c>
      <c r="G16" s="19">
        <f>150000/2080</f>
        <v>72.115384615384613</v>
      </c>
    </row>
    <row r="17" spans="2:8" ht="15.75" x14ac:dyDescent="0.25">
      <c r="B17" s="2" t="s">
        <v>202</v>
      </c>
      <c r="C17" s="6">
        <v>150</v>
      </c>
      <c r="D17" s="7">
        <v>1</v>
      </c>
      <c r="E17" s="8">
        <v>4</v>
      </c>
      <c r="F17" s="9">
        <f t="shared" ref="F17:F18" si="1">C17/12*E17*D17</f>
        <v>50</v>
      </c>
      <c r="G17" s="19">
        <f>150000/2080</f>
        <v>72.115384615384613</v>
      </c>
    </row>
    <row r="18" spans="2:8" ht="16.5" thickBot="1" x14ac:dyDescent="0.3">
      <c r="B18" s="23" t="s">
        <v>203</v>
      </c>
      <c r="C18" s="24">
        <v>300</v>
      </c>
      <c r="D18" s="25">
        <v>0.25</v>
      </c>
      <c r="E18" s="26">
        <v>6</v>
      </c>
      <c r="F18" s="27">
        <f t="shared" si="1"/>
        <v>37.5</v>
      </c>
      <c r="G18" s="28">
        <f>G6</f>
        <v>144.23076923076923</v>
      </c>
      <c r="H18" t="s">
        <v>204</v>
      </c>
    </row>
    <row r="19" spans="2:8" ht="15.75" x14ac:dyDescent="0.25">
      <c r="B19" s="1" t="s">
        <v>31</v>
      </c>
      <c r="C19" s="2"/>
      <c r="D19" s="2"/>
      <c r="E19" s="2"/>
      <c r="F19" s="15">
        <f>SUM(F16:F18)</f>
        <v>162.5</v>
      </c>
    </row>
    <row r="23" spans="2:8" x14ac:dyDescent="0.25">
      <c r="B23" s="67" t="s">
        <v>205</v>
      </c>
      <c r="C23" s="67"/>
    </row>
  </sheetData>
  <mergeCells count="1">
    <mergeCell ref="B23:C2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D245A0B90E5E41B48A24EE7B5E0801" ma:contentTypeVersion="26" ma:contentTypeDescription="Create a new document." ma:contentTypeScope="" ma:versionID="eea33303f22cf621b028f01d4d553e8c">
  <xsd:schema xmlns:xsd="http://www.w3.org/2001/XMLSchema" xmlns:xs="http://www.w3.org/2001/XMLSchema" xmlns:p="http://schemas.microsoft.com/office/2006/metadata/properties" xmlns:ns1="http://schemas.microsoft.com/sharepoint/v3" xmlns:ns2="39e3a40f-4c2d-4461-bbcf-6103dd5d99db" xmlns:ns3="9d831754-bec5-4989-9045-92ee375d870c" targetNamespace="http://schemas.microsoft.com/office/2006/metadata/properties" ma:root="true" ma:fieldsID="58abf83209f48bf2b7f42d3087304a3d" ns1:_="" ns2:_="" ns3:_="">
    <xsd:import namespace="http://schemas.microsoft.com/sharepoint/v3"/>
    <xsd:import namespace="39e3a40f-4c2d-4461-bbcf-6103dd5d99db"/>
    <xsd:import namespace="9d831754-bec5-4989-9045-92ee375d8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Edited" minOccurs="0"/>
                <xsd:element ref="ns2:MediaServiceObjectDetectorVersions" minOccurs="0"/>
                <xsd:element ref="ns2:have" minOccurs="0"/>
                <xsd:element ref="ns2:MediaServiceSearchPropertie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UploadedtoiSupplier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3a40f-4c2d-4461-bbcf-6103dd5d9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description="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Location" ma:description="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description="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b9ef3b-c3eb-4338-9687-26a906f0e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ited" ma:index="24" nillable="true" ma:displayName="Edited" ma:format="Dropdown" ma:internalName="Edited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have" ma:index="26" nillable="true" ma:displayName="have" ma:default="1" ma:format="Dropdown" ma:internalName="have">
      <xsd:simpleType>
        <xsd:restriction base="dms:Boolea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8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UploadedtoiSupplier" ma:index="31" ma:displayName="Uploaded to iSupplier" ma:default="0" ma:format="Dropdown" ma:internalName="UploadedtoiSupplier">
      <xsd:simpleType>
        <xsd:restriction base="dms:Boolean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31754-bec5-4989-9045-92ee375d87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ce28f9-a62f-4c32-91ed-51506ba88a9a}" ma:internalName="TaxCatchAll" ma:showField="CatchAllData" ma:web="9d831754-bec5-4989-9045-92ee375d8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toiSupplier xmlns="39e3a40f-4c2d-4461-bbcf-6103dd5d99db">false</UploadedtoiSupplier>
    <have xmlns="39e3a40f-4c2d-4461-bbcf-6103dd5d99db">true</have>
    <_ip_UnifiedCompliancePolicyUIAction xmlns="http://schemas.microsoft.com/sharepoint/v3" xsi:nil="true"/>
    <TaxCatchAll xmlns="9d831754-bec5-4989-9045-92ee375d870c" xsi:nil="true"/>
    <Edited xmlns="39e3a40f-4c2d-4461-bbcf-6103dd5d99db" xsi:nil="true"/>
    <_ip_UnifiedCompliancePolicyProperties xmlns="http://schemas.microsoft.com/sharepoint/v3" xsi:nil="true"/>
    <lcf76f155ced4ddcb4097134ff3c332f xmlns="39e3a40f-4c2d-4461-bbcf-6103dd5d99db">
      <Terms xmlns="http://schemas.microsoft.com/office/infopath/2007/PartnerControls"/>
    </lcf76f155ced4ddcb4097134ff3c332f>
    <Notes xmlns="39e3a40f-4c2d-4461-bbcf-6103dd5d99db" xsi:nil="true"/>
  </documentManagement>
</p:properties>
</file>

<file path=customXml/itemProps1.xml><?xml version="1.0" encoding="utf-8"?>
<ds:datastoreItem xmlns:ds="http://schemas.openxmlformats.org/officeDocument/2006/customXml" ds:itemID="{0107FF6D-3D92-4AD3-9DE6-DBF646C42E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B33A44-53CC-4BAB-8A40-A07663DE1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9e3a40f-4c2d-4461-bbcf-6103dd5d99db"/>
    <ds:schemaRef ds:uri="9d831754-bec5-4989-9045-92ee375d8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90F3AF-7FA7-46B9-A342-FBFC949A8C6E}">
  <ds:schemaRefs>
    <ds:schemaRef ds:uri="http://schemas.microsoft.com/office/2006/metadata/properties"/>
    <ds:schemaRef ds:uri="http://schemas.microsoft.com/office/infopath/2007/PartnerControls"/>
    <ds:schemaRef ds:uri="39e3a40f-4c2d-4461-bbcf-6103dd5d99db"/>
    <ds:schemaRef ds:uri="http://schemas.microsoft.com/sharepoint/v3"/>
    <ds:schemaRef ds:uri="9d831754-bec5-4989-9045-92ee375d87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Burnham Totals</vt:lpstr>
      <vt:lpstr>Burnham Project Mgmt Costs-1</vt:lpstr>
      <vt:lpstr>Burnham Project Mgmt Costs-2</vt:lpstr>
      <vt:lpstr>Operations During Construction</vt:lpstr>
      <vt:lpstr>Spare Parts breakdown</vt:lpstr>
      <vt:lpstr>Fixtures and Furnishings</vt:lpstr>
      <vt:lpstr>Utility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Sean Carver</dc:creator>
  <cp:keywords/>
  <dc:description/>
  <cp:lastModifiedBy>Gage Pickford</cp:lastModifiedBy>
  <cp:revision/>
  <dcterms:created xsi:type="dcterms:W3CDTF">2025-06-24T16:47:37Z</dcterms:created>
  <dcterms:modified xsi:type="dcterms:W3CDTF">2026-02-12T21:04:13Z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0x0101002AD245A0B90E5E41B48A24EE7B5E0801</vt:lpwstr>
  </property>
  <property fmtid="{D5CDD505-2E9C-101B-9397-08002B2CF9AE}" pid="3" name="MediaServiceImageTags">
    <vt:lpwstr/>
  </property>
</Properties>
</file>