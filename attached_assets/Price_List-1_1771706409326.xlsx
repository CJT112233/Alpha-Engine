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https://burnhamdev.sharepoint.com/sites/Corp/Shared Documents/3. Ops &amp; Admin/16. Engr and Ops/20. Plant Equipment and Suppliers/All Equip Proposals/"/>
    </mc:Choice>
  </mc:AlternateContent>
  <xr:revisionPtr revIDLastSave="0" documentId="8_{767CB999-77A5-476F-9365-63675DE8124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6" i="1" l="1"/>
  <c r="E143" i="1" l="1"/>
  <c r="E142" i="1"/>
  <c r="E127" i="1"/>
  <c r="E128" i="1" s="1"/>
  <c r="E45" i="1"/>
  <c r="E43" i="1"/>
  <c r="E34" i="1"/>
  <c r="E36" i="1" s="1"/>
  <c r="E33" i="1"/>
  <c r="E35" i="1" s="1"/>
</calcChain>
</file>

<file path=xl/sharedStrings.xml><?xml version="1.0" encoding="utf-8"?>
<sst xmlns="http://schemas.openxmlformats.org/spreadsheetml/2006/main" count="1237" uniqueCount="533">
  <si>
    <t>File Name</t>
  </si>
  <si>
    <t>Company</t>
  </si>
  <si>
    <t>Date</t>
  </si>
  <si>
    <t>Line Item</t>
  </si>
  <si>
    <t>Price</t>
  </si>
  <si>
    <t>QTY</t>
  </si>
  <si>
    <t>Capacity</t>
  </si>
  <si>
    <t>Lead Time</t>
  </si>
  <si>
    <t>Payment Terms</t>
  </si>
  <si>
    <t>Link</t>
  </si>
  <si>
    <t>Project</t>
  </si>
  <si>
    <t>002568-A-ENG-BUC-001-FA0</t>
  </si>
  <si>
    <t>Colsen</t>
  </si>
  <si>
    <t>U04 - Chemicals</t>
  </si>
  <si>
    <r>
      <t>30m</t>
    </r>
    <r>
      <rPr>
        <vertAlign val="superscript"/>
        <sz val="11"/>
        <color theme="1"/>
        <rFont val="Aptos Narrow"/>
        <family val="2"/>
        <scheme val="minor"/>
      </rPr>
      <t>3</t>
    </r>
  </si>
  <si>
    <t>Bio Urja</t>
  </si>
  <si>
    <t>U01 - Heating system</t>
  </si>
  <si>
    <t>2298kw</t>
  </si>
  <si>
    <t>S02 - Seperation general components</t>
  </si>
  <si>
    <t>1.5 ton</t>
  </si>
  <si>
    <t>S02- Seperation / Decanters</t>
  </si>
  <si>
    <t>W02- Digesters (DigestMix- Package unit- Colsen)</t>
  </si>
  <si>
    <r>
      <t>8125m</t>
    </r>
    <r>
      <rPr>
        <vertAlign val="superscript"/>
        <sz val="11"/>
        <color theme="1"/>
        <rFont val="Aptos Narrow"/>
        <family val="2"/>
        <scheme val="minor"/>
      </rPr>
      <t>3</t>
    </r>
  </si>
  <si>
    <t>W08 - AMFER (Package unit- Colsen)</t>
  </si>
  <si>
    <r>
      <t>30m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>/h</t>
    </r>
  </si>
  <si>
    <t>W01 - Preatreatment (Hydrolysis), feeding system</t>
  </si>
  <si>
    <t>11718 Ardurra Group 3 x CS21-4HC 2PH proposal</t>
  </si>
  <si>
    <t>Centrisys</t>
  </si>
  <si>
    <t>Decanter Centrifuge Units</t>
  </si>
  <si>
    <t>in 70gpm out 1960lbs/hr</t>
  </si>
  <si>
    <t>16-18 wks</t>
  </si>
  <si>
    <t>30% with order; 60% upon shipment; 10% after startup not to exceed 90 days after shipment</t>
  </si>
  <si>
    <t>Fitchburg</t>
  </si>
  <si>
    <t>13707Q2</t>
  </si>
  <si>
    <t>Standby Systems inc.</t>
  </si>
  <si>
    <t>Gas Blending System Engineering</t>
  </si>
  <si>
    <t>4 wks</t>
  </si>
  <si>
    <t>Net 30</t>
  </si>
  <si>
    <t>Persimmon</t>
  </si>
  <si>
    <t>13707QL1</t>
  </si>
  <si>
    <t>Gas Blending System</t>
  </si>
  <si>
    <t>RNG 542 scfm NG 2525 scfm</t>
  </si>
  <si>
    <t>20230228 TPG-8882 KS 16W-3000 Dryer Budget for EQ Renewables</t>
  </si>
  <si>
    <t>Komline-Sanderson</t>
  </si>
  <si>
    <t>Paddle Dryer</t>
  </si>
  <si>
    <t>14000 wet lbs per hr</t>
  </si>
  <si>
    <t>20250305 TPG9704 Burnham RNG Paddle Dryer Budget Quotation</t>
  </si>
  <si>
    <t>25 dry tons per day</t>
  </si>
  <si>
    <t>2025-05253RA-01 (Engineering Only) R0</t>
  </si>
  <si>
    <t>Zeeco</t>
  </si>
  <si>
    <t>Flare Engineering</t>
  </si>
  <si>
    <t>6-8 wks</t>
  </si>
  <si>
    <t xml:space="preserve">Net 15 
50% on order placement 
50% on readiness to ship </t>
  </si>
  <si>
    <t>22037004-026 RKA POA</t>
  </si>
  <si>
    <t>Swinerton</t>
  </si>
  <si>
    <t xml:space="preserve">RKA Integrated Systems Bio-Gas 
Measurement System for Gas Component Measurement </t>
  </si>
  <si>
    <t>24-26 wks</t>
  </si>
  <si>
    <t xml:space="preserve">25% with Purchase Order Down Payment  
25% Upon Drawing Approval  
50% Net 30 Days After Confirmation of Shipment to Site </t>
  </si>
  <si>
    <t>Pasco</t>
  </si>
  <si>
    <t>230312 1000 scfm Burnham RNG proposal</t>
  </si>
  <si>
    <t>Carborex</t>
  </si>
  <si>
    <t>Heat recovery for feed gas compressor</t>
  </si>
  <si>
    <t>9-11 mon</t>
  </si>
  <si>
    <t>See 1000 scfm GUU Row</t>
  </si>
  <si>
    <t>RNG Compressor</t>
  </si>
  <si>
    <t>568 scfm 400 psig</t>
  </si>
  <si>
    <t>upgrade from 2 to 3 stage membranes</t>
  </si>
  <si>
    <t>96 to 99.5% CH4</t>
  </si>
  <si>
    <t>First fill activated carbon</t>
  </si>
  <si>
    <r>
      <t>460ft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</t>
    </r>
  </si>
  <si>
    <t>H2S removal</t>
  </si>
  <si>
    <r>
      <t>460ft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1000 scfm</t>
    </r>
  </si>
  <si>
    <t>1000 scfm MembraneGas Uprgrader (including compression)</t>
  </si>
  <si>
    <t>200-1000 scfm</t>
  </si>
  <si>
    <t xml:space="preserve">15% Down payment at order (Project start at receival of down payment) 
10% 
On submittal of initial Layout Drawing, Engineering Diagrams, Foundation -and 
electrical load list 
25% On procurement of Compressor &amp; Membranes 
20% On delivery of membranes at DMT production facility 
10% On readiness for shipment 
5% On Mechanical completion 
5% On completion of Cold commissioning 
5% On completion of Hot commissioning  
5% On completion of Performance &amp; Acceptance Test. Last outstanding payments 
however not later than 2 Months from EXW delivery. </t>
  </si>
  <si>
    <t>pretreatment (blower, chiller, heat exchanger)</t>
  </si>
  <si>
    <t>230312 2 x 600 scfm Burnham RNG proposal</t>
  </si>
  <si>
    <t>600 scfm</t>
  </si>
  <si>
    <t>600 scfm MembraneGas Uprgrader (including compression)</t>
  </si>
  <si>
    <t>358 scfm 400 psig</t>
  </si>
  <si>
    <r>
      <t>195 ft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</t>
    </r>
  </si>
  <si>
    <r>
      <t>195 ft</t>
    </r>
    <r>
      <rPr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600 scfm</t>
    </r>
  </si>
  <si>
    <t>240017 Burnham proposal 400-800-1200 scfm</t>
  </si>
  <si>
    <t>400 scfm MembraneGas Uprgrader (including compression)</t>
  </si>
  <si>
    <t>400 scfm</t>
  </si>
  <si>
    <t>400 pretreatment (blower, chiller, heat exchanger, H2S, Carbon)</t>
  </si>
  <si>
    <t>400 First fill activated carbon</t>
  </si>
  <si>
    <r>
      <t>340ft</t>
    </r>
    <r>
      <rPr>
        <vertAlign val="superscript"/>
        <sz val="11"/>
        <color theme="1"/>
        <rFont val="Aptos Narrow"/>
        <family val="2"/>
        <scheme val="minor"/>
      </rPr>
      <t>3</t>
    </r>
  </si>
  <si>
    <t>800 scfm MembraneGas Uprgrader (including compression)</t>
  </si>
  <si>
    <t>800 scfm</t>
  </si>
  <si>
    <t>800 pretreatment (blower, chiller, heat exchanger, H2S, Carbon)</t>
  </si>
  <si>
    <t>1200 scfm MembraneGas Uprgrader (including compression)</t>
  </si>
  <si>
    <t>1200 scfm</t>
  </si>
  <si>
    <t>1200 pretreatment (blower, chiller, heat exchanger, H2S, Carbon)</t>
  </si>
  <si>
    <t>Gas Chromatograph</t>
  </si>
  <si>
    <t>up to 1200 scfm</t>
  </si>
  <si>
    <t>2G Anaergia_Purchase_Agreement_Fully Executed</t>
  </si>
  <si>
    <t>Anaergia</t>
  </si>
  <si>
    <t xml:space="preserve">Basic CHP Module Avus 1500 </t>
  </si>
  <si>
    <t>1560 kw</t>
  </si>
  <si>
    <t>40 wks</t>
  </si>
  <si>
    <t>30% down 60% pre shipment 10% after commissioning</t>
  </si>
  <si>
    <t>Rialto</t>
  </si>
  <si>
    <t>4972897 - LP-5000 - Budgetary Proposal 20220321</t>
  </si>
  <si>
    <t>Evoqua</t>
  </si>
  <si>
    <t>Odor Control</t>
  </si>
  <si>
    <t>10,000 cfm</t>
  </si>
  <si>
    <t>4972897 - LP-6500 - Budgetary Proposal 20220321</t>
  </si>
  <si>
    <t>20,000 cfm each</t>
  </si>
  <si>
    <t>65005-0-Proposal-Jenbacher J316 Natural Gas Engines Thermal Oil</t>
  </si>
  <si>
    <t>Cain Industries</t>
  </si>
  <si>
    <t>Exhaust heat recovery</t>
  </si>
  <si>
    <t>Exhaust 4732 scfm
Liq flow 950 gpm</t>
  </si>
  <si>
    <t>36-38 wks</t>
  </si>
  <si>
    <t>9.10 ECT2 PFAS Removal</t>
  </si>
  <si>
    <t>ect2 Montrose Environmental Group</t>
  </si>
  <si>
    <t>PFAs Removal - FOAM-x 4 Unit</t>
  </si>
  <si>
    <t>16-40 GPM each</t>
  </si>
  <si>
    <t>Sumterville</t>
  </si>
  <si>
    <t>9.2 Scott Separator</t>
  </si>
  <si>
    <t>Scott Equipment Company</t>
  </si>
  <si>
    <t>THOR Turbo Separator depackaging machine</t>
  </si>
  <si>
    <t>100 tons per day</t>
  </si>
  <si>
    <t>22 wks</t>
  </si>
  <si>
    <t>50% down payment upon order; 40% payment before shipment, 10% upon acceptance (not to exceed 
90 days from shipment</t>
  </si>
  <si>
    <t>9.3 BIOREM Biofilter</t>
  </si>
  <si>
    <t>Biorem</t>
  </si>
  <si>
    <t>BiofiltAIR Concrete Biofilter System</t>
  </si>
  <si>
    <t>40,000 scfm</t>
  </si>
  <si>
    <t>14-20 wks</t>
  </si>
  <si>
    <t xml:space="preserve">10% with order, 30% upon instruction to begin fabrication, 50% upon 
delivery, 10% upon system commissioning </t>
  </si>
  <si>
    <t>9.4 Digester Tanks</t>
  </si>
  <si>
    <t>Tank Connection</t>
  </si>
  <si>
    <t>Bolted Anaerobic Digester</t>
  </si>
  <si>
    <t xml:space="preserve"> 80' dia 69' high 2.5 M gal</t>
  </si>
  <si>
    <t xml:space="preserve">30% of material due upon order placement 
30% of material due prior to release for fabrication 
40% of material due upon 1st shipment (or upon manufacture of tank, if shipment is delayed by 
customer) </t>
  </si>
  <si>
    <t>9.5 H2S Removal</t>
  </si>
  <si>
    <t>Terravest Renewables</t>
  </si>
  <si>
    <t>1300 scfm</t>
  </si>
  <si>
    <t>5% down 20% IFC 25% receipt of major materials 50% completion</t>
  </si>
  <si>
    <t>9.6 Biogas Upgrading</t>
  </si>
  <si>
    <t>Biogas Upgrading Unit GUU</t>
  </si>
  <si>
    <t>52-56 wks</t>
  </si>
  <si>
    <t>15% down 15% IFA 15% IFC 25% receipt of major materials 30% ready to ship</t>
  </si>
  <si>
    <t>VOC/Siloxane pretreatment</t>
  </si>
  <si>
    <t>See GUU</t>
  </si>
  <si>
    <t>Booster Compressor</t>
  </si>
  <si>
    <t>9.7 RNG Compressor</t>
  </si>
  <si>
    <t>Applied Compression Systems ACS</t>
  </si>
  <si>
    <t>1369.18 scfm</t>
  </si>
  <si>
    <t>32-40 wks</t>
  </si>
  <si>
    <t xml:space="preserve">10% deposit at time of order. 
30% on submission of approval drawings. 
30% on drawing approval and permission to proceed. </t>
  </si>
  <si>
    <t>9.8 Thermal Oxidizer</t>
  </si>
  <si>
    <t>catalytic products</t>
  </si>
  <si>
    <t>Thermal Oxidizer</t>
  </si>
  <si>
    <t>4000 scfm</t>
  </si>
  <si>
    <t>24-28 wks</t>
  </si>
  <si>
    <t xml:space="preserve">30%  down payment to initiate the order 
30%  upon submission of general arrangement drawing and PID 
30%  upon notification of equipment ready to ship 
10%  upon installation or 30 days after notification of equipment ready to ship, 
whichever comes first </t>
  </si>
  <si>
    <t>982r1 EQ Renewables 250 circ quote</t>
  </si>
  <si>
    <t>Vapor Power</t>
  </si>
  <si>
    <t>Boiler Vapor 250 BHP Circulatic Steam Generator</t>
  </si>
  <si>
    <t>250 BHP 8625 lbs/hr</t>
  </si>
  <si>
    <t>18-22 wks</t>
  </si>
  <si>
    <t>25% down 25% 15 days before ship 50% 30 days after ship</t>
  </si>
  <si>
    <t>EQ Renewables</t>
  </si>
  <si>
    <t>ACQ-14147 - Burnham RNG- RNG - Vector 7100 - Quotation</t>
  </si>
  <si>
    <t>600 psi 3115 scfm</t>
  </si>
  <si>
    <t>36-40 wks</t>
  </si>
  <si>
    <t xml:space="preserve">30% deposit at time of order. 
   30% on submission of approval drawings. 
   30% on drawing approval and permission to proceed. </t>
  </si>
  <si>
    <t>ACQ-14147rev02 Burnham RNG Quote</t>
  </si>
  <si>
    <t>600 psi 332-3100 scfm</t>
  </si>
  <si>
    <t>Type C distance pieces oil free gas</t>
  </si>
  <si>
    <t>ACS Prodgascomp preliminary eng proposal</t>
  </si>
  <si>
    <t>Engineering</t>
  </si>
  <si>
    <t>100% down</t>
  </si>
  <si>
    <t>ACS Quote-ACQ14147_Applied Compression Systems_Persimmon Renewables LLC_05.06.2025 (Execution Version) - signed</t>
  </si>
  <si>
    <t>ARI BUDGETARY Proposal A24-1217 Burnham RNG-FINAL (002)</t>
  </si>
  <si>
    <t>Adsorption Research Inc ARI</t>
  </si>
  <si>
    <t>Advansorb-RNG NRU system price nitrogen removal</t>
  </si>
  <si>
    <t>850 scfm</t>
  </si>
  <si>
    <t>48 wks</t>
  </si>
  <si>
    <t>B23007-EQ Renewables-Fitchburg-Sysadvance</t>
  </si>
  <si>
    <t>sysadvance</t>
  </si>
  <si>
    <t>Gas upgrader LP 5</t>
  </si>
  <si>
    <t>623 – 1246 scfm</t>
  </si>
  <si>
    <t>47 wks</t>
  </si>
  <si>
    <t>30% down 30% eng complete 30% ready to ship 5% after install 5% after comissioning</t>
  </si>
  <si>
    <t>Gas Upgrader 2xLP3</t>
  </si>
  <si>
    <t>311 – 623 scfm each</t>
  </si>
  <si>
    <t>B25014-Burnham-Pryor Covered Lagoon-Equipment Proposal-RevA-20250307</t>
  </si>
  <si>
    <t>METHAGEN LF - 1200F</t>
  </si>
  <si>
    <t>B25014-Burnham-Pryor Covered Lagoon-Equipment Proposal-RevA-20250308</t>
  </si>
  <si>
    <t>Product Gas Compressor</t>
  </si>
  <si>
    <t>650 scfm</t>
  </si>
  <si>
    <t>Blending Skid 13707Q3</t>
  </si>
  <si>
    <t>Blending Skid Engineering</t>
  </si>
  <si>
    <t>Burnham Q-09087 Design and SK drawing 2.3.25 (JCM 3.3.25)</t>
  </si>
  <si>
    <t>Falcon Structures</t>
  </si>
  <si>
    <t>Office and Maintenance Engineering</t>
  </si>
  <si>
    <t>3 wks</t>
  </si>
  <si>
    <t>Burnham RNG ZTOF Budgetary Proposal</t>
  </si>
  <si>
    <t>John Zink</t>
  </si>
  <si>
    <t>Enclosed Flare and Blower Skid</t>
  </si>
  <si>
    <t>44 wks</t>
  </si>
  <si>
    <t>15% down 50% IFC 35% ready to ship</t>
  </si>
  <si>
    <t>Cost Summary - Burnham OKL (2500 ppm 850 SCFM)</t>
  </si>
  <si>
    <t>MyTechnologies</t>
  </si>
  <si>
    <t>H2SPlus‐Three Vessel System</t>
  </si>
  <si>
    <t>2500 PPM, 850 SCFM</t>
  </si>
  <si>
    <t>SulFax 4142‐Three Vessel System</t>
  </si>
  <si>
    <t>Dearing Quote</t>
  </si>
  <si>
    <t>Dearing Compressor &amp; Pump co.</t>
  </si>
  <si>
    <t>RNG Compressor - single stage</t>
  </si>
  <si>
    <t>6 mons</t>
  </si>
  <si>
    <t>https://burnhamdev.sharepoint.com/sites/Corp/Shared%20Documents/3.%20Ops%20%26%20Admin/16.%20Engr%20and%20Ops/20.%20Plant%20Equipment%20and%20Suppliers/All%20Equip%20Proposals/Dearing%20Quote.pdf</t>
  </si>
  <si>
    <t>RNG Compressor - 2 stage</t>
  </si>
  <si>
    <t>E14586 v1 r0 Navitas ABI ID Water Wash Proposal</t>
  </si>
  <si>
    <t>Greenlane Biogas</t>
  </si>
  <si>
    <t>Raw Gas Blowers</t>
  </si>
  <si>
    <t>868 - 3002 scfm</t>
  </si>
  <si>
    <t>42 wks</t>
  </si>
  <si>
    <t>10% Down 30% IFC 30% major materials
20% Ready to Ship 5% commissioning 5% complete</t>
  </si>
  <si>
    <t>Idaho</t>
  </si>
  <si>
    <t>Water Wash Upgrading System</t>
  </si>
  <si>
    <t>869 - 3002 scfm</t>
  </si>
  <si>
    <t>See Raw Gas Blowers</t>
  </si>
  <si>
    <t>Product Compressor</t>
  </si>
  <si>
    <t>870 - 3002 scfm</t>
  </si>
  <si>
    <t>Regenerative Thermal Oxidizer</t>
  </si>
  <si>
    <t>871 - 3002 scfm</t>
  </si>
  <si>
    <t>E14586 v2 r0 Navitas ABI ID PSA Proposal</t>
  </si>
  <si>
    <t>872 - 3002 scfm</t>
  </si>
  <si>
    <t>H2S Polishers</t>
  </si>
  <si>
    <t>873 - 3002 scfm</t>
  </si>
  <si>
    <t>compression and dehydration, PSA, VOC reduction</t>
  </si>
  <si>
    <t>874 - 3002 scfm</t>
  </si>
  <si>
    <t>875 - 3002 scfm</t>
  </si>
  <si>
    <t>876 - 3002 scfm</t>
  </si>
  <si>
    <t>E2412100_FEED_.R0A1</t>
  </si>
  <si>
    <t>Atlas Copco</t>
  </si>
  <si>
    <t>575 psig 727 scfm</t>
  </si>
  <si>
    <t>49 wks</t>
  </si>
  <si>
    <t>EA-100-1 Injection Compressor Quotation 1-28-25</t>
  </si>
  <si>
    <t>JW Power</t>
  </si>
  <si>
    <t>300 psig 238-690 scfm</t>
  </si>
  <si>
    <t>30 wks</t>
  </si>
  <si>
    <t>30% down 40% major components 30% completion</t>
  </si>
  <si>
    <t>EA-150-3 Pipeline Injection Compressor Quotation 1-28-25</t>
  </si>
  <si>
    <t>1000 psig 235-734 scfm</t>
  </si>
  <si>
    <t>28 wks</t>
  </si>
  <si>
    <t>EA-400-2 Pipeline Injection Compressor Quotation 1-13-25</t>
  </si>
  <si>
    <t>575 psig 1553-3106 scfm</t>
  </si>
  <si>
    <t>Ecovapor Proposal - EVB-052583 Burnham (5.21.25 Redline)</t>
  </si>
  <si>
    <t>Ecovapor</t>
  </si>
  <si>
    <t>Engineering H2S, Oxygen Removal, Blowers</t>
  </si>
  <si>
    <t>10 wks</t>
  </si>
  <si>
    <t>50% down 50% completion</t>
  </si>
  <si>
    <t>Email - ARCO - 30% TIC Estimate and explanations Liquids Receiving - Dec 6 2024</t>
  </si>
  <si>
    <t>ArcoMurray</t>
  </si>
  <si>
    <t>Liquid Receiving Building &amp; utilities</t>
  </si>
  <si>
    <t>Milton</t>
  </si>
  <si>
    <t>EQ Cake Hoppers</t>
  </si>
  <si>
    <t>Conveyors, Inc.</t>
  </si>
  <si>
    <t>15' screw conveyor, 25' cross conveyor and hopper</t>
  </si>
  <si>
    <t>33% down</t>
  </si>
  <si>
    <t>EQ Sludge Silos</t>
  </si>
  <si>
    <t>Imperial Industries Inc</t>
  </si>
  <si>
    <t>Sludge Silo</t>
  </si>
  <si>
    <t>5,620 Cu. Ft</t>
  </si>
  <si>
    <t>20 wks</t>
  </si>
  <si>
    <t>30% down 40% IFAs 30% start of fab</t>
  </si>
  <si>
    <t>Kentucky</t>
  </si>
  <si>
    <t>Est_6115_from_NUHN_INDUSTRIES_LTD_16740</t>
  </si>
  <si>
    <t>Nuhn Industries LTD</t>
  </si>
  <si>
    <t>Liquid Manure Spreader self propelled</t>
  </si>
  <si>
    <t>4500 gal</t>
  </si>
  <si>
    <t>100% due on delivery</t>
  </si>
  <si>
    <t>Est_6116_from_NUHN_INDUSTRIES_LTD_16740</t>
  </si>
  <si>
    <t>Liquid manure spreader</t>
  </si>
  <si>
    <t>4000 gal</t>
  </si>
  <si>
    <t>Fitchburg Amtreat  Centrate Sidestream Treatment</t>
  </si>
  <si>
    <t>Amtreat</t>
  </si>
  <si>
    <t>AMTREAT® Liquor Treatment Plant</t>
  </si>
  <si>
    <t>1790 cubic meters</t>
  </si>
  <si>
    <t>12 wks</t>
  </si>
  <si>
    <t>GasUpgrade_Coulee.Greenlane.2022.773scfm_v1</t>
  </si>
  <si>
    <t>773 scfm</t>
  </si>
  <si>
    <t>See H2S Line item</t>
  </si>
  <si>
    <t>compression and dehydration, PSA</t>
  </si>
  <si>
    <t>E house</t>
  </si>
  <si>
    <t>GasUpgrade_Pasco.BGE.2022.2500scfm_v1</t>
  </si>
  <si>
    <t>REP</t>
  </si>
  <si>
    <t>Condensate Sump</t>
  </si>
  <si>
    <t>GasUpgrade_Pasco.BGE.2022.2500scfm_v2</t>
  </si>
  <si>
    <t xml:space="preserve">Macrotek </t>
  </si>
  <si>
    <t>H2S Removal System (Iron-Chelate)</t>
  </si>
  <si>
    <t>2500 scfm</t>
  </si>
  <si>
    <t>30 weeks</t>
  </si>
  <si>
    <t>GasUpgrade_Pasco.BGE.2022.2500scfm_v3</t>
  </si>
  <si>
    <t>LFM</t>
  </si>
  <si>
    <t>H2S Guard Bed</t>
  </si>
  <si>
    <t>15 weeks</t>
  </si>
  <si>
    <t>GasUpgrade_Pasco.BGE.2022.2500scfm_v4</t>
  </si>
  <si>
    <t>Darco/Axens</t>
  </si>
  <si>
    <t>H2S Guard Bed Media</t>
  </si>
  <si>
    <t>GasUpgrade_Pasco.BGE.2022.2500scfm_v5</t>
  </si>
  <si>
    <t>Hyden</t>
  </si>
  <si>
    <t>Low Pressure Aftercooler</t>
  </si>
  <si>
    <t>20 weeks</t>
  </si>
  <si>
    <t>GasUpgrade_Pasco.BGE.2022.2500scfm_v6</t>
  </si>
  <si>
    <t>Shawndra/HVM</t>
  </si>
  <si>
    <t>Low Pressure Separator</t>
  </si>
  <si>
    <t>18 weeks</t>
  </si>
  <si>
    <t>GasUpgrade_Pasco.BGE.2022.2500scfm_v7</t>
  </si>
  <si>
    <t>PEI/Vilter</t>
  </si>
  <si>
    <t>Raw gas Blower Skid (Initial Compression)</t>
  </si>
  <si>
    <t>35 weeks</t>
  </si>
  <si>
    <t>GasUpgrade_Pasco.BGE.2022.2500scfm_v8</t>
  </si>
  <si>
    <t>Vilter</t>
  </si>
  <si>
    <t>Compressor - Feed gas</t>
  </si>
  <si>
    <t>40 weeks</t>
  </si>
  <si>
    <t>GasUpgrade_Pasco.BGE.2022.2500scfm_v9</t>
  </si>
  <si>
    <t>TBD</t>
  </si>
  <si>
    <t>AC Guard Beds</t>
  </si>
  <si>
    <t>36 Weeks</t>
  </si>
  <si>
    <t>GasUpgrade_Pasco.BGE.2022.2500scfm_v10</t>
  </si>
  <si>
    <t>GasUpgrade_Pasco.BGE.2022.2500scfm_v11</t>
  </si>
  <si>
    <t>Evonik, Biogas Engineering</t>
  </si>
  <si>
    <t>3- Stage Membrane Skid</t>
  </si>
  <si>
    <t>43 Weeks</t>
  </si>
  <si>
    <t>GasUpgrade_Pasco.BGE.2022.2500scfm_v12</t>
  </si>
  <si>
    <t>ARI</t>
  </si>
  <si>
    <t>NRU System (Budgetary Proposal) including compressors</t>
  </si>
  <si>
    <t>45 weeks</t>
  </si>
  <si>
    <t>GasUpgrade_Pasco.BGE.2022.2500scfm_v13</t>
  </si>
  <si>
    <t>Polishing Vessel</t>
  </si>
  <si>
    <t>GasUpgrade_Pasco.BGE.2022.2500scfm_v14</t>
  </si>
  <si>
    <t>Carbon + TBD</t>
  </si>
  <si>
    <t>Polishing Vessel Media</t>
  </si>
  <si>
    <t>GasUpgrade_Pasco.BGE.2022.2500scfm_v15</t>
  </si>
  <si>
    <t>Sullair</t>
  </si>
  <si>
    <t>Compressed Air System</t>
  </si>
  <si>
    <t>GasUpgrade_Pasco.BGE.2022.2500scfm_v16</t>
  </si>
  <si>
    <t>G&amp;D Chillers/ JT/ Thermal Care</t>
  </si>
  <si>
    <t>Chiller Package</t>
  </si>
  <si>
    <t>28 Weeks</t>
  </si>
  <si>
    <t>GasUpgrade_Pasco.BGE.2022.2500scfm_v17</t>
  </si>
  <si>
    <t>Prefabricated Building Metron/TBD</t>
  </si>
  <si>
    <t>Electrical Gear - Indoor</t>
  </si>
  <si>
    <t>GasUpgrade_Pasco.BGE.2022.2500scfm_v18</t>
  </si>
  <si>
    <t>Biogas Engineering</t>
  </si>
  <si>
    <t>Control Panel (Indoor) + BOP SCADA</t>
  </si>
  <si>
    <t>GasUpgrade_Pasco.BGE.2022.2500scfm_v19</t>
  </si>
  <si>
    <t>RKA/ABB</t>
  </si>
  <si>
    <t>Orifice Flow Meter, GC and Misc Analyzers</t>
  </si>
  <si>
    <t>GasUpgrade_Pasco.BGE.2022.2500scfm_v20</t>
  </si>
  <si>
    <t>Misc.</t>
  </si>
  <si>
    <t xml:space="preserve">Misc. valves and Instruments </t>
  </si>
  <si>
    <t>GasUpgrade_Pasco.BGE.2022.2500scfm_v21</t>
  </si>
  <si>
    <t>Perennial/John Zink</t>
  </si>
  <si>
    <t>TOX (Direct Fired)</t>
  </si>
  <si>
    <t>GasUpgrade_Pasco.BGE.2022.2500scfm_v22</t>
  </si>
  <si>
    <t>Misc. buffer tank, oil water Separator, etc.</t>
  </si>
  <si>
    <t>GasUpgrade_Pasco.DMT.2022.2500scfm_v1</t>
  </si>
  <si>
    <t>DMT</t>
  </si>
  <si>
    <t>H2S Removal</t>
  </si>
  <si>
    <t>50 wks</t>
  </si>
  <si>
    <t>VOC removal</t>
  </si>
  <si>
    <t>51 wks</t>
  </si>
  <si>
    <t>Blower and chiller</t>
  </si>
  <si>
    <t>52 wks</t>
  </si>
  <si>
    <t>Feed Gas compressor</t>
  </si>
  <si>
    <t>53 wks</t>
  </si>
  <si>
    <t>membrane co2 removal</t>
  </si>
  <si>
    <t>54 wks</t>
  </si>
  <si>
    <t>GasUpgrade_Pasco.Greenlane.2022.2500scfm_v1</t>
  </si>
  <si>
    <t>bulk H2S, blowers, H2s Polishing, compression and dehydration, psa upgrading</t>
  </si>
  <si>
    <t>H2S Removal &amp; Zero02 E2000 Proposal_EcoVapor a DNOW Company_Persimmon Renewables LLC_05.12.2025 (Execution Version) - signed</t>
  </si>
  <si>
    <t>Ecovapor (DNOW)</t>
  </si>
  <si>
    <t>Oxygen removal, H2S removal</t>
  </si>
  <si>
    <t>50% down 50% receipt of drawings</t>
  </si>
  <si>
    <t>MPA_Prodeval Corp._Burnham RNG LLC_8.13.2024_Executed</t>
  </si>
  <si>
    <t>Prodeval</t>
  </si>
  <si>
    <t xml:space="preserve">Gas Upgrading Unit GUU </t>
  </si>
  <si>
    <t>30% down, 20% orders to subs, 35% ready to ship, 10% installation complete, 5% complete</t>
  </si>
  <si>
    <t>Prodval</t>
  </si>
  <si>
    <t>P KRH 25 001A R1 BurnhamRNG H2SPlus</t>
  </si>
  <si>
    <t>MV technologies</t>
  </si>
  <si>
    <t>H2S removal eng and equip, 3 vessels</t>
  </si>
  <si>
    <t>2500 ppm, 850 scfm</t>
  </si>
  <si>
    <t>30% down, 30% IFA, 30% ready to ship, 10% ship</t>
  </si>
  <si>
    <t>Initial Iron Sponge Media</t>
  </si>
  <si>
    <t>4536 cu ft</t>
  </si>
  <si>
    <t>P KRH 25 001B R1 BurnhamRNG SulfAx</t>
  </si>
  <si>
    <t>Sulfax H2S removal eng and equip, 3 vessels</t>
  </si>
  <si>
    <t>Initial Media Charge</t>
  </si>
  <si>
    <t>232200 lbs</t>
  </si>
  <si>
    <t>PO 3036-000052 - Pacific Standard Environmental - Fully Executed</t>
  </si>
  <si>
    <t>CEMs Units</t>
  </si>
  <si>
    <t>31 wks</t>
  </si>
  <si>
    <t>10% down 40% IFA 35% ready to ship 15% complete</t>
  </si>
  <si>
    <t>PO 3036-00042 - Primus Power - Fully Executed</t>
  </si>
  <si>
    <t>Primus Power</t>
  </si>
  <si>
    <t>Energy pod battery system</t>
  </si>
  <si>
    <t>25kW</t>
  </si>
  <si>
    <t>20% down 40% manufacturing start 20% progress 10% ship 10% complete</t>
  </si>
  <si>
    <t>PROPOSAL, Existing Cover Removal, IFF H-Basin 1.9.25</t>
  </si>
  <si>
    <t>iec</t>
  </si>
  <si>
    <t>removal of existing cover</t>
  </si>
  <si>
    <t>128960 sqft</t>
  </si>
  <si>
    <t>PROPOSAL, Gas Cover IFF H Basin 7.12.24</t>
  </si>
  <si>
    <t>INSULATED GAS COLLECTION FLOATING COVER</t>
  </si>
  <si>
    <t>Purchase Agreement PO 3036-000019 Air Liquide - Executed 3-29-19</t>
  </si>
  <si>
    <t>air liquide</t>
  </si>
  <si>
    <t>2250 scfm</t>
  </si>
  <si>
    <t>Allen Bradley PLC</t>
  </si>
  <si>
    <t>Q104-00917 Burnham RNG Bright Budget Quote</t>
  </si>
  <si>
    <t>Bright</t>
  </si>
  <si>
    <t>1000 scfm</t>
  </si>
  <si>
    <t>6 payment milestones</t>
  </si>
  <si>
    <t>Interconnecting Piping</t>
  </si>
  <si>
    <t>1000scfm</t>
  </si>
  <si>
    <t>QL31797 REV 2- Ardurra - Fitchburg MA</t>
  </si>
  <si>
    <t>anaerobic digester Tanks</t>
  </si>
  <si>
    <t>1,300,000 Gallons</t>
  </si>
  <si>
    <t>30% down 30% fab 40% first ship</t>
  </si>
  <si>
    <t>Sludge Tanks</t>
  </si>
  <si>
    <t>540,000 Gallons</t>
  </si>
  <si>
    <t>Quote #2 - Keco</t>
  </si>
  <si>
    <t>KECO</t>
  </si>
  <si>
    <t>Total Sulfur Analyzer continuous</t>
  </si>
  <si>
    <t>0-30 ppm</t>
  </si>
  <si>
    <t>4-6 wks</t>
  </si>
  <si>
    <t>Quote 1</t>
  </si>
  <si>
    <t>Tri Pacific Sales</t>
  </si>
  <si>
    <t>8-10 wks</t>
  </si>
  <si>
    <t>Quote_Walker Process FOG Receiving</t>
  </si>
  <si>
    <t>Hartwell Environmental</t>
  </si>
  <si>
    <t>Walker Process Scum and Grease Concentration System</t>
  </si>
  <si>
    <t>26,000 gallons/day</t>
  </si>
  <si>
    <t>Quote3 - RKA</t>
  </si>
  <si>
    <t>RKA Integrated Systems</t>
  </si>
  <si>
    <t>Tunable Diode Lazer Hyrdometer (H2O)</t>
  </si>
  <si>
    <t>.25-20 lbs H2O</t>
  </si>
  <si>
    <t>6-7wks</t>
  </si>
  <si>
    <t>Seepex Sludge Pumps</t>
  </si>
  <si>
    <t>Seepex</t>
  </si>
  <si>
    <t>Digested sludge recirc pump</t>
  </si>
  <si>
    <t>620 gpm 50 psi</t>
  </si>
  <si>
    <t>centrifuge feed pump</t>
  </si>
  <si>
    <t>85 gpm 50 psi</t>
  </si>
  <si>
    <t>receiving hoppper silo feed pump</t>
  </si>
  <si>
    <t>265 gpm 30 psi</t>
  </si>
  <si>
    <t>cambi pulper feed pumps</t>
  </si>
  <si>
    <t>95 gpm 20 psi</t>
  </si>
  <si>
    <t>liquid sludge transfer pumps</t>
  </si>
  <si>
    <t>400 gpm 35 psi</t>
  </si>
  <si>
    <t>Dilution Pumps</t>
  </si>
  <si>
    <t>160 gpm 30 psi</t>
  </si>
  <si>
    <t>pre-dewatering silo feed pumps</t>
  </si>
  <si>
    <t>30 gpm 30 psi</t>
  </si>
  <si>
    <t>Source-Separated-Organics-Feasibiity-Study-201703</t>
  </si>
  <si>
    <t>Barton &amp; Loguidice</t>
  </si>
  <si>
    <t>Scott Industries Model T42 Turbo Separator</t>
  </si>
  <si>
    <t>16 TPH 41'x14'</t>
  </si>
  <si>
    <t>Source-Separated-Organics-Feasibiity-Study-201704</t>
  </si>
  <si>
    <t>Equipment Building</t>
  </si>
  <si>
    <t>4500 SF</t>
  </si>
  <si>
    <t>Tiger HS 640</t>
  </si>
  <si>
    <t>20 TPH 8'x20'</t>
  </si>
  <si>
    <t>Scott Industries Turbo Separator T30</t>
  </si>
  <si>
    <t>10 TPH 43'x11'</t>
  </si>
  <si>
    <t>Vogelsang Red Unit</t>
  </si>
  <si>
    <t>30 TPH 8'x8'</t>
  </si>
  <si>
    <t>JWC environmental 7-SHRED-1H-3000</t>
  </si>
  <si>
    <t>11 TPH 9.3'x2.3'</t>
  </si>
  <si>
    <t>Westech Digester Mixing</t>
  </si>
  <si>
    <t>Westech</t>
  </si>
  <si>
    <t>Sludge mixers</t>
  </si>
  <si>
    <t>15200 gpm ea.</t>
  </si>
  <si>
    <t>10% down, 15% IFA 35%ready for fab 40% ready to ship</t>
  </si>
  <si>
    <t>WN Lyles Purchase Agreement 55.1171-03 Fully Executed</t>
  </si>
  <si>
    <t>WM Lyles Co.</t>
  </si>
  <si>
    <t>KSP140 piston pump
twin auger screw feeder
hydraulic power unit
local controla panel</t>
  </si>
  <si>
    <t>290 gpm</t>
  </si>
  <si>
    <t>truck receiving storage bin</t>
  </si>
  <si>
    <t>8'x20'x12'</t>
  </si>
  <si>
    <t>Zeeco budgetary proposal</t>
  </si>
  <si>
    <t>Enclosed Flare</t>
  </si>
  <si>
    <t>60% CH4 400 scfm 98% CH4 243 scfm</t>
  </si>
  <si>
    <t>Gresham_Anaerobic_Digestion_Predesign_Report_Final_wApps_r (1)</t>
  </si>
  <si>
    <t>APSCO</t>
  </si>
  <si>
    <t>Liquids receiving transfer pump</t>
  </si>
  <si>
    <t>30 hp 350 flow</t>
  </si>
  <si>
    <t>Gresham</t>
  </si>
  <si>
    <t>Ovivo</t>
  </si>
  <si>
    <t>fixed steel digester cover</t>
  </si>
  <si>
    <t>80' dia 316SS=$4,468k</t>
  </si>
  <si>
    <t>38 wks</t>
  </si>
  <si>
    <t>Digester Mixers drive heads</t>
  </si>
  <si>
    <t>20 hp</t>
  </si>
  <si>
    <t>Gas Holder steel digester cover</t>
  </si>
  <si>
    <t>21k cu ft 80' dia 316SS=$2,714k</t>
  </si>
  <si>
    <t>Linear Motion Digester Mixers</t>
  </si>
  <si>
    <t>Proctor Sales Inc</t>
  </si>
  <si>
    <t>Boilers</t>
  </si>
  <si>
    <t>3350 MBH 100 hp 60 psi ea.</t>
  </si>
  <si>
    <t>DDI</t>
  </si>
  <si>
    <t>Sludge Heat recovery heat exchanger</t>
  </si>
  <si>
    <t>1500 MBH</t>
  </si>
  <si>
    <t>23 wks</t>
  </si>
  <si>
    <t>Cummins</t>
  </si>
  <si>
    <t>diesel standby generator</t>
  </si>
  <si>
    <t xml:space="preserve">1000 kw </t>
  </si>
  <si>
    <t>56 wks</t>
  </si>
  <si>
    <t>Caterpillar</t>
  </si>
  <si>
    <t>Cogen engine generator package
Temp Radiator 
High-Temp Radiator Fan 
High-Temp Recirc Pump 
Jacket Water Heater 
Jacket Water Heater Pump 
Low-Temp Radiator 
Low-Temp Radiator Fan 
Low-Temp Recirc Pump 
Lube Oil Pump 
Exhaust Heat Exchanger Shell and tube heat exchanger exhaust to glycol 977 MBH
recovery heat exchanger</t>
  </si>
  <si>
    <t xml:space="preserve">600kWe CG132-12 </t>
  </si>
  <si>
    <t>Unison</t>
  </si>
  <si>
    <t>640 scfm max</t>
  </si>
  <si>
    <t>Compression and moisture removal</t>
  </si>
  <si>
    <t>Siloxane Removal System</t>
  </si>
  <si>
    <t>320 scfm</t>
  </si>
  <si>
    <t>Duosphere</t>
  </si>
  <si>
    <t>Biogas Storage</t>
  </si>
  <si>
    <t>21,150 cu ft</t>
  </si>
  <si>
    <t>AF007954_BUDGET.QUOTE_BURNHAM Nashville TN - VPUR08</t>
  </si>
  <si>
    <t>1525 scfm nominal</t>
  </si>
  <si>
    <t>Ecovapor Proposal - EVB-042558 R1 Burnham</t>
  </si>
  <si>
    <t>720 scfm</t>
  </si>
  <si>
    <t>24 wks</t>
  </si>
  <si>
    <t>30% down 40% material receipt 20% hydro 10% ship</t>
  </si>
  <si>
    <t>O2 Removal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</si>
</sst>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8" fontId="0" fillId="0" borderId="0" xfId="0" applyNumberFormat="1"/>
    <xf numFmtId="0" fontId="0" fillId="0" borderId="0" xfId="0" applyAlignment="1">
      <alignment wrapText="1"/>
    </xf>
    <xf numFmtId="15" fontId="0" fillId="0" borderId="0" xfId="0" applyNumberFormat="1" applyAlignment="1">
      <alignment wrapText="1"/>
    </xf>
    <xf numFmtId="0" fontId="1" fillId="0" borderId="0" xfId="1"/>
    <xf numFmtId="164" fontId="0" fillId="0" borderId="0" xfId="0" applyNumberFormat="1"/>
    <xf numFmtId="1" fontId="0" fillId="0" borderId="0" xfId="0" applyNumberFormat="1"/>
    <xf numFmtId="8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6">
    <dxf>
      <numFmt numFmtId="12" formatCode="&quot;$&quot;#,##0.00_);[Red]\(&quot;$&quot;#,##0.00\)"/>
    </dxf>
    <dxf>
      <numFmt numFmtId="1" formatCode="0"/>
    </dxf>
    <dxf>
      <numFmt numFmtId="164" formatCode="&quot;$&quot;#,##0.00"/>
    </dxf>
    <dxf>
      <numFmt numFmtId="20" formatCode="d\-mmm\-yy"/>
      <alignment horizontal="general" vertical="bottom" textRotation="0" wrapText="1" indent="0" justifyLastLine="0" shrinkToFit="0" readingOrder="0"/>
    </dxf>
    <dxf>
      <alignment wrapText="1"/>
    </dxf>
    <dxf>
      <alignment wrapText="1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997C29-3F5F-442F-BC5B-398228A0C59D}" name="Table1" displayName="Table1" ref="A1:K184" totalsRowShown="0">
  <autoFilter ref="A1:K184" xr:uid="{F8997C29-3F5F-442F-BC5B-398228A0C59D}"/>
  <sortState xmlns:xlrd2="http://schemas.microsoft.com/office/spreadsheetml/2017/richdata2" ref="A2:K164">
    <sortCondition ref="A1:A164"/>
  </sortState>
  <tableColumns count="11">
    <tableColumn id="1" xr3:uid="{583E5D25-5523-4401-8E2B-20DFD2917436}" name="File Name" dataDxfId="5"/>
    <tableColumn id="6" xr3:uid="{4359AC86-8DA7-4530-B38E-096F33627D7F}" name="Company" dataDxfId="4"/>
    <tableColumn id="3" xr3:uid="{7B4EEAE5-3E26-4614-9762-45EF35D5B446}" name="Date" dataDxfId="3"/>
    <tableColumn id="2" xr3:uid="{3473D35D-930D-4580-8E3F-04569B4EBCE6}" name="Line Item"/>
    <tableColumn id="4" xr3:uid="{FD166E5D-FD29-4C0B-98D4-92233F76E55E}" name="Price" dataDxfId="2"/>
    <tableColumn id="10" xr3:uid="{9D1DC4B8-B847-49C8-8B3B-664FC0FFC53A}" name="QTY" dataDxfId="1"/>
    <tableColumn id="11" xr3:uid="{DCA55B80-02D1-4BD3-A24F-8ED9FD02AD33}" name="Capacity" dataDxfId="0"/>
    <tableColumn id="5" xr3:uid="{1CDB102F-9B43-4C50-92A0-30B87CEFF71A}" name="Lead Time"/>
    <tableColumn id="7" xr3:uid="{78319BA6-35ED-4A19-B726-6A1DC9C745E5}" name="Payment Terms"/>
    <tableColumn id="8" xr3:uid="{424D25F4-06FE-4B8A-9BA8-44C7B119B455}" name="Link"/>
    <tableColumn id="9" xr3:uid="{C25FC75D-A569-4AD3-B400-BBF5028A38CF}" name="Projec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/../../../../../../:b:/r/sites/Corp/Shared%20Documents/3.%20Ops%20%26%20Admin/16.%20Engr%20and%20Ops/20.%20Plant%20Equipment%20and%20Suppliers/All%20Equip%20Proposals/9.6%20Biogas%20Upgrading.pdf?csf=1&amp;web=1&amp;e=YLqNiy" TargetMode="External"/><Relationship Id="rId21" Type="http://schemas.openxmlformats.org/officeDocument/2006/relationships/hyperlink" Target="../../../../../../../:b:/r/sites/Corp/Shared%20Documents/3.%20Ops%20%26%20Admin/16.%20Engr%20and%20Ops/20.%20Plant%20Equipment%20and%20Suppliers/All%20Equip%20Proposals/9.2%20Scott%20Separator.pdf?csf=1&amp;web=1&amp;e=jk7upi" TargetMode="External"/><Relationship Id="rId42" Type="http://schemas.openxmlformats.org/officeDocument/2006/relationships/hyperlink" Target="../../../../../../../:b:/r/sites/Corp/Shared%20Documents/3.%20Ops%20%26%20Admin/16.%20Engr%20and%20Ops/20.%20Plant%20Equipment%20and%20Suppliers/All%20Equip%20Proposals/Burnham%20RNG%20ZTOF%20Budgetary%20Proposal.pdf?csf=1&amp;web=1&amp;e=f1H5Qj" TargetMode="External"/><Relationship Id="rId47" Type="http://schemas.openxmlformats.org/officeDocument/2006/relationships/hyperlink" Target="../../../../../../../:b:/r/sites/Corp/Shared%20Documents/3.%20Ops%20%26%20Admin/16.%20Engr%20and%20Ops/20.%20Plant%20Equipment%20and%20Suppliers/All%20Equip%20Proposals/E14586%20v1%20r0%20Navitas%20ABI%20ID%20Water%20Wash%20Proposal.pdf?csf=1&amp;web=1&amp;e=nsQU7j" TargetMode="External"/><Relationship Id="rId63" Type="http://schemas.openxmlformats.org/officeDocument/2006/relationships/hyperlink" Target="../../../../../../../:b:/r/sites/Corp/Shared%20Documents/3.%20Ops%20%26%20Admin/16.%20Engr%20and%20Ops/20.%20Plant%20Equipment%20and%20Suppliers/All%20Equip%20Proposals/GasUpgrade_Coulee.Greenlane.2022.773scfm_v1.pdf?csf=1&amp;web=1&amp;e=N4iH0D" TargetMode="External"/><Relationship Id="rId68" Type="http://schemas.openxmlformats.org/officeDocument/2006/relationships/hyperlink" Target="../../../../../../../:b:/r/sites/Corp/Shared%20Documents/3.%20Ops%20%26%20Admin/16.%20Engr%20and%20Ops/20.%20Plant%20Equipment%20and%20Suppliers/All%20Equip%20Proposals/GasUpgrade_Pasco.DMT.2022.2500scfm_v1.pdf?csf=1&amp;web=1&amp;e=euJvvV" TargetMode="External"/><Relationship Id="rId84" Type="http://schemas.openxmlformats.org/officeDocument/2006/relationships/hyperlink" Target="../../../../../../../:b:/r/sites/Corp/Shared%20Documents/3.%20Ops%20%26%20Admin/16.%20Engr%20and%20Ops/20.%20Plant%20Equipment%20and%20Suppliers/All%20Equip%20Proposals/Q104-00917%20Burnham%20RNG%20Bright%20Budget%20Quote.pdf?csf=1&amp;web=1&amp;e=bX1Enf" TargetMode="External"/><Relationship Id="rId89" Type="http://schemas.openxmlformats.org/officeDocument/2006/relationships/hyperlink" Target="../../../../../../../:b:/r/sites/Corp/Shared%20Documents/3.%20Ops%20%26%20Admin/16.%20Engr%20and%20Ops/20.%20Plant%20Equipment%20and%20Suppliers/All%20Equip%20Proposals/Quote_Walker%20Process%20FOG%20Receiving.pdf?csf=1&amp;web=1&amp;e=Lgqcoy" TargetMode="External"/><Relationship Id="rId16" Type="http://schemas.openxmlformats.org/officeDocument/2006/relationships/hyperlink" Target="../../../../../../../:b:/r/sites/Corp/Shared%20Documents/3.%20Ops%20%26%20Admin/16.%20Engr%20and%20Ops/20.%20Plant%20Equipment%20and%20Suppliers/All%20Equip%20Proposals/2G%20Anaergia_Purchase_Agreement_Fully%20Executed.pdf?csf=1&amp;web=1&amp;e=UF2tZ7" TargetMode="External"/><Relationship Id="rId11" Type="http://schemas.openxmlformats.org/officeDocument/2006/relationships/hyperlink" Target="../../../../../../../:b:/r/sites/Corp/Shared%20Documents/3.%20Ops%20%26%20Admin/16.%20Engr%20and%20Ops/20.%20Plant%20Equipment%20and%20Suppliers/All%20Equip%20Proposals/230312%201000%20scfm%20Burnham%20RNG%20proposal.pdf?csf=1&amp;web=1&amp;e=5DxISp" TargetMode="External"/><Relationship Id="rId32" Type="http://schemas.openxmlformats.org/officeDocument/2006/relationships/hyperlink" Target="../../../../../../../:b:/r/sites/Corp/Shared%20Documents/3.%20Ops%20%26%20Admin/16.%20Engr%20and%20Ops/20.%20Plant%20Equipment%20and%20Suppliers/All%20Equip%20Proposals/ACQ-14147rev02%20Burnham%20RNG%20Quote.pdf?csf=1&amp;web=1&amp;e=ad8df1" TargetMode="External"/><Relationship Id="rId37" Type="http://schemas.openxmlformats.org/officeDocument/2006/relationships/hyperlink" Target="../../../../../../../:b:/r/sites/Corp/Shared%20Documents/3.%20Ops%20%26%20Admin/16.%20Engr%20and%20Ops/20.%20Plant%20Equipment%20and%20Suppliers/All%20Equip%20Proposals/B23007-EQ%20Renewables-Fitchburg-Sysadvance.pdf?csf=1&amp;web=1&amp;e=6pqP9w" TargetMode="External"/><Relationship Id="rId53" Type="http://schemas.openxmlformats.org/officeDocument/2006/relationships/hyperlink" Target="../../../../../../../:b:/r/sites/Corp/Shared%20Documents/3.%20Ops%20%26%20Admin/16.%20Engr%20and%20Ops/20.%20Plant%20Equipment%20and%20Suppliers/All%20Equip%20Proposals/EA-400-2%20Pipeline%20Injection%20Compressor%20Quotation%201-13-25.pdf?csf=1&amp;web=1&amp;e=eOjGiD" TargetMode="External"/><Relationship Id="rId58" Type="http://schemas.openxmlformats.org/officeDocument/2006/relationships/hyperlink" Target="../../../../../../../:b:/r/sites/Corp/Shared%20Documents/3.%20Ops%20%26%20Admin/16.%20Engr%20and%20Ops/20.%20Plant%20Equipment%20and%20Suppliers/All%20Equip%20Proposals/EQ%20Cake%20Hoppers.pdf?csf=1&amp;web=1&amp;e=Bdq7Bg" TargetMode="External"/><Relationship Id="rId74" Type="http://schemas.openxmlformats.org/officeDocument/2006/relationships/hyperlink" Target="../../../../../../../:b:/r/sites/Corp/Shared%20Documents/3.%20Ops%20%26%20Admin/16.%20Engr%20and%20Ops/20.%20Plant%20Equipment%20and%20Suppliers/All%20Equip%20Proposals/P%20KRH%2025%20001A%20R1%20BurnhamRNG%20H2SPlus.pdf?csf=1&amp;web=1&amp;e=D3dzyZ" TargetMode="External"/><Relationship Id="rId79" Type="http://schemas.openxmlformats.org/officeDocument/2006/relationships/hyperlink" Target="../../../../../../../:b:/r/sites/Corp/Shared%20Documents/3.%20Ops%20%26%20Admin/16.%20Engr%20and%20Ops/20.%20Plant%20Equipment%20and%20Suppliers/All%20Equip%20Proposals/PROPOSAL,%20Existing%20Cover%20Removal,%20IFF%20H-Basin%201.9.25.pdf?csf=1&amp;web=1&amp;e=uGmQFI" TargetMode="External"/><Relationship Id="rId102" Type="http://schemas.openxmlformats.org/officeDocument/2006/relationships/hyperlink" Target="../../../../../../../:b:/r/sites/Corp/Shared%20Documents/3.%20Ops%20%26%20Admin/16.%20Engr%20and%20Ops/20.%20Plant%20Equipment%20and%20Suppliers/All%20Equip%20Proposals/Gresham_Anaerobic_Digestion_Predesign_Report_Final_wApps_r%20(1).pdf?csf=1&amp;web=1&amp;e=TjNocr" TargetMode="External"/><Relationship Id="rId5" Type="http://schemas.openxmlformats.org/officeDocument/2006/relationships/hyperlink" Target="../../../../../../../:b:/r/sites/Corp/Shared%20Documents/3.%20Ops%20%26%20Admin/16.%20Engr%20and%20Ops/20.%20Plant%20Equipment%20and%20Suppliers/All%20Equip%20Proposals/13707QL1.pdf?csf=1&amp;web=1&amp;e=C7IfHH" TargetMode="External"/><Relationship Id="rId90" Type="http://schemas.openxmlformats.org/officeDocument/2006/relationships/hyperlink" Target="../../../../../../../:b:/r/sites/Corp/Shared%20Documents/3.%20Ops%20%26%20Admin/16.%20Engr%20and%20Ops/20.%20Plant%20Equipment%20and%20Suppliers/All%20Equip%20Proposals/Quote3%20-%20RKA.pdf?csf=1&amp;web=1&amp;e=CpHFN7" TargetMode="External"/><Relationship Id="rId95" Type="http://schemas.openxmlformats.org/officeDocument/2006/relationships/hyperlink" Target="../../../../../../../:b:/r/sites/Corp/Shared%20Documents/3.%20Ops%20%26%20Admin/16.%20Engr%20and%20Ops/20.%20Plant%20Equipment%20and%20Suppliers/All%20Equip%20Proposals/Westech%20Digester%20Mixing.pdf?csf=1&amp;web=1&amp;e=rPVf8K" TargetMode="External"/><Relationship Id="rId22" Type="http://schemas.openxmlformats.org/officeDocument/2006/relationships/hyperlink" Target="../../../../../../../:b:/r/sites/Corp/Shared%20Documents/3.%20Ops%20%26%20Admin/16.%20Engr%20and%20Ops/20.%20Plant%20Equipment%20and%20Suppliers/All%20Equip%20Proposals/9.3%20BIOREM%20Biofilter.pdf?csf=1&amp;web=1&amp;e=RlPyCV" TargetMode="External"/><Relationship Id="rId27" Type="http://schemas.openxmlformats.org/officeDocument/2006/relationships/hyperlink" Target="../../../../../../../:b:/r/sites/Corp/Shared%20Documents/3.%20Ops%20%26%20Admin/16.%20Engr%20and%20Ops/20.%20Plant%20Equipment%20and%20Suppliers/All%20Equip%20Proposals/9.7%20RNG%20Compressor.pdf?csf=1&amp;web=1&amp;e=Cq2m4a" TargetMode="External"/><Relationship Id="rId43" Type="http://schemas.openxmlformats.org/officeDocument/2006/relationships/hyperlink" Target="../../../../../../../:b:/r/sites/Corp/Shared%20Documents/3.%20Ops%20%26%20Admin/16.%20Engr%20and%20Ops/20.%20Plant%20Equipment%20and%20Suppliers/All%20Equip%20Proposals/Burnham%20RNG%20ZTOF%20Budgetary%20Proposal.pdf?csf=1&amp;web=1&amp;e=f1H5Qj" TargetMode="External"/><Relationship Id="rId48" Type="http://schemas.openxmlformats.org/officeDocument/2006/relationships/hyperlink" Target="../../../../../../../:b:/r/sites/Corp/Shared%20Documents/3.%20Ops%20%26%20Admin/16.%20Engr%20and%20Ops/20.%20Plant%20Equipment%20and%20Suppliers/All%20Equip%20Proposals/E14586%20v2%20r0%20Navitas%20ABI%20ID%20PSA%20Proposal.pdf?csf=1&amp;web=1&amp;e=MY7Mkm" TargetMode="External"/><Relationship Id="rId64" Type="http://schemas.openxmlformats.org/officeDocument/2006/relationships/hyperlink" Target="../../../../../../../:b:/r/sites/Corp/Shared%20Documents/3.%20Ops%20%26%20Admin/16.%20Engr%20and%20Ops/20.%20Plant%20Equipment%20and%20Suppliers/All%20Equip%20Proposals/GasUpgrade_Coulee.Greenlane.2022.773scfm_v1.pdf?csf=1&amp;web=1&amp;e=N4iH0D" TargetMode="External"/><Relationship Id="rId69" Type="http://schemas.openxmlformats.org/officeDocument/2006/relationships/hyperlink" Target="../../../../../../../:b:/r/sites/Corp/Shared%20Documents/3.%20Ops%20%26%20Admin/16.%20Engr%20and%20Ops/20.%20Plant%20Equipment%20and%20Suppliers/All%20Equip%20Proposals/GasUpgrade_Pasco.Greenlane.2022.2500scfm_v1.pdf?csf=1&amp;web=1&amp;e=aGryNS" TargetMode="External"/><Relationship Id="rId80" Type="http://schemas.openxmlformats.org/officeDocument/2006/relationships/hyperlink" Target="../../../../../../../:b:/r/sites/Corp/Shared%20Documents/3.%20Ops%20%26%20Admin/16.%20Engr%20and%20Ops/20.%20Plant%20Equipment%20and%20Suppliers/All%20Equip%20Proposals/PROPOSAL,%20Gas%20Cover%20IFF%20H%20Basin%207.12.24.pdf?csf=1&amp;web=1&amp;e=a1qJ7U" TargetMode="External"/><Relationship Id="rId85" Type="http://schemas.openxmlformats.org/officeDocument/2006/relationships/hyperlink" Target="../../../../../../../:b:/r/sites/Corp/Shared%20Documents/3.%20Ops%20%26%20Admin/16.%20Engr%20and%20Ops/20.%20Plant%20Equipment%20and%20Suppliers/All%20Equip%20Proposals/QL31797%20REV%202-%20Ardurra%20-%20Fitchburg%20MA.pdf?csf=1&amp;web=1&amp;e=Fjkvpz" TargetMode="External"/><Relationship Id="rId12" Type="http://schemas.openxmlformats.org/officeDocument/2006/relationships/hyperlink" Target="../../../../../../../:b:/r/sites/Corp/Shared%20Documents/3.%20Ops%20%26%20Admin/16.%20Engr%20and%20Ops/20.%20Plant%20Equipment%20and%20Suppliers/All%20Equip%20Proposals/230312%202%20x%20600%20scfm%20Burnham%20RNG%20proposal.pdf?csf=1&amp;web=1&amp;e=kezQT4" TargetMode="External"/><Relationship Id="rId17" Type="http://schemas.openxmlformats.org/officeDocument/2006/relationships/hyperlink" Target="../../../../../../../:b:/r/sites/Corp/Shared%20Documents/3.%20Ops%20%26%20Admin/16.%20Engr%20and%20Ops/20.%20Plant%20Equipment%20and%20Suppliers/All%20Equip%20Proposals/4972897%20-%20LP-5000%20-%20Budgetary%20Proposal%2020220321.pdf?csf=1&amp;web=1&amp;e=S2XVil" TargetMode="External"/><Relationship Id="rId25" Type="http://schemas.openxmlformats.org/officeDocument/2006/relationships/hyperlink" Target="../../../../../../../:b:/r/sites/Corp/Shared%20Documents/3.%20Ops%20%26%20Admin/16.%20Engr%20and%20Ops/20.%20Plant%20Equipment%20and%20Suppliers/All%20Equip%20Proposals/9.6%20Biogas%20Upgrading.pdf?csf=1&amp;web=1&amp;e=YLqNiy" TargetMode="External"/><Relationship Id="rId33" Type="http://schemas.openxmlformats.org/officeDocument/2006/relationships/hyperlink" Target="../../../../../../../:b:/r/sites/Corp/Shared%20Documents/3.%20Ops%20%26%20Admin/16.%20Engr%20and%20Ops/20.%20Plant%20Equipment%20and%20Suppliers/All%20Equip%20Proposals/ACS%20Prodgascomp%20preliminary%20eng%20proposal.pdf?csf=1&amp;web=1&amp;e=jZAgX4" TargetMode="External"/><Relationship Id="rId38" Type="http://schemas.openxmlformats.org/officeDocument/2006/relationships/hyperlink" Target="../../../../../../../:b:/r/sites/Corp/Shared%20Documents/3.%20Ops%20%26%20Admin/16.%20Engr%20and%20Ops/20.%20Plant%20Equipment%20and%20Suppliers/All%20Equip%20Proposals/B25014-Burnham-Pryor%20Covered%20Lagoon-Equipment%20Proposal-RevA-20250307.pdf?csf=1&amp;web=1&amp;e=vUkZRI" TargetMode="External"/><Relationship Id="rId46" Type="http://schemas.openxmlformats.org/officeDocument/2006/relationships/hyperlink" Target="../../../../../../../:b:/r/sites/Corp/Shared%20Documents/3.%20Ops%20%26%20Admin/16.%20Engr%20and%20Ops/20.%20Plant%20Equipment%20and%20Suppliers/All%20Equip%20Proposals/E14586%20v1%20r0%20Navitas%20ABI%20ID%20Water%20Wash%20Proposal.pdf?csf=1&amp;web=1&amp;e=nsQU7j" TargetMode="External"/><Relationship Id="rId59" Type="http://schemas.openxmlformats.org/officeDocument/2006/relationships/hyperlink" Target="../../../../../../../:b:/r/sites/Corp/Shared%20Documents/3.%20Ops%20%26%20Admin/16.%20Engr%20and%20Ops/20.%20Plant%20Equipment%20and%20Suppliers/All%20Equip%20Proposals/EQ%20Sludge%20Silos.pdf?csf=1&amp;web=1&amp;e=n7Ggf5" TargetMode="External"/><Relationship Id="rId67" Type="http://schemas.openxmlformats.org/officeDocument/2006/relationships/hyperlink" Target="../../../../../../../:b:/r/sites/Corp/Shared%20Documents/3.%20Ops%20%26%20Admin/16.%20Engr%20and%20Ops/20.%20Plant%20Equipment%20and%20Suppliers/All%20Equip%20Proposals/GasUpgrade_Pasco.DMT.2022.2500scfm_v1.pdf?csf=1&amp;web=1&amp;e=euJvvV" TargetMode="External"/><Relationship Id="rId103" Type="http://schemas.openxmlformats.org/officeDocument/2006/relationships/table" Target="../tables/table1.xml"/><Relationship Id="rId20" Type="http://schemas.openxmlformats.org/officeDocument/2006/relationships/hyperlink" Target="../../../../../../../:b:/r/sites/Corp/Shared%20Documents/3.%20Ops%20%26%20Admin/16.%20Engr%20and%20Ops/20.%20Plant%20Equipment%20and%20Suppliers/All%20Equip%20Proposals/9.10%20ECT2%20PFAS%20Removal.pdf?csf=1&amp;web=1&amp;e=g3ypzk" TargetMode="External"/><Relationship Id="rId41" Type="http://schemas.openxmlformats.org/officeDocument/2006/relationships/hyperlink" Target="../../../../../../../:w:/r/sites/Corp/Shared%20Documents/3.%20Ops%20%26%20Admin/16.%20Engr%20and%20Ops/20.%20Plant%20Equipment%20and%20Suppliers/All%20Equip%20Proposals/Burnham%20Q-09087%20Design%20and%20SK%20drawing%202.3.25%20(JCM%203.3.25).docx?d=wfa1a785245ef49e0a177b1a87020f1f1&amp;csf=1&amp;web=1&amp;e=Fmcml9" TargetMode="External"/><Relationship Id="rId54" Type="http://schemas.openxmlformats.org/officeDocument/2006/relationships/hyperlink" Target="../../../../../../../:b:/r/sites/Corp/Shared%20Documents/3.%20Ops%20%26%20Admin/16.%20Engr%20and%20Ops/20.%20Plant%20Equipment%20and%20Suppliers/All%20Equip%20Proposals/Ecovapor%20Proposal%20-%20EVB-052583%20Burnham%20(5.21.25%20Redline).pdf?csf=1&amp;web=1&amp;e=bIecgu" TargetMode="External"/><Relationship Id="rId62" Type="http://schemas.openxmlformats.org/officeDocument/2006/relationships/hyperlink" Target="../../../../../../../:b:/r/sites/Corp/Shared%20Documents/3.%20Ops%20%26%20Admin/16.%20Engr%20and%20Ops/20.%20Plant%20Equipment%20and%20Suppliers/All%20Equip%20Proposals/Fitchburg%20Amtreat%20%20Centrate%20Sidestream%20Treatment.pdf?csf=1&amp;web=1&amp;e=YgQiwr" TargetMode="External"/><Relationship Id="rId70" Type="http://schemas.openxmlformats.org/officeDocument/2006/relationships/hyperlink" Target="../../../../../../../:b:/r/sites/Corp/Shared%20Documents/3.%20Ops%20%26%20Admin/16.%20Engr%20and%20Ops/20.%20Plant%20Equipment%20and%20Suppliers/All%20Equip%20Proposals/H2S%20Removal%20%26%20Zero02%20E2000%20Proposal_EcoVapor%20a%20DNOW%20Company_Persimmon%20Renewables%20LLC_05.12.2025%20(Execution%20Version)%20-%20signed.pdf?csf=1&amp;web=1&amp;e=jMYpEb" TargetMode="External"/><Relationship Id="rId75" Type="http://schemas.openxmlformats.org/officeDocument/2006/relationships/hyperlink" Target="../../../../../../../:b:/r/sites/Corp/Shared%20Documents/3.%20Ops%20%26%20Admin/16.%20Engr%20and%20Ops/20.%20Plant%20Equipment%20and%20Suppliers/All%20Equip%20Proposals/P%20KRH%2025%20001B%20R1%20BurnhamRNG%20SulfAx.pdf?csf=1&amp;web=1&amp;e=RZszLD" TargetMode="External"/><Relationship Id="rId83" Type="http://schemas.openxmlformats.org/officeDocument/2006/relationships/hyperlink" Target="../../../../../../../:b:/r/sites/Corp/Shared%20Documents/3.%20Ops%20%26%20Admin/16.%20Engr%20and%20Ops/20.%20Plant%20Equipment%20and%20Suppliers/All%20Equip%20Proposals/Q104-00917%20Burnham%20RNG%20Bright%20Budget%20Quote.pdf?csf=1&amp;web=1&amp;e=bX1Enf" TargetMode="External"/><Relationship Id="rId88" Type="http://schemas.openxmlformats.org/officeDocument/2006/relationships/hyperlink" Target="../../../../../../../:b:/r/sites/Corp/Shared%20Documents/3.%20Ops%20%26%20Admin/16.%20Engr%20and%20Ops/20.%20Plant%20Equipment%20and%20Suppliers/All%20Equip%20Proposals/Quote%201.pdf?csf=1&amp;web=1&amp;e=Mczpsv" TargetMode="External"/><Relationship Id="rId91" Type="http://schemas.openxmlformats.org/officeDocument/2006/relationships/hyperlink" Target="../../../../../../../:b:/r/sites/Corp/Shared%20Documents/3.%20Ops%20%26%20Admin/16.%20Engr%20and%20Ops/20.%20Plant%20Equipment%20and%20Suppliers/All%20Equip%20Proposals/Seepex%20Sludge%20Pumps.pdf?csf=1&amp;web=1&amp;e=YMLmAv" TargetMode="External"/><Relationship Id="rId96" Type="http://schemas.openxmlformats.org/officeDocument/2006/relationships/hyperlink" Target="../../../../../../../:b:/r/sites/Corp/Shared%20Documents/3.%20Ops%20%26%20Admin/16.%20Engr%20and%20Ops/20.%20Plant%20Equipment%20and%20Suppliers/All%20Equip%20Proposals/WN%20Lyles%20Purchase%20Agreement%2055.1171-03%20Fully%20Executed.pdf?csf=1&amp;web=1&amp;e=Wb1Bfh" TargetMode="External"/><Relationship Id="rId1" Type="http://schemas.openxmlformats.org/officeDocument/2006/relationships/hyperlink" Target="../../../../../../../:b:/r/sites/Corp/Shared%20Documents/3.%20Ops%20%26%20Admin/16.%20Engr%20and%20Ops/20.%20Plant%20Equipment%20and%20Suppliers/All%20Equip%20Proposals/002568-A-ENG-BUC-001-FA0.pdf?csf=1&amp;web=1&amp;e=p0VsFT" TargetMode="External"/><Relationship Id="rId6" Type="http://schemas.openxmlformats.org/officeDocument/2006/relationships/hyperlink" Target="../../../../../../../:b:/r/sites/Corp/Shared%20Documents/3.%20Ops%20%26%20Admin/16.%20Engr%20and%20Ops/20.%20Plant%20Equipment%20and%20Suppliers/All%20Equip%20Proposals/20230228%20TPG-8882%20KS%2016W-3000%20Dryer%20Budget%20for%20EQ%20Renewables.pdf?csf=1&amp;web=1&amp;e=fCe6bS" TargetMode="External"/><Relationship Id="rId15" Type="http://schemas.openxmlformats.org/officeDocument/2006/relationships/hyperlink" Target="../../../../../../../:b:/r/sites/Corp/Shared%20Documents/3.%20Ops%20%26%20Admin/16.%20Engr%20and%20Ops/20.%20Plant%20Equipment%20and%20Suppliers/All%20Equip%20Proposals/240017%20Burnham%20proposal%20400-800-1200%20scfm.pdf?csf=1&amp;web=1&amp;e=6SJFdn" TargetMode="External"/><Relationship Id="rId23" Type="http://schemas.openxmlformats.org/officeDocument/2006/relationships/hyperlink" Target="../../../../../../../:b:/r/sites/Corp/Shared%20Documents/3.%20Ops%20%26%20Admin/16.%20Engr%20and%20Ops/20.%20Plant%20Equipment%20and%20Suppliers/All%20Equip%20Proposals/9.4%20Digester%20Tanks.pdf?csf=1&amp;web=1&amp;e=N1LpUK" TargetMode="External"/><Relationship Id="rId28" Type="http://schemas.openxmlformats.org/officeDocument/2006/relationships/hyperlink" Target="../../../../../../../:b:/r/sites/Corp/Shared%20Documents/3.%20Ops%20%26%20Admin/16.%20Engr%20and%20Ops/20.%20Plant%20Equipment%20and%20Suppliers/All%20Equip%20Proposals/9.8%20Thermal%20Oxidizer.pdf?csf=1&amp;web=1&amp;e=rqrfMs" TargetMode="External"/><Relationship Id="rId36" Type="http://schemas.openxmlformats.org/officeDocument/2006/relationships/hyperlink" Target="../../../../../../../:b:/r/sites/Corp/Shared%20Documents/3.%20Ops%20%26%20Admin/16.%20Engr%20and%20Ops/20.%20Plant%20Equipment%20and%20Suppliers/All%20Equip%20Proposals/B23007-EQ%20Renewables-Fitchburg-Sysadvance.pdf?csf=1&amp;web=1&amp;e=6pqP9w" TargetMode="External"/><Relationship Id="rId49" Type="http://schemas.openxmlformats.org/officeDocument/2006/relationships/hyperlink" Target="../../../../../../../:b:/r/sites/Corp/Shared%20Documents/3.%20Ops%20%26%20Admin/16.%20Engr%20and%20Ops/20.%20Plant%20Equipment%20and%20Suppliers/All%20Equip%20Proposals/E14586%20v2%20r0%20Navitas%20ABI%20ID%20PSA%20Proposal.pdf?csf=1&amp;web=1&amp;e=MY7Mkm" TargetMode="External"/><Relationship Id="rId57" Type="http://schemas.openxmlformats.org/officeDocument/2006/relationships/hyperlink" Target="../../../../../../../:b:/r/sites/Corp/Shared%20Documents/3.%20Ops%20%26%20Admin/16.%20Engr%20and%20Ops/20.%20Plant%20Equipment%20and%20Suppliers/All%20Equip%20Proposals/Email%20-%20ARCO%20-%2030%25%20TIC%20Estimate%20and%20explanations%20Liquids%20Receiving%20-%20Dec%206%202024.pdf?csf=1&amp;web=1&amp;e=je0IO9" TargetMode="External"/><Relationship Id="rId10" Type="http://schemas.openxmlformats.org/officeDocument/2006/relationships/hyperlink" Target="../../../../../../../:b:/r/sites/Corp/Shared%20Documents/3.%20Ops%20%26%20Admin/16.%20Engr%20and%20Ops/20.%20Plant%20Equipment%20and%20Suppliers/All%20Equip%20Proposals/230312%201000%20scfm%20Burnham%20RNG%20proposal.pdf?csf=1&amp;web=1&amp;e=5DxISp" TargetMode="External"/><Relationship Id="rId31" Type="http://schemas.openxmlformats.org/officeDocument/2006/relationships/hyperlink" Target="../../../../../../../:b:/r/sites/Corp/Shared%20Documents/3.%20Ops%20%26%20Admin/16.%20Engr%20and%20Ops/20.%20Plant%20Equipment%20and%20Suppliers/All%20Equip%20Proposals/ACQ-14147rev02%20Burnham%20RNG%20Quote.pdf?csf=1&amp;web=1&amp;e=ad8df1" TargetMode="External"/><Relationship Id="rId44" Type="http://schemas.openxmlformats.org/officeDocument/2006/relationships/hyperlink" Target="../../../../../../../:b:/r/sites/Corp/Shared%20Documents/3.%20Ops%20%26%20Admin/16.%20Engr%20and%20Ops/20.%20Plant%20Equipment%20and%20Suppliers/All%20Equip%20Proposals/Cost%20Summary%20-%20Burnham%20OKL%20(2500%20ppm%20850%20SCFM).pdf?csf=1&amp;web=1&amp;e=Ps222H" TargetMode="External"/><Relationship Id="rId52" Type="http://schemas.openxmlformats.org/officeDocument/2006/relationships/hyperlink" Target="../../../../../../../:b:/r/sites/Corp/Shared%20Documents/3.%20Ops%20%26%20Admin/16.%20Engr%20and%20Ops/20.%20Plant%20Equipment%20and%20Suppliers/All%20Equip%20Proposals/EA-150-3%20Pipeline%20Injection%20Compressor%20Quotation%201-28-25.pdf?csf=1&amp;web=1&amp;e=RGxfQ4" TargetMode="External"/><Relationship Id="rId60" Type="http://schemas.openxmlformats.org/officeDocument/2006/relationships/hyperlink" Target="../../../../../../../:b:/r/sites/Corp/Shared%20Documents/3.%20Ops%20%26%20Admin/16.%20Engr%20and%20Ops/20.%20Plant%20Equipment%20and%20Suppliers/All%20Equip%20Proposals/Est_6115_from_NUHN_INDUSTRIES_LTD_16740.pdf?csf=1&amp;web=1&amp;e=zvi2Wr" TargetMode="External"/><Relationship Id="rId65" Type="http://schemas.openxmlformats.org/officeDocument/2006/relationships/hyperlink" Target="../../../../../../../:x:/r/sites/Corp/Shared%20Documents/3.%20Ops%20%26%20Admin/16.%20Engr%20and%20Ops/20.%20Plant%20Equipment%20and%20Suppliers/All%20Equip%20Proposals/GasUpgrade_Pasco.BGE.2022.2500scfm_v1.xlsx?d=w77f3422f6fa44de3a795f89f8b716ae8&amp;csf=1&amp;web=1&amp;e=Q5aEoJ" TargetMode="External"/><Relationship Id="rId73" Type="http://schemas.openxmlformats.org/officeDocument/2006/relationships/hyperlink" Target="../../../../../../../:b:/r/sites/Corp/Shared%20Documents/3.%20Ops%20%26%20Admin/16.%20Engr%20and%20Ops/20.%20Plant%20Equipment%20and%20Suppliers/All%20Equip%20Proposals/P%20KRH%2025%20001A%20R1%20BurnhamRNG%20H2SPlus.pdf?csf=1&amp;web=1&amp;e=D3dzyZ" TargetMode="External"/><Relationship Id="rId78" Type="http://schemas.openxmlformats.org/officeDocument/2006/relationships/hyperlink" Target="../../../../../../../:b:/r/sites/Corp/Shared%20Documents/3.%20Ops%20%26%20Admin/16.%20Engr%20and%20Ops/20.%20Plant%20Equipment%20and%20Suppliers/All%20Equip%20Proposals/PO%203036-00042%20-%20Primus%20Power%20-%20Fully%20Executed.pdf?csf=1&amp;web=1&amp;e=LsWteb" TargetMode="External"/><Relationship Id="rId81" Type="http://schemas.openxmlformats.org/officeDocument/2006/relationships/hyperlink" Target="../../../../Forms/Default%20View.aspx?sortField=LinkFilename&amp;isAscending=true&amp;FolderCTID=0x01200089CB5154DBCE124CA9CE59B41018697D&amp;id=%2Fsites%2FCorp%2FShared%20Documents%2F3%2E%20Ops%20%26%20Admin%2F16%2E%20Engr%20and%20Ops%2F20%2E%20Plant%20Equipment%20and%20Suppliers%2FAll%20Equip%20Proposals%2FPurchase%20Agreement%20PO%203036%2D000019%20Air%20Liquide%20%2D%20Executed%203%2D29%2D19%2Epdf&amp;viewid=a375d421%2D6b38%2D4787%2Da064%2Dcf9907e7f540&amp;parent=%2Fsites%2FCorp%2FShared%20Documents%2F3%2E%20Ops%20%26%20Admin%2F16%2E%20Engr%20and%20Ops%2F20%2E%20Plant%20Equipment%20and%20Suppliers%2FAll%20Equip%20Proposals" TargetMode="External"/><Relationship Id="rId86" Type="http://schemas.openxmlformats.org/officeDocument/2006/relationships/hyperlink" Target="../../../../../../../:b:/r/sites/Corp/Shared%20Documents/3.%20Ops%20%26%20Admin/16.%20Engr%20and%20Ops/20.%20Plant%20Equipment%20and%20Suppliers/All%20Equip%20Proposals/QL31797%20REV%202-%20Ardurra%20-%20Fitchburg%20MA.pdf?csf=1&amp;web=1&amp;e=Fjkvpz" TargetMode="External"/><Relationship Id="rId94" Type="http://schemas.openxmlformats.org/officeDocument/2006/relationships/hyperlink" Target="../../../../../../../:b:/r/sites/Corp/Shared%20Documents/3.%20Ops%20%26%20Admin/16.%20Engr%20and%20Ops/20.%20Plant%20Equipment%20and%20Suppliers/All%20Equip%20Proposals/Source-Separated-Organics-Feasibiity-Study-201703.pdf?csf=1&amp;web=1&amp;e=eI4eHs" TargetMode="External"/><Relationship Id="rId99" Type="http://schemas.openxmlformats.org/officeDocument/2006/relationships/hyperlink" Target="../../../../../../../:b:/r/sites/Corp/Shared%20Documents/3.%20Ops%20%26%20Admin/16.%20Engr%20and%20Ops/20.%20Plant%20Equipment%20and%20Suppliers/All%20Equip%20Proposals/Zeeco%20budgetary%20proposal.pdf?csf=1&amp;web=1&amp;e=junoRk" TargetMode="External"/><Relationship Id="rId101" Type="http://schemas.openxmlformats.org/officeDocument/2006/relationships/hyperlink" Target="../../../../../../../:b:/r/sites/Corp/Shared%20Documents/3.%20Ops%20%26%20Admin/16.%20Engr%20and%20Ops/20.%20Plant%20Equipment%20and%20Suppliers/All%20Equip%20Proposals/Gresham_Anaerobic_Digestion_Predesign_Report_Final_wApps_r%20(1).pdf?csf=1&amp;web=1&amp;e=TjNocr" TargetMode="External"/><Relationship Id="rId4" Type="http://schemas.openxmlformats.org/officeDocument/2006/relationships/hyperlink" Target="../../../../../../../:b:/r/sites/Corp/Shared%20Documents/3.%20Ops%20%26%20Admin/16.%20Engr%20and%20Ops/20.%20Plant%20Equipment%20and%20Suppliers/All%20Equip%20Proposals/13707Q2.pdf?csf=1&amp;web=1&amp;e=y3IUbq" TargetMode="External"/><Relationship Id="rId9" Type="http://schemas.openxmlformats.org/officeDocument/2006/relationships/hyperlink" Target="../../../../../../../:b:/r/sites/Corp/Shared%20Documents/3.%20Ops%20%26%20Admin/16.%20Engr%20and%20Ops/20.%20Plant%20Equipment%20and%20Suppliers/All%20Equip%20Proposals/22037004-026%20RKA%20POA.pdf?csf=1&amp;web=1&amp;e=pet5bH" TargetMode="External"/><Relationship Id="rId13" Type="http://schemas.openxmlformats.org/officeDocument/2006/relationships/hyperlink" Target="../../../../../../../:b:/r/sites/Corp/Shared%20Documents/3.%20Ops%20%26%20Admin/16.%20Engr%20and%20Ops/20.%20Plant%20Equipment%20and%20Suppliers/All%20Equip%20Proposals/230312%202%20x%20600%20scfm%20Burnham%20RNG%20proposal.pdf?csf=1&amp;web=1&amp;e=kezQT4" TargetMode="External"/><Relationship Id="rId18" Type="http://schemas.openxmlformats.org/officeDocument/2006/relationships/hyperlink" Target="../../../../../../../:b:/r/sites/Corp/Shared%20Documents/3.%20Ops%20%26%20Admin/16.%20Engr%20and%20Ops/20.%20Plant%20Equipment%20and%20Suppliers/All%20Equip%20Proposals/4972897%20-%20LP-6500%20-%20Budgetary%20Proposal%2020220321.pdf?csf=1&amp;web=1&amp;e=461Lvf" TargetMode="External"/><Relationship Id="rId39" Type="http://schemas.openxmlformats.org/officeDocument/2006/relationships/hyperlink" Target="../../../../../../../:b:/r/sites/Corp/Shared%20Documents/3.%20Ops%20%26%20Admin/16.%20Engr%20and%20Ops/20.%20Plant%20Equipment%20and%20Suppliers/All%20Equip%20Proposals/B25014-Burnham-Pryor%20Covered%20Lagoon-Equipment%20Proposal-RevA-20250307.pdf?csf=1&amp;web=1&amp;e=vUkZRI" TargetMode="External"/><Relationship Id="rId34" Type="http://schemas.openxmlformats.org/officeDocument/2006/relationships/hyperlink" Target="../../../../../../../:b:/r/sites/Corp/Shared%20Documents/3.%20Ops%20%26%20Admin/16.%20Engr%20and%20Ops/20.%20Plant%20Equipment%20and%20Suppliers/All%20Equip%20Proposals/ACS%20Quote-ACQ14147_Applied%20Compression%20Systems_Persimmon%20Renewables%20LLC_05.06.2025%20(Execution%20Version)%20-%20signed.pdf?csf=1&amp;web=1&amp;e=HGnCcA" TargetMode="External"/><Relationship Id="rId50" Type="http://schemas.openxmlformats.org/officeDocument/2006/relationships/hyperlink" Target="../../../../../../../:b:/r/sites/Corp/Shared%20Documents/3.%20Ops%20%26%20Admin/16.%20Engr%20and%20Ops/20.%20Plant%20Equipment%20and%20Suppliers/All%20Equip%20Proposals/E2412100_FEED_.R0A1.pdf?csf=1&amp;web=1&amp;e=4MOcWj" TargetMode="External"/><Relationship Id="rId55" Type="http://schemas.openxmlformats.org/officeDocument/2006/relationships/hyperlink" Target="../../../../../../../:b:/r/sites/Corp/Shared%20Documents/3.%20Ops%20%26%20Admin/16.%20Engr%20and%20Ops/20.%20Plant%20Equipment%20and%20Suppliers/All%20Equip%20Proposals/Ecovapor%20Proposal%20-%20EVB-042558%20R1%20Burnham.pdf?csf=1&amp;web=1&amp;e=o65zhX" TargetMode="External"/><Relationship Id="rId76" Type="http://schemas.openxmlformats.org/officeDocument/2006/relationships/hyperlink" Target="../../../../../../../:b:/r/sites/Corp/Shared%20Documents/3.%20Ops%20%26%20Admin/16.%20Engr%20and%20Ops/20.%20Plant%20Equipment%20and%20Suppliers/All%20Equip%20Proposals/P%20KRH%2025%20001B%20R1%20BurnhamRNG%20SulfAx.pdf?csf=1&amp;web=1&amp;e=RZszLD" TargetMode="External"/><Relationship Id="rId97" Type="http://schemas.openxmlformats.org/officeDocument/2006/relationships/hyperlink" Target="../../../../../../../:b:/r/sites/Corp/Shared%20Documents/3.%20Ops%20%26%20Admin/16.%20Engr%20and%20Ops/20.%20Plant%20Equipment%20and%20Suppliers/All%20Equip%20Proposals/WN%20Lyles%20Purchase%20Agreement%2055.1171-03%20Fully%20Executed.pdf?csf=1&amp;web=1&amp;e=Wb1Bfh" TargetMode="External"/><Relationship Id="rId7" Type="http://schemas.openxmlformats.org/officeDocument/2006/relationships/hyperlink" Target="../../../../../../../:b:/r/sites/Corp/Shared%20Documents/3.%20Ops%20%26%20Admin/16.%20Engr%20and%20Ops/20.%20Plant%20Equipment%20and%20Suppliers/All%20Equip%20Proposals/20250305%20TPG9704%20Burnham%20RNG%20Paddle%20Dryer%20Budget%20Quotation.pdf?csf=1&amp;web=1&amp;e=Gv3F1v" TargetMode="External"/><Relationship Id="rId71" Type="http://schemas.openxmlformats.org/officeDocument/2006/relationships/hyperlink" Target="../../../../../../../:b:/r/sites/Corp/Shared%20Documents/3.%20Ops%20%26%20Admin/16.%20Engr%20and%20Ops/20.%20Plant%20Equipment%20and%20Suppliers/All%20Equip%20Proposals/MPA_Prodeval%20Corp._Burnham%20RNG%20LLC_8.13.2024_Executed.pdf?csf=1&amp;web=1&amp;e=gnC1IL" TargetMode="External"/><Relationship Id="rId92" Type="http://schemas.openxmlformats.org/officeDocument/2006/relationships/hyperlink" Target="../../../../../../../:b:/r/sites/Corp/Shared%20Documents/3.%20Ops%20%26%20Admin/16.%20Engr%20and%20Ops/20.%20Plant%20Equipment%20and%20Suppliers/All%20Equip%20Proposals/Seepex%20Sludge%20Pumps.pdf?csf=1&amp;web=1&amp;e=YMLmAv" TargetMode="External"/><Relationship Id="rId2" Type="http://schemas.openxmlformats.org/officeDocument/2006/relationships/hyperlink" Target="../../../../../../../:b:/r/sites/Corp/Shared%20Documents/3.%20Ops%20%26%20Admin/16.%20Engr%20and%20Ops/20.%20Plant%20Equipment%20and%20Suppliers/All%20Equip%20Proposals/002568-A-ENG-BUC-001-FA0.pdf?csf=1&amp;web=1&amp;e=p0VsFT" TargetMode="External"/><Relationship Id="rId29" Type="http://schemas.openxmlformats.org/officeDocument/2006/relationships/hyperlink" Target="../../../../../../../:b:/r/sites/Corp/Shared%20Documents/3.%20Ops%20%26%20Admin/16.%20Engr%20and%20Ops/20.%20Plant%20Equipment%20and%20Suppliers/All%20Equip%20Proposals/982r1%20EQ%20Renewables%20250%20circ%20quote.pdf?csf=1&amp;web=1&amp;e=sgb9n3" TargetMode="External"/><Relationship Id="rId24" Type="http://schemas.openxmlformats.org/officeDocument/2006/relationships/hyperlink" Target="../../../../../../../:b:/r/sites/Corp/Shared%20Documents/3.%20Ops%20%26%20Admin/16.%20Engr%20and%20Ops/20.%20Plant%20Equipment%20and%20Suppliers/All%20Equip%20Proposals/9.5%20H2S%20Removal.pdf?csf=1&amp;web=1&amp;e=V85t7o" TargetMode="External"/><Relationship Id="rId40" Type="http://schemas.openxmlformats.org/officeDocument/2006/relationships/hyperlink" Target="../../../../../../../:b:/r/sites/Corp/Shared%20Documents/3.%20Ops%20%26%20Admin/16.%20Engr%20and%20Ops/20.%20Plant%20Equipment%20and%20Suppliers/All%20Equip%20Proposals/Blending%20Skid%2013707Q3.pdf?csf=1&amp;web=1&amp;e=z55j3E" TargetMode="External"/><Relationship Id="rId45" Type="http://schemas.openxmlformats.org/officeDocument/2006/relationships/hyperlink" Target="../../../../../../../:b:/r/sites/Corp/Shared%20Documents/3.%20Ops%20%26%20Admin/16.%20Engr%20and%20Ops/20.%20Plant%20Equipment%20and%20Suppliers/All%20Equip%20Proposals/Cost%20Summary%20-%20Burnham%20OKL%20(2500%20ppm%20850%20SCFM).pdf?csf=1&amp;web=1&amp;e=Ps222H" TargetMode="External"/><Relationship Id="rId66" Type="http://schemas.openxmlformats.org/officeDocument/2006/relationships/hyperlink" Target="../../../../../../../:x:/r/sites/Corp/Shared%20Documents/3.%20Ops%20%26%20Admin/16.%20Engr%20and%20Ops/20.%20Plant%20Equipment%20and%20Suppliers/All%20Equip%20Proposals/GasUpgrade_Pasco.BGE.2022.2500scfm_v1.xlsx?d=w77f3422f6fa44de3a795f89f8b716ae8&amp;csf=1&amp;web=1&amp;e=Q5aEoJ" TargetMode="External"/><Relationship Id="rId87" Type="http://schemas.openxmlformats.org/officeDocument/2006/relationships/hyperlink" Target="../../../../../../../:b:/r/sites/Corp/Shared%20Documents/3.%20Ops%20%26%20Admin/16.%20Engr%20and%20Ops/20.%20Plant%20Equipment%20and%20Suppliers/All%20Equip%20Proposals/Quote%20%232%20-%20Keco.pdf?csf=1&amp;web=1&amp;e=fzzecS" TargetMode="External"/><Relationship Id="rId61" Type="http://schemas.openxmlformats.org/officeDocument/2006/relationships/hyperlink" Target="../../../../../../../:b:/r/sites/Corp/Shared%20Documents/3.%20Ops%20%26%20Admin/16.%20Engr%20and%20Ops/20.%20Plant%20Equipment%20and%20Suppliers/All%20Equip%20Proposals/Est_6116_from_NUHN_INDUSTRIES_LTD_16740.pdf?csf=1&amp;web=1&amp;e=Df0rOn" TargetMode="External"/><Relationship Id="rId82" Type="http://schemas.openxmlformats.org/officeDocument/2006/relationships/hyperlink" Target="../../../../Forms/Default%20View.aspx?sortField=LinkFilename&amp;isAscending=true&amp;FolderCTID=0x01200089CB5154DBCE124CA9CE59B41018697D&amp;id=%2Fsites%2FCorp%2FShared%20Documents%2F3%2E%20Ops%20%26%20Admin%2F16%2E%20Engr%20and%20Ops%2F20%2E%20Plant%20Equipment%20and%20Suppliers%2FAll%20Equip%20Proposals%2FPurchase%20Agreement%20PO%203036%2D000019%20Air%20Liquide%20%2D%20Executed%203%2D29%2D19%2Epdf&amp;viewid=a375d421%2D6b38%2D4787%2Da064%2Dcf9907e7f540&amp;parent=%2Fsites%2FCorp%2FShared%20Documents%2F3%2E%20Ops%20%26%20Admin%2F16%2E%20Engr%20and%20Ops%2F20%2E%20Plant%20Equipment%20and%20Suppliers%2FAll%20Equip%20Proposals" TargetMode="External"/><Relationship Id="rId19" Type="http://schemas.openxmlformats.org/officeDocument/2006/relationships/hyperlink" Target="../../../../../../../:b:/r/sites/Corp/Shared%20Documents/3.%20Ops%20%26%20Admin/16.%20Engr%20and%20Ops/20.%20Plant%20Equipment%20and%20Suppliers/All%20Equip%20Proposals/65005-0-Proposal-Jenbacher%20J316%20Natural%20Gas%20Engines%20Thermal%20Oil.pdf?csf=1&amp;web=1&amp;e=YN0RlW" TargetMode="External"/><Relationship Id="rId14" Type="http://schemas.openxmlformats.org/officeDocument/2006/relationships/hyperlink" Target="../../../../../../../:b:/r/sites/Corp/Shared%20Documents/3.%20Ops%20%26%20Admin/16.%20Engr%20and%20Ops/20.%20Plant%20Equipment%20and%20Suppliers/All%20Equip%20Proposals/240017%20Burnham%20proposal%20400-800-1200%20scfm.pdf?csf=1&amp;web=1&amp;e=6SJFdn" TargetMode="External"/><Relationship Id="rId30" Type="http://schemas.openxmlformats.org/officeDocument/2006/relationships/hyperlink" Target="../../../../../../../:b:/r/sites/Corp/Shared%20Documents/3.%20Ops%20%26%20Admin/16.%20Engr%20and%20Ops/20.%20Plant%20Equipment%20and%20Suppliers/All%20Equip%20Proposals/ACQ-14147%20-%20Burnham%20RNG-%20RNG%20-%20Vector%207100%20-%20Quotation.pdf?csf=1&amp;web=1&amp;e=QqxiKt" TargetMode="External"/><Relationship Id="rId35" Type="http://schemas.openxmlformats.org/officeDocument/2006/relationships/hyperlink" Target="../../../../../../../:b:/r/sites/Corp/Shared%20Documents/3.%20Ops%20%26%20Admin/16.%20Engr%20and%20Ops/20.%20Plant%20Equipment%20and%20Suppliers/All%20Equip%20Proposals/ARI%20BUDGETARY%20Proposal%20A24-1217%20Burnham%20RNG-FINAL%20(002).pdf?csf=1&amp;web=1&amp;e=ylmGmN" TargetMode="External"/><Relationship Id="rId56" Type="http://schemas.openxmlformats.org/officeDocument/2006/relationships/hyperlink" Target="../../../../../../../:b:/r/sites/Corp/Shared%20Documents/3.%20Ops%20%26%20Admin/16.%20Engr%20and%20Ops/20.%20Plant%20Equipment%20and%20Suppliers/All%20Equip%20Proposals/Ecovapor%20Proposal%20-%20EVB-042558%20R1%20Burnham.pdf?csf=1&amp;web=1&amp;e=o65zhX" TargetMode="External"/><Relationship Id="rId77" Type="http://schemas.openxmlformats.org/officeDocument/2006/relationships/hyperlink" Target="../../../../../../../:b:/r/sites/Corp/Shared%20Documents/3.%20Ops%20%26%20Admin/16.%20Engr%20and%20Ops/20.%20Plant%20Equipment%20and%20Suppliers/All%20Equip%20Proposals/PO%203036-000052%20-%20Pacific%20Standard%20Environmental%20-%20Fully%20Executed.pdf?csf=1&amp;web=1&amp;e=siz6gv" TargetMode="External"/><Relationship Id="rId100" Type="http://schemas.openxmlformats.org/officeDocument/2006/relationships/hyperlink" Target="../../../../../../../:b:/r/sites/Corp/Shared%20Documents/3.%20Ops%20%26%20Admin/16.%20Engr%20and%20Ops/20.%20Plant%20Equipment%20and%20Suppliers/All%20Equip%20Proposals/AF007954_BUDGET.QUOTE_BURNHAM%20Nashville%20TN%20-%20VPUR08.pdf?csf=1&amp;web=1&amp;e=YP4wxK" TargetMode="External"/><Relationship Id="rId8" Type="http://schemas.openxmlformats.org/officeDocument/2006/relationships/hyperlink" Target="../../../../../../../:b:/r/sites/Corp/Shared%20Documents/3.%20Ops%20%26%20Admin/16.%20Engr%20and%20Ops/20.%20Plant%20Equipment%20and%20Suppliers/All%20Equip%20Proposals/2025-05253RA-01%20(Engineering%20Only)%20R0.pdf?csf=1&amp;web=1&amp;e=KhEHFB" TargetMode="External"/><Relationship Id="rId51" Type="http://schemas.openxmlformats.org/officeDocument/2006/relationships/hyperlink" Target="../../../../../../../:b:/r/sites/Corp/Shared%20Documents/3.%20Ops%20%26%20Admin/16.%20Engr%20and%20Ops/20.%20Plant%20Equipment%20and%20Suppliers/All%20Equip%20Proposals/EA-100-1%20Injection%20Compressor%20Quotation%201-28-25.pdf?csf=1&amp;web=1&amp;e=6MXygu" TargetMode="External"/><Relationship Id="rId72" Type="http://schemas.openxmlformats.org/officeDocument/2006/relationships/hyperlink" Target="../../../../../../../:b:/r/sites/Corp/Shared%20Documents/3.%20Ops%20%26%20Admin/16.%20Engr%20and%20Ops/20.%20Plant%20Equipment%20and%20Suppliers/All%20Equip%20Proposals/MPA_Prodeval%20Corp._Burnham%20RNG%20LLC_8.13.2024_Executed.pdf?csf=1&amp;web=1&amp;e=gnC1IL" TargetMode="External"/><Relationship Id="rId93" Type="http://schemas.openxmlformats.org/officeDocument/2006/relationships/hyperlink" Target="../../../../../../../:b:/r/sites/Corp/Shared%20Documents/3.%20Ops%20%26%20Admin/16.%20Engr%20and%20Ops/20.%20Plant%20Equipment%20and%20Suppliers/All%20Equip%20Proposals/Source-Separated-Organics-Feasibiity-Study-201703.pdf?csf=1&amp;web=1&amp;e=eI4eHs" TargetMode="External"/><Relationship Id="rId98" Type="http://schemas.openxmlformats.org/officeDocument/2006/relationships/hyperlink" Target="../../../../../../../:b:/r/sites/Corp/Shared%20Documents/3.%20Ops%20%26%20Admin/16.%20Engr%20and%20Ops/20.%20Plant%20Equipment%20and%20Suppliers/All%20Equip%20Proposals/Zeeco%20budgetary%20proposal.pdf?csf=1&amp;web=1&amp;e=junoRk" TargetMode="External"/><Relationship Id="rId3" Type="http://schemas.openxmlformats.org/officeDocument/2006/relationships/hyperlink" Target="../../../../../../../:b:/r/sites/Corp/Shared%20Documents/3.%20Ops%20%26%20Admin/16.%20Engr%20and%20Ops/20.%20Plant%20Equipment%20and%20Suppliers/All%20Equip%20Proposals/11718%20Ardurra%20Group%203%20x%20CS21-4HC%202PH%20proposal.pdf?csf=1&amp;web=1&amp;e=K7WWf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4"/>
  <sheetViews>
    <sheetView tabSelected="1" topLeftCell="A159" zoomScaleNormal="100" workbookViewId="0">
      <selection activeCell="E175" sqref="E175"/>
    </sheetView>
  </sheetViews>
  <sheetFormatPr defaultRowHeight="15"/>
  <cols>
    <col min="1" max="1" width="45.85546875" style="2" customWidth="1"/>
    <col min="2" max="2" width="28.42578125" customWidth="1"/>
    <col min="3" max="3" width="13.28515625" customWidth="1"/>
    <col min="4" max="4" width="25.7109375" customWidth="1"/>
    <col min="5" max="5" width="23.28515625" style="5" customWidth="1"/>
    <col min="6" max="6" width="13.7109375" style="6" customWidth="1"/>
    <col min="7" max="7" width="17.42578125" customWidth="1"/>
    <col min="8" max="8" width="18" customWidth="1"/>
    <col min="9" max="9" width="21.42578125" customWidth="1"/>
    <col min="10" max="10" width="12.140625" customWidth="1"/>
    <col min="11" max="11" width="13.140625" customWidth="1"/>
  </cols>
  <sheetData>
    <row r="1" spans="1:11">
      <c r="A1" s="2" t="s">
        <v>0</v>
      </c>
      <c r="B1" t="s">
        <v>1</v>
      </c>
      <c r="C1" t="s">
        <v>2</v>
      </c>
      <c r="D1" t="s">
        <v>3</v>
      </c>
      <c r="E1" s="5" t="s">
        <v>4</v>
      </c>
      <c r="F1" s="6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6.5">
      <c r="A2" s="2" t="s">
        <v>11</v>
      </c>
      <c r="B2" s="2" t="s">
        <v>12</v>
      </c>
      <c r="C2" s="3">
        <v>45335</v>
      </c>
      <c r="D2" t="s">
        <v>13</v>
      </c>
      <c r="E2" s="5">
        <v>426642.99</v>
      </c>
      <c r="F2" s="6">
        <v>1</v>
      </c>
      <c r="G2" s="1" t="s">
        <v>14</v>
      </c>
      <c r="J2" s="4" t="s">
        <v>9</v>
      </c>
      <c r="K2" t="s">
        <v>15</v>
      </c>
    </row>
    <row r="3" spans="1:11">
      <c r="A3" s="2" t="s">
        <v>11</v>
      </c>
      <c r="B3" s="2" t="s">
        <v>12</v>
      </c>
      <c r="C3" s="3">
        <v>45335</v>
      </c>
      <c r="D3" t="s">
        <v>16</v>
      </c>
      <c r="E3" s="5">
        <v>968672.92</v>
      </c>
      <c r="F3" s="6">
        <v>1</v>
      </c>
      <c r="G3" s="1" t="s">
        <v>17</v>
      </c>
      <c r="J3" s="4" t="s">
        <v>9</v>
      </c>
      <c r="K3" t="s">
        <v>15</v>
      </c>
    </row>
    <row r="4" spans="1:11">
      <c r="A4" s="2" t="s">
        <v>11</v>
      </c>
      <c r="B4" s="2" t="s">
        <v>12</v>
      </c>
      <c r="C4" s="3">
        <v>45335</v>
      </c>
      <c r="D4" t="s">
        <v>18</v>
      </c>
      <c r="E4" s="5">
        <v>623345.07999999996</v>
      </c>
      <c r="F4" s="6">
        <v>1</v>
      </c>
      <c r="G4" s="1" t="s">
        <v>19</v>
      </c>
      <c r="J4" s="4" t="s">
        <v>9</v>
      </c>
      <c r="K4" t="s">
        <v>15</v>
      </c>
    </row>
    <row r="5" spans="1:11">
      <c r="A5" s="2" t="s">
        <v>11</v>
      </c>
      <c r="B5" s="2" t="s">
        <v>12</v>
      </c>
      <c r="C5" s="3">
        <v>45335</v>
      </c>
      <c r="D5" t="s">
        <v>20</v>
      </c>
      <c r="E5" s="5">
        <v>1357327.06</v>
      </c>
      <c r="F5" s="6">
        <v>6</v>
      </c>
      <c r="G5" s="1" t="s">
        <v>19</v>
      </c>
      <c r="J5" s="4" t="s">
        <v>9</v>
      </c>
      <c r="K5" t="s">
        <v>15</v>
      </c>
    </row>
    <row r="6" spans="1:11" ht="16.5">
      <c r="A6" s="2" t="s">
        <v>11</v>
      </c>
      <c r="B6" s="2" t="s">
        <v>12</v>
      </c>
      <c r="C6" s="3">
        <v>45335</v>
      </c>
      <c r="D6" t="s">
        <v>21</v>
      </c>
      <c r="E6" s="5">
        <v>13105683.27</v>
      </c>
      <c r="F6" s="6">
        <v>6</v>
      </c>
      <c r="G6" s="1" t="s">
        <v>22</v>
      </c>
      <c r="J6" s="4" t="s">
        <v>9</v>
      </c>
      <c r="K6" t="s">
        <v>15</v>
      </c>
    </row>
    <row r="7" spans="1:11" ht="16.5">
      <c r="A7" s="2" t="s">
        <v>11</v>
      </c>
      <c r="B7" s="2" t="s">
        <v>12</v>
      </c>
      <c r="C7" s="3">
        <v>45335</v>
      </c>
      <c r="D7" t="s">
        <v>23</v>
      </c>
      <c r="E7" s="5">
        <v>10538328.359999999</v>
      </c>
      <c r="F7" s="6">
        <v>6</v>
      </c>
      <c r="G7" s="1" t="s">
        <v>24</v>
      </c>
      <c r="J7" s="4" t="s">
        <v>9</v>
      </c>
      <c r="K7" t="s">
        <v>15</v>
      </c>
    </row>
    <row r="8" spans="1:11" ht="16.5">
      <c r="A8" s="2" t="s">
        <v>11</v>
      </c>
      <c r="B8" s="2" t="s">
        <v>12</v>
      </c>
      <c r="C8" s="3">
        <v>45335</v>
      </c>
      <c r="D8" t="s">
        <v>25</v>
      </c>
      <c r="E8" s="5">
        <v>2392522.7599999998</v>
      </c>
      <c r="F8" s="6">
        <v>1</v>
      </c>
      <c r="G8" s="1" t="s">
        <v>22</v>
      </c>
      <c r="H8" s="1"/>
      <c r="J8" s="4" t="s">
        <v>9</v>
      </c>
      <c r="K8" t="s">
        <v>15</v>
      </c>
    </row>
    <row r="9" spans="1:11">
      <c r="A9" s="2" t="s">
        <v>26</v>
      </c>
      <c r="B9" s="2" t="s">
        <v>27</v>
      </c>
      <c r="C9" s="3">
        <v>44406</v>
      </c>
      <c r="D9" t="s">
        <v>28</v>
      </c>
      <c r="E9" s="5">
        <v>1439300</v>
      </c>
      <c r="F9" s="6">
        <v>3</v>
      </c>
      <c r="G9" s="1" t="s">
        <v>29</v>
      </c>
      <c r="H9" s="1" t="s">
        <v>30</v>
      </c>
      <c r="I9" t="s">
        <v>31</v>
      </c>
      <c r="J9" s="4" t="s">
        <v>9</v>
      </c>
      <c r="K9" t="s">
        <v>32</v>
      </c>
    </row>
    <row r="10" spans="1:11">
      <c r="A10" s="2" t="s">
        <v>33</v>
      </c>
      <c r="B10" s="2" t="s">
        <v>34</v>
      </c>
      <c r="C10" s="3">
        <v>45686</v>
      </c>
      <c r="D10" t="s">
        <v>35</v>
      </c>
      <c r="E10" s="5">
        <v>21000</v>
      </c>
      <c r="F10" s="6">
        <v>1</v>
      </c>
      <c r="G10" s="1"/>
      <c r="H10" t="s">
        <v>36</v>
      </c>
      <c r="I10" t="s">
        <v>37</v>
      </c>
      <c r="J10" s="4" t="s">
        <v>9</v>
      </c>
      <c r="K10" t="s">
        <v>38</v>
      </c>
    </row>
    <row r="11" spans="1:11">
      <c r="A11" s="2" t="s">
        <v>39</v>
      </c>
      <c r="B11" s="2" t="s">
        <v>34</v>
      </c>
      <c r="C11" s="3">
        <v>45628</v>
      </c>
      <c r="D11" t="s">
        <v>40</v>
      </c>
      <c r="E11" s="5">
        <v>315000</v>
      </c>
      <c r="F11" s="6">
        <v>1</v>
      </c>
      <c r="G11" s="1" t="s">
        <v>41</v>
      </c>
      <c r="H11" s="1"/>
      <c r="J11" s="4" t="s">
        <v>9</v>
      </c>
      <c r="K11" t="s">
        <v>38</v>
      </c>
    </row>
    <row r="12" spans="1:11" ht="30">
      <c r="A12" s="2" t="s">
        <v>42</v>
      </c>
      <c r="B12" s="2" t="s">
        <v>43</v>
      </c>
      <c r="C12" s="3">
        <v>44985</v>
      </c>
      <c r="D12" t="s">
        <v>44</v>
      </c>
      <c r="E12" s="5">
        <v>6750000</v>
      </c>
      <c r="F12" s="6">
        <v>1</v>
      </c>
      <c r="G12" s="1" t="s">
        <v>45</v>
      </c>
      <c r="H12" s="1"/>
      <c r="J12" s="4" t="s">
        <v>9</v>
      </c>
      <c r="K12" t="s">
        <v>32</v>
      </c>
    </row>
    <row r="13" spans="1:11" ht="30">
      <c r="A13" s="2" t="s">
        <v>46</v>
      </c>
      <c r="B13" s="2" t="s">
        <v>43</v>
      </c>
      <c r="C13" s="3">
        <v>45721</v>
      </c>
      <c r="D13" t="s">
        <v>44</v>
      </c>
      <c r="E13" s="5">
        <v>6750000</v>
      </c>
      <c r="F13" s="6">
        <v>1</v>
      </c>
      <c r="G13" s="1" t="s">
        <v>47</v>
      </c>
      <c r="H13" s="1"/>
      <c r="J13" s="4" t="s">
        <v>9</v>
      </c>
    </row>
    <row r="14" spans="1:11" ht="75">
      <c r="A14" s="2" t="s">
        <v>48</v>
      </c>
      <c r="B14" s="2" t="s">
        <v>49</v>
      </c>
      <c r="C14" s="3">
        <v>45790</v>
      </c>
      <c r="D14" t="s">
        <v>50</v>
      </c>
      <c r="E14" s="5">
        <v>13500</v>
      </c>
      <c r="F14" s="6">
        <v>1</v>
      </c>
      <c r="G14" s="1"/>
      <c r="H14" t="s">
        <v>51</v>
      </c>
      <c r="I14" s="7" t="s">
        <v>52</v>
      </c>
      <c r="J14" s="4" t="s">
        <v>9</v>
      </c>
      <c r="K14" t="s">
        <v>38</v>
      </c>
    </row>
    <row r="15" spans="1:11" ht="105">
      <c r="A15" s="2" t="s">
        <v>53</v>
      </c>
      <c r="B15" s="2" t="s">
        <v>54</v>
      </c>
      <c r="C15" s="3">
        <v>44865</v>
      </c>
      <c r="D15" s="2" t="s">
        <v>55</v>
      </c>
      <c r="E15" s="5">
        <v>178689.79</v>
      </c>
      <c r="F15" s="6">
        <v>1</v>
      </c>
      <c r="G15" s="1"/>
      <c r="H15" s="1" t="s">
        <v>56</v>
      </c>
      <c r="I15" s="2" t="s">
        <v>57</v>
      </c>
      <c r="J15" s="4" t="s">
        <v>9</v>
      </c>
      <c r="K15" t="s">
        <v>58</v>
      </c>
    </row>
    <row r="16" spans="1:11" ht="30">
      <c r="A16" s="2" t="s">
        <v>59</v>
      </c>
      <c r="B16" s="2" t="s">
        <v>60</v>
      </c>
      <c r="C16" s="3">
        <v>45218</v>
      </c>
      <c r="D16" s="2" t="s">
        <v>61</v>
      </c>
      <c r="E16" s="5">
        <v>71000</v>
      </c>
      <c r="F16" s="6">
        <v>1</v>
      </c>
      <c r="G16" s="1"/>
      <c r="H16" s="1" t="s">
        <v>62</v>
      </c>
      <c r="I16" s="2" t="s">
        <v>63</v>
      </c>
      <c r="J16" s="4" t="s">
        <v>9</v>
      </c>
    </row>
    <row r="17" spans="1:10" ht="30">
      <c r="A17" s="2" t="s">
        <v>59</v>
      </c>
      <c r="B17" s="2" t="s">
        <v>60</v>
      </c>
      <c r="C17" s="3">
        <v>45218</v>
      </c>
      <c r="D17" s="2" t="s">
        <v>64</v>
      </c>
      <c r="E17" s="5">
        <v>298000</v>
      </c>
      <c r="F17" s="6">
        <v>1</v>
      </c>
      <c r="G17" s="1" t="s">
        <v>65</v>
      </c>
      <c r="H17" s="1" t="s">
        <v>62</v>
      </c>
      <c r="I17" s="2" t="s">
        <v>63</v>
      </c>
      <c r="J17" s="4" t="s">
        <v>9</v>
      </c>
    </row>
    <row r="18" spans="1:10" ht="30">
      <c r="A18" s="2" t="s">
        <v>59</v>
      </c>
      <c r="B18" s="2" t="s">
        <v>60</v>
      </c>
      <c r="C18" s="3">
        <v>45218</v>
      </c>
      <c r="D18" s="2" t="s">
        <v>66</v>
      </c>
      <c r="E18" s="5">
        <v>318000</v>
      </c>
      <c r="F18" s="6">
        <v>1</v>
      </c>
      <c r="G18" s="1" t="s">
        <v>67</v>
      </c>
      <c r="H18" s="1" t="s">
        <v>62</v>
      </c>
      <c r="I18" s="2" t="s">
        <v>63</v>
      </c>
      <c r="J18" s="4" t="s">
        <v>9</v>
      </c>
    </row>
    <row r="19" spans="1:10" ht="30">
      <c r="A19" s="2" t="s">
        <v>59</v>
      </c>
      <c r="B19" s="2" t="s">
        <v>60</v>
      </c>
      <c r="C19" s="3">
        <v>45218</v>
      </c>
      <c r="D19" s="2" t="s">
        <v>68</v>
      </c>
      <c r="E19" s="5">
        <v>39000</v>
      </c>
      <c r="F19" s="6">
        <v>1</v>
      </c>
      <c r="G19" s="1" t="s">
        <v>69</v>
      </c>
      <c r="H19" s="1" t="s">
        <v>62</v>
      </c>
      <c r="I19" s="2" t="s">
        <v>63</v>
      </c>
      <c r="J19" s="4" t="s">
        <v>9</v>
      </c>
    </row>
    <row r="20" spans="1:10" ht="30">
      <c r="A20" s="2" t="s">
        <v>59</v>
      </c>
      <c r="B20" s="2" t="s">
        <v>60</v>
      </c>
      <c r="C20" s="3">
        <v>45218</v>
      </c>
      <c r="D20" s="2" t="s">
        <v>70</v>
      </c>
      <c r="E20" s="5">
        <v>88000</v>
      </c>
      <c r="F20" s="6">
        <v>1</v>
      </c>
      <c r="G20" s="1" t="s">
        <v>71</v>
      </c>
      <c r="H20" s="1" t="s">
        <v>62</v>
      </c>
      <c r="I20" s="2" t="s">
        <v>63</v>
      </c>
      <c r="J20" s="4" t="s">
        <v>9</v>
      </c>
    </row>
    <row r="21" spans="1:10" ht="409.5">
      <c r="A21" s="2" t="s">
        <v>59</v>
      </c>
      <c r="B21" s="2" t="s">
        <v>60</v>
      </c>
      <c r="C21" s="3">
        <v>45218</v>
      </c>
      <c r="D21" s="2" t="s">
        <v>72</v>
      </c>
      <c r="E21" s="5">
        <v>2759000</v>
      </c>
      <c r="F21" s="6">
        <v>1</v>
      </c>
      <c r="G21" s="1" t="s">
        <v>73</v>
      </c>
      <c r="H21" s="1" t="s">
        <v>62</v>
      </c>
      <c r="I21" s="2" t="s">
        <v>74</v>
      </c>
      <c r="J21" s="4" t="s">
        <v>9</v>
      </c>
    </row>
    <row r="22" spans="1:10" ht="30">
      <c r="A22" s="2" t="s">
        <v>59</v>
      </c>
      <c r="B22" s="2" t="s">
        <v>60</v>
      </c>
      <c r="C22" s="3">
        <v>45218</v>
      </c>
      <c r="D22" t="s">
        <v>75</v>
      </c>
      <c r="E22" s="5">
        <v>175000</v>
      </c>
      <c r="F22" s="6">
        <v>1</v>
      </c>
      <c r="G22" s="1" t="s">
        <v>73</v>
      </c>
      <c r="H22" s="1" t="s">
        <v>62</v>
      </c>
      <c r="I22" s="2" t="s">
        <v>63</v>
      </c>
      <c r="J22" s="4" t="s">
        <v>9</v>
      </c>
    </row>
    <row r="23" spans="1:10" ht="30">
      <c r="A23" s="2" t="s">
        <v>76</v>
      </c>
      <c r="B23" s="2" t="s">
        <v>60</v>
      </c>
      <c r="C23" s="3">
        <v>45218</v>
      </c>
      <c r="D23" t="s">
        <v>75</v>
      </c>
      <c r="E23" s="5">
        <v>142000</v>
      </c>
      <c r="F23" s="6">
        <v>1</v>
      </c>
      <c r="G23" s="1" t="s">
        <v>77</v>
      </c>
      <c r="H23" s="1" t="s">
        <v>62</v>
      </c>
      <c r="I23" s="2" t="s">
        <v>63</v>
      </c>
      <c r="J23" s="4" t="s">
        <v>9</v>
      </c>
    </row>
    <row r="24" spans="1:10" ht="45">
      <c r="A24" s="2" t="s">
        <v>76</v>
      </c>
      <c r="B24" s="2" t="s">
        <v>60</v>
      </c>
      <c r="C24" s="3">
        <v>45218</v>
      </c>
      <c r="D24" s="2" t="s">
        <v>78</v>
      </c>
      <c r="E24" s="5">
        <v>2242000</v>
      </c>
      <c r="F24" s="6">
        <v>1</v>
      </c>
      <c r="G24" s="1" t="s">
        <v>77</v>
      </c>
      <c r="H24" s="1" t="s">
        <v>62</v>
      </c>
      <c r="I24" s="2" t="s">
        <v>63</v>
      </c>
      <c r="J24" s="4" t="s">
        <v>9</v>
      </c>
    </row>
    <row r="25" spans="1:10" ht="30">
      <c r="A25" s="2" t="s">
        <v>76</v>
      </c>
      <c r="B25" s="2" t="s">
        <v>60</v>
      </c>
      <c r="C25" s="3">
        <v>45218</v>
      </c>
      <c r="D25" s="2" t="s">
        <v>61</v>
      </c>
      <c r="E25" s="5">
        <v>66000</v>
      </c>
      <c r="F25" s="6">
        <v>1</v>
      </c>
      <c r="G25" s="1"/>
      <c r="H25" s="1" t="s">
        <v>62</v>
      </c>
      <c r="I25" s="2" t="s">
        <v>63</v>
      </c>
      <c r="J25" s="4" t="s">
        <v>9</v>
      </c>
    </row>
    <row r="26" spans="1:10" ht="30">
      <c r="A26" s="2" t="s">
        <v>76</v>
      </c>
      <c r="B26" s="2" t="s">
        <v>60</v>
      </c>
      <c r="C26" s="3">
        <v>45218</v>
      </c>
      <c r="D26" s="2" t="s">
        <v>64</v>
      </c>
      <c r="E26" s="5">
        <v>236000</v>
      </c>
      <c r="F26" s="6">
        <v>1</v>
      </c>
      <c r="G26" s="1" t="s">
        <v>79</v>
      </c>
      <c r="H26" s="1" t="s">
        <v>62</v>
      </c>
      <c r="I26" s="2" t="s">
        <v>63</v>
      </c>
      <c r="J26" s="4" t="s">
        <v>9</v>
      </c>
    </row>
    <row r="27" spans="1:10" ht="30">
      <c r="A27" s="2" t="s">
        <v>76</v>
      </c>
      <c r="B27" s="2" t="s">
        <v>60</v>
      </c>
      <c r="C27" s="3">
        <v>45218</v>
      </c>
      <c r="D27" s="2" t="s">
        <v>66</v>
      </c>
      <c r="E27" s="5">
        <v>228000</v>
      </c>
      <c r="F27" s="6">
        <v>1</v>
      </c>
      <c r="G27" s="1" t="s">
        <v>67</v>
      </c>
      <c r="H27" s="1" t="s">
        <v>62</v>
      </c>
      <c r="I27" s="2" t="s">
        <v>63</v>
      </c>
      <c r="J27" s="4" t="s">
        <v>9</v>
      </c>
    </row>
    <row r="28" spans="1:10" ht="30">
      <c r="A28" s="2" t="s">
        <v>76</v>
      </c>
      <c r="B28" s="2" t="s">
        <v>60</v>
      </c>
      <c r="C28" s="3">
        <v>45218</v>
      </c>
      <c r="D28" s="2" t="s">
        <v>68</v>
      </c>
      <c r="E28" s="5">
        <v>16500</v>
      </c>
      <c r="F28" s="6">
        <v>1</v>
      </c>
      <c r="G28" s="1" t="s">
        <v>80</v>
      </c>
      <c r="H28" s="1" t="s">
        <v>62</v>
      </c>
      <c r="I28" s="2" t="s">
        <v>63</v>
      </c>
      <c r="J28" s="4" t="s">
        <v>9</v>
      </c>
    </row>
    <row r="29" spans="1:10" ht="30">
      <c r="A29" s="2" t="s">
        <v>76</v>
      </c>
      <c r="B29" s="2" t="s">
        <v>60</v>
      </c>
      <c r="C29" s="3">
        <v>45218</v>
      </c>
      <c r="D29" s="2" t="s">
        <v>70</v>
      </c>
      <c r="E29" s="5">
        <v>70000</v>
      </c>
      <c r="F29" s="6">
        <v>1</v>
      </c>
      <c r="G29" s="1" t="s">
        <v>81</v>
      </c>
      <c r="H29" s="1" t="s">
        <v>62</v>
      </c>
      <c r="I29" s="2" t="s">
        <v>63</v>
      </c>
      <c r="J29" s="4" t="s">
        <v>9</v>
      </c>
    </row>
    <row r="30" spans="1:10" ht="45">
      <c r="A30" s="2" t="s">
        <v>82</v>
      </c>
      <c r="B30" s="2" t="s">
        <v>60</v>
      </c>
      <c r="C30" s="3">
        <v>45314</v>
      </c>
      <c r="D30" s="2" t="s">
        <v>83</v>
      </c>
      <c r="E30" s="5">
        <v>2760000</v>
      </c>
      <c r="F30" s="6">
        <v>1</v>
      </c>
      <c r="G30" s="1" t="s">
        <v>84</v>
      </c>
      <c r="H30" s="1" t="s">
        <v>62</v>
      </c>
      <c r="I30" s="2" t="s">
        <v>63</v>
      </c>
      <c r="J30" s="4" t="s">
        <v>9</v>
      </c>
    </row>
    <row r="31" spans="1:10" ht="30">
      <c r="A31" s="2" t="s">
        <v>82</v>
      </c>
      <c r="B31" s="2" t="s">
        <v>60</v>
      </c>
      <c r="C31" s="3">
        <v>45314</v>
      </c>
      <c r="D31" t="s">
        <v>85</v>
      </c>
      <c r="E31" s="5">
        <v>280000</v>
      </c>
      <c r="F31" s="6">
        <v>1</v>
      </c>
      <c r="G31" s="1" t="s">
        <v>84</v>
      </c>
      <c r="H31" s="1" t="s">
        <v>62</v>
      </c>
      <c r="I31" s="2" t="s">
        <v>63</v>
      </c>
      <c r="J31" s="4" t="s">
        <v>9</v>
      </c>
    </row>
    <row r="32" spans="1:10" ht="30">
      <c r="A32" s="2" t="s">
        <v>82</v>
      </c>
      <c r="B32" s="2" t="s">
        <v>60</v>
      </c>
      <c r="C32" s="3">
        <v>45314</v>
      </c>
      <c r="D32" s="2" t="s">
        <v>86</v>
      </c>
      <c r="E32" s="5">
        <v>25000</v>
      </c>
      <c r="F32" s="6">
        <v>1</v>
      </c>
      <c r="G32" s="1" t="s">
        <v>87</v>
      </c>
      <c r="H32" s="1" t="s">
        <v>62</v>
      </c>
      <c r="I32" s="2" t="s">
        <v>63</v>
      </c>
      <c r="J32" s="4" t="s">
        <v>9</v>
      </c>
    </row>
    <row r="33" spans="1:11" ht="45">
      <c r="A33" s="2" t="s">
        <v>82</v>
      </c>
      <c r="B33" s="2" t="s">
        <v>60</v>
      </c>
      <c r="C33" s="3">
        <v>45314</v>
      </c>
      <c r="D33" s="2" t="s">
        <v>88</v>
      </c>
      <c r="E33" s="5">
        <f>E30+904000</f>
        <v>3664000</v>
      </c>
      <c r="F33" s="6">
        <v>1</v>
      </c>
      <c r="G33" s="1" t="s">
        <v>89</v>
      </c>
      <c r="H33" s="1" t="s">
        <v>62</v>
      </c>
      <c r="I33" s="2" t="s">
        <v>63</v>
      </c>
      <c r="J33" s="4" t="s">
        <v>9</v>
      </c>
    </row>
    <row r="34" spans="1:11" ht="30">
      <c r="A34" s="2" t="s">
        <v>82</v>
      </c>
      <c r="B34" s="2" t="s">
        <v>60</v>
      </c>
      <c r="C34" s="3">
        <v>45314</v>
      </c>
      <c r="D34" t="s">
        <v>90</v>
      </c>
      <c r="E34" s="5">
        <f>E31+108000</f>
        <v>388000</v>
      </c>
      <c r="F34" s="6">
        <v>1</v>
      </c>
      <c r="G34" s="1" t="s">
        <v>89</v>
      </c>
      <c r="H34" s="1" t="s">
        <v>62</v>
      </c>
      <c r="I34" s="2" t="s">
        <v>63</v>
      </c>
      <c r="J34" s="4" t="s">
        <v>9</v>
      </c>
    </row>
    <row r="35" spans="1:11" ht="45">
      <c r="A35" s="2" t="s">
        <v>82</v>
      </c>
      <c r="B35" s="2" t="s">
        <v>60</v>
      </c>
      <c r="C35" s="3">
        <v>45314</v>
      </c>
      <c r="D35" s="2" t="s">
        <v>91</v>
      </c>
      <c r="E35" s="5">
        <f>E33+260000</f>
        <v>3924000</v>
      </c>
      <c r="F35" s="6">
        <v>1</v>
      </c>
      <c r="G35" s="1" t="s">
        <v>92</v>
      </c>
      <c r="H35" s="1" t="s">
        <v>62</v>
      </c>
      <c r="I35" s="2" t="s">
        <v>63</v>
      </c>
      <c r="J35" s="4" t="s">
        <v>9</v>
      </c>
    </row>
    <row r="36" spans="1:11" ht="30">
      <c r="A36" s="2" t="s">
        <v>82</v>
      </c>
      <c r="B36" s="2" t="s">
        <v>60</v>
      </c>
      <c r="C36" s="3">
        <v>45314</v>
      </c>
      <c r="D36" t="s">
        <v>93</v>
      </c>
      <c r="E36" s="5">
        <f>E34+90000</f>
        <v>478000</v>
      </c>
      <c r="F36" s="6">
        <v>1</v>
      </c>
      <c r="G36" s="1" t="s">
        <v>92</v>
      </c>
      <c r="H36" s="1" t="s">
        <v>62</v>
      </c>
      <c r="I36" s="2" t="s">
        <v>63</v>
      </c>
      <c r="J36" s="4" t="s">
        <v>9</v>
      </c>
    </row>
    <row r="37" spans="1:11" ht="30">
      <c r="A37" s="2" t="s">
        <v>82</v>
      </c>
      <c r="B37" s="2" t="s">
        <v>60</v>
      </c>
      <c r="C37" s="3">
        <v>45314</v>
      </c>
      <c r="D37" t="s">
        <v>94</v>
      </c>
      <c r="E37" s="5">
        <v>85000</v>
      </c>
      <c r="F37" s="6">
        <v>1</v>
      </c>
      <c r="G37" s="1" t="s">
        <v>95</v>
      </c>
      <c r="H37" s="1" t="s">
        <v>62</v>
      </c>
      <c r="I37" s="2" t="s">
        <v>63</v>
      </c>
      <c r="J37" s="4" t="s">
        <v>9</v>
      </c>
    </row>
    <row r="38" spans="1:11">
      <c r="A38" s="2" t="s">
        <v>96</v>
      </c>
      <c r="B38" s="2" t="s">
        <v>97</v>
      </c>
      <c r="C38" s="3">
        <v>43551</v>
      </c>
      <c r="D38" t="s">
        <v>98</v>
      </c>
      <c r="E38" s="5">
        <v>688138</v>
      </c>
      <c r="F38" s="6">
        <v>1</v>
      </c>
      <c r="G38" s="1" t="s">
        <v>99</v>
      </c>
      <c r="H38" s="1" t="s">
        <v>100</v>
      </c>
      <c r="I38" t="s">
        <v>101</v>
      </c>
      <c r="J38" s="4" t="s">
        <v>9</v>
      </c>
      <c r="K38" t="s">
        <v>102</v>
      </c>
    </row>
    <row r="39" spans="1:11">
      <c r="A39" s="2" t="s">
        <v>103</v>
      </c>
      <c r="B39" s="2" t="s">
        <v>104</v>
      </c>
      <c r="C39" s="3">
        <v>44641</v>
      </c>
      <c r="D39" t="s">
        <v>105</v>
      </c>
      <c r="E39" s="5">
        <v>300000</v>
      </c>
      <c r="F39" s="6">
        <v>1</v>
      </c>
      <c r="G39" s="1" t="s">
        <v>106</v>
      </c>
      <c r="H39" s="1"/>
      <c r="J39" s="4" t="s">
        <v>9</v>
      </c>
      <c r="K39" t="s">
        <v>32</v>
      </c>
    </row>
    <row r="40" spans="1:11">
      <c r="A40" s="2" t="s">
        <v>107</v>
      </c>
      <c r="B40" s="2" t="s">
        <v>104</v>
      </c>
      <c r="C40" s="3">
        <v>44641</v>
      </c>
      <c r="D40" t="s">
        <v>105</v>
      </c>
      <c r="E40" s="5">
        <v>700000</v>
      </c>
      <c r="F40" s="6">
        <v>2</v>
      </c>
      <c r="G40" s="6" t="s">
        <v>108</v>
      </c>
      <c r="H40" s="1"/>
      <c r="J40" s="4" t="s">
        <v>9</v>
      </c>
      <c r="K40" t="s">
        <v>32</v>
      </c>
    </row>
    <row r="41" spans="1:11" ht="30">
      <c r="A41" s="2" t="s">
        <v>109</v>
      </c>
      <c r="B41" s="2" t="s">
        <v>110</v>
      </c>
      <c r="C41" s="3">
        <v>44690</v>
      </c>
      <c r="D41" t="s">
        <v>111</v>
      </c>
      <c r="E41" s="5">
        <v>227118</v>
      </c>
      <c r="F41" s="6">
        <v>1</v>
      </c>
      <c r="G41" s="7" t="s">
        <v>112</v>
      </c>
      <c r="H41" s="1" t="s">
        <v>113</v>
      </c>
      <c r="J41" s="4" t="s">
        <v>9</v>
      </c>
    </row>
    <row r="42" spans="1:11" ht="30">
      <c r="A42" s="2" t="s">
        <v>114</v>
      </c>
      <c r="B42" s="2" t="s">
        <v>115</v>
      </c>
      <c r="C42" s="3">
        <v>45569</v>
      </c>
      <c r="D42" t="s">
        <v>116</v>
      </c>
      <c r="E42" s="5">
        <v>1101000</v>
      </c>
      <c r="F42" s="6">
        <v>4</v>
      </c>
      <c r="G42" s="1" t="s">
        <v>117</v>
      </c>
      <c r="H42" s="1"/>
      <c r="J42" s="4" t="s">
        <v>9</v>
      </c>
      <c r="K42" t="s">
        <v>118</v>
      </c>
    </row>
    <row r="43" spans="1:11" ht="105">
      <c r="A43" s="2" t="s">
        <v>119</v>
      </c>
      <c r="B43" s="2" t="s">
        <v>120</v>
      </c>
      <c r="C43" s="3">
        <v>45245</v>
      </c>
      <c r="D43" t="s">
        <v>121</v>
      </c>
      <c r="E43" s="5">
        <f>591851+26000</f>
        <v>617851</v>
      </c>
      <c r="F43" s="6">
        <v>1</v>
      </c>
      <c r="G43" s="1" t="s">
        <v>122</v>
      </c>
      <c r="H43" s="1" t="s">
        <v>123</v>
      </c>
      <c r="I43" s="2" t="s">
        <v>124</v>
      </c>
      <c r="J43" s="4" t="s">
        <v>9</v>
      </c>
      <c r="K43" t="s">
        <v>118</v>
      </c>
    </row>
    <row r="44" spans="1:11" ht="105">
      <c r="A44" s="2" t="s">
        <v>125</v>
      </c>
      <c r="B44" s="2" t="s">
        <v>126</v>
      </c>
      <c r="C44" s="3">
        <v>45408</v>
      </c>
      <c r="D44" t="s">
        <v>127</v>
      </c>
      <c r="E44" s="5">
        <v>1125000</v>
      </c>
      <c r="F44" s="6">
        <v>1</v>
      </c>
      <c r="G44" s="1" t="s">
        <v>128</v>
      </c>
      <c r="H44" s="1" t="s">
        <v>129</v>
      </c>
      <c r="I44" s="2" t="s">
        <v>130</v>
      </c>
      <c r="J44" s="4" t="s">
        <v>9</v>
      </c>
      <c r="K44" t="s">
        <v>118</v>
      </c>
    </row>
    <row r="45" spans="1:11" ht="165">
      <c r="A45" s="2" t="s">
        <v>131</v>
      </c>
      <c r="B45" s="2" t="s">
        <v>132</v>
      </c>
      <c r="C45" s="3">
        <v>45603</v>
      </c>
      <c r="D45" t="s">
        <v>133</v>
      </c>
      <c r="E45" s="5">
        <f>1472046+608023+62916+4250</f>
        <v>2147235</v>
      </c>
      <c r="F45" s="6">
        <v>1</v>
      </c>
      <c r="G45" s="1" t="s">
        <v>134</v>
      </c>
      <c r="H45" s="1"/>
      <c r="I45" s="8" t="s">
        <v>135</v>
      </c>
      <c r="J45" s="4" t="s">
        <v>9</v>
      </c>
      <c r="K45" t="s">
        <v>118</v>
      </c>
    </row>
    <row r="46" spans="1:11">
      <c r="A46" s="2" t="s">
        <v>136</v>
      </c>
      <c r="B46" s="2" t="s">
        <v>137</v>
      </c>
      <c r="C46" s="3">
        <v>45635</v>
      </c>
      <c r="D46" t="s">
        <v>70</v>
      </c>
      <c r="E46" s="5">
        <v>575000</v>
      </c>
      <c r="F46" s="6">
        <v>1</v>
      </c>
      <c r="G46" s="1" t="s">
        <v>138</v>
      </c>
      <c r="H46" s="1" t="s">
        <v>30</v>
      </c>
      <c r="I46" t="s">
        <v>139</v>
      </c>
      <c r="J46" s="4" t="s">
        <v>9</v>
      </c>
      <c r="K46" t="s">
        <v>118</v>
      </c>
    </row>
    <row r="47" spans="1:11">
      <c r="A47" s="2" t="s">
        <v>140</v>
      </c>
      <c r="B47" s="2" t="s">
        <v>137</v>
      </c>
      <c r="C47" s="3">
        <v>45565</v>
      </c>
      <c r="D47" t="s">
        <v>141</v>
      </c>
      <c r="E47" s="5">
        <v>4498600</v>
      </c>
      <c r="F47" s="6">
        <v>1</v>
      </c>
      <c r="G47" s="1" t="s">
        <v>138</v>
      </c>
      <c r="H47" s="1" t="s">
        <v>142</v>
      </c>
      <c r="I47" t="s">
        <v>143</v>
      </c>
      <c r="J47" s="4" t="s">
        <v>9</v>
      </c>
      <c r="K47" t="s">
        <v>118</v>
      </c>
    </row>
    <row r="48" spans="1:11">
      <c r="A48" s="2" t="s">
        <v>140</v>
      </c>
      <c r="B48" s="2" t="s">
        <v>137</v>
      </c>
      <c r="C48" s="3">
        <v>45565</v>
      </c>
      <c r="D48" t="s">
        <v>144</v>
      </c>
      <c r="E48" s="5">
        <v>600700</v>
      </c>
      <c r="F48" s="6">
        <v>1</v>
      </c>
      <c r="G48" s="1" t="s">
        <v>138</v>
      </c>
      <c r="H48" s="1" t="s">
        <v>142</v>
      </c>
      <c r="I48" t="s">
        <v>145</v>
      </c>
      <c r="J48" s="4" t="s">
        <v>9</v>
      </c>
      <c r="K48" t="s">
        <v>118</v>
      </c>
    </row>
    <row r="49" spans="1:11">
      <c r="A49" s="2" t="s">
        <v>140</v>
      </c>
      <c r="B49" s="2" t="s">
        <v>137</v>
      </c>
      <c r="C49" s="3">
        <v>45565</v>
      </c>
      <c r="D49" t="s">
        <v>146</v>
      </c>
      <c r="E49" s="5">
        <v>479700</v>
      </c>
      <c r="F49" s="6">
        <v>1</v>
      </c>
      <c r="G49" s="1" t="s">
        <v>138</v>
      </c>
      <c r="H49" s="1" t="s">
        <v>142</v>
      </c>
      <c r="I49" t="s">
        <v>145</v>
      </c>
      <c r="J49" s="4" t="s">
        <v>9</v>
      </c>
      <c r="K49" t="s">
        <v>118</v>
      </c>
    </row>
    <row r="50" spans="1:11" ht="120">
      <c r="A50" s="2" t="s">
        <v>147</v>
      </c>
      <c r="B50" s="2" t="s">
        <v>148</v>
      </c>
      <c r="C50" s="3">
        <v>45567</v>
      </c>
      <c r="D50" t="s">
        <v>64</v>
      </c>
      <c r="E50" s="5">
        <v>285109</v>
      </c>
      <c r="F50" s="6">
        <v>1</v>
      </c>
      <c r="G50" s="1" t="s">
        <v>149</v>
      </c>
      <c r="H50" s="1" t="s">
        <v>150</v>
      </c>
      <c r="I50" s="2" t="s">
        <v>151</v>
      </c>
      <c r="J50" s="4" t="s">
        <v>9</v>
      </c>
      <c r="K50" t="s">
        <v>118</v>
      </c>
    </row>
    <row r="51" spans="1:11" ht="225">
      <c r="A51" s="2" t="s">
        <v>152</v>
      </c>
      <c r="B51" s="2" t="s">
        <v>153</v>
      </c>
      <c r="C51" s="3">
        <v>45554</v>
      </c>
      <c r="D51" t="s">
        <v>154</v>
      </c>
      <c r="E51" s="5">
        <v>625000</v>
      </c>
      <c r="F51" s="6">
        <v>1</v>
      </c>
      <c r="G51" s="1" t="s">
        <v>155</v>
      </c>
      <c r="H51" s="1" t="s">
        <v>156</v>
      </c>
      <c r="I51" s="2" t="s">
        <v>157</v>
      </c>
      <c r="J51" s="4" t="s">
        <v>9</v>
      </c>
      <c r="K51" t="s">
        <v>118</v>
      </c>
    </row>
    <row r="52" spans="1:11">
      <c r="A52" s="2" t="s">
        <v>158</v>
      </c>
      <c r="B52" s="2" t="s">
        <v>159</v>
      </c>
      <c r="C52" s="3">
        <v>44726</v>
      </c>
      <c r="D52" t="s">
        <v>160</v>
      </c>
      <c r="E52" s="5">
        <v>175600</v>
      </c>
      <c r="F52" s="6">
        <v>1</v>
      </c>
      <c r="G52" s="1" t="s">
        <v>161</v>
      </c>
      <c r="H52" s="1" t="s">
        <v>162</v>
      </c>
      <c r="I52" t="s">
        <v>163</v>
      </c>
      <c r="J52" s="4" t="s">
        <v>9</v>
      </c>
      <c r="K52" t="s">
        <v>164</v>
      </c>
    </row>
    <row r="53" spans="1:11" ht="120">
      <c r="A53" s="2" t="s">
        <v>165</v>
      </c>
      <c r="B53" s="2" t="s">
        <v>148</v>
      </c>
      <c r="C53" s="3">
        <v>45663</v>
      </c>
      <c r="D53" t="s">
        <v>64</v>
      </c>
      <c r="E53" s="5">
        <v>687500</v>
      </c>
      <c r="F53" s="6">
        <v>1</v>
      </c>
      <c r="G53" s="1" t="s">
        <v>166</v>
      </c>
      <c r="H53" s="1" t="s">
        <v>167</v>
      </c>
      <c r="I53" s="2" t="s">
        <v>168</v>
      </c>
      <c r="J53" s="4" t="s">
        <v>9</v>
      </c>
      <c r="K53" t="s">
        <v>38</v>
      </c>
    </row>
    <row r="54" spans="1:11" ht="120">
      <c r="A54" s="2" t="s">
        <v>169</v>
      </c>
      <c r="B54" s="2" t="s">
        <v>148</v>
      </c>
      <c r="C54" s="3">
        <v>45723</v>
      </c>
      <c r="D54" t="s">
        <v>64</v>
      </c>
      <c r="E54" s="5">
        <v>877585</v>
      </c>
      <c r="F54" s="6">
        <v>2</v>
      </c>
      <c r="G54" s="1" t="s">
        <v>170</v>
      </c>
      <c r="H54" s="1" t="s">
        <v>167</v>
      </c>
      <c r="I54" s="2" t="s">
        <v>168</v>
      </c>
      <c r="J54" s="4" t="s">
        <v>9</v>
      </c>
      <c r="K54" t="s">
        <v>38</v>
      </c>
    </row>
    <row r="55" spans="1:11" ht="120">
      <c r="A55" s="2" t="s">
        <v>169</v>
      </c>
      <c r="B55" s="2" t="s">
        <v>148</v>
      </c>
      <c r="C55" s="3">
        <v>45723</v>
      </c>
      <c r="D55" t="s">
        <v>171</v>
      </c>
      <c r="E55" s="5">
        <v>140000</v>
      </c>
      <c r="F55" s="6">
        <v>2</v>
      </c>
      <c r="G55" s="1" t="s">
        <v>170</v>
      </c>
      <c r="H55" s="1" t="s">
        <v>167</v>
      </c>
      <c r="I55" s="2" t="s">
        <v>168</v>
      </c>
      <c r="J55" s="4" t="s">
        <v>9</v>
      </c>
      <c r="K55" t="s">
        <v>38</v>
      </c>
    </row>
    <row r="56" spans="1:11" ht="30">
      <c r="A56" s="2" t="s">
        <v>172</v>
      </c>
      <c r="B56" s="2" t="s">
        <v>148</v>
      </c>
      <c r="C56" s="3">
        <v>45783</v>
      </c>
      <c r="D56" t="s">
        <v>173</v>
      </c>
      <c r="E56" s="5">
        <v>40000</v>
      </c>
      <c r="F56" s="6">
        <v>1</v>
      </c>
      <c r="G56" s="1" t="s">
        <v>173</v>
      </c>
      <c r="H56" s="1" t="s">
        <v>36</v>
      </c>
      <c r="I56" t="s">
        <v>174</v>
      </c>
      <c r="J56" s="4" t="s">
        <v>9</v>
      </c>
      <c r="K56" t="s">
        <v>38</v>
      </c>
    </row>
    <row r="57" spans="1:11" ht="45">
      <c r="A57" s="2" t="s">
        <v>175</v>
      </c>
      <c r="B57" s="2" t="s">
        <v>148</v>
      </c>
      <c r="C57" s="3">
        <v>45783</v>
      </c>
      <c r="D57" t="s">
        <v>173</v>
      </c>
      <c r="E57" s="5">
        <v>20000</v>
      </c>
      <c r="F57" s="6">
        <v>1</v>
      </c>
      <c r="G57" s="1" t="s">
        <v>173</v>
      </c>
      <c r="H57" s="1" t="s">
        <v>36</v>
      </c>
      <c r="I57" t="s">
        <v>174</v>
      </c>
      <c r="J57" s="4" t="s">
        <v>9</v>
      </c>
      <c r="K57" t="s">
        <v>38</v>
      </c>
    </row>
    <row r="58" spans="1:11" ht="45">
      <c r="A58" s="2" t="s">
        <v>176</v>
      </c>
      <c r="B58" s="2" t="s">
        <v>177</v>
      </c>
      <c r="C58" s="3">
        <v>45643</v>
      </c>
      <c r="D58" s="2" t="s">
        <v>178</v>
      </c>
      <c r="E58" s="5">
        <v>3880000</v>
      </c>
      <c r="F58" s="6">
        <v>1</v>
      </c>
      <c r="G58" s="1" t="s">
        <v>179</v>
      </c>
      <c r="H58" s="1" t="s">
        <v>180</v>
      </c>
      <c r="J58" s="4" t="s">
        <v>9</v>
      </c>
    </row>
    <row r="59" spans="1:11">
      <c r="A59" s="2" t="s">
        <v>181</v>
      </c>
      <c r="B59" s="2" t="s">
        <v>182</v>
      </c>
      <c r="C59" s="3">
        <v>45196</v>
      </c>
      <c r="D59" t="s">
        <v>183</v>
      </c>
      <c r="E59" s="5">
        <v>4144000</v>
      </c>
      <c r="F59" s="6">
        <v>1</v>
      </c>
      <c r="G59" s="1" t="s">
        <v>184</v>
      </c>
      <c r="H59" s="1" t="s">
        <v>185</v>
      </c>
      <c r="I59" t="s">
        <v>186</v>
      </c>
      <c r="J59" s="4" t="s">
        <v>9</v>
      </c>
      <c r="K59" t="s">
        <v>32</v>
      </c>
    </row>
    <row r="60" spans="1:11">
      <c r="A60" s="2" t="s">
        <v>181</v>
      </c>
      <c r="B60" s="2" t="s">
        <v>182</v>
      </c>
      <c r="C60" s="3">
        <v>45196</v>
      </c>
      <c r="D60" t="s">
        <v>187</v>
      </c>
      <c r="E60" s="5">
        <v>4700000</v>
      </c>
      <c r="F60" s="6">
        <v>2</v>
      </c>
      <c r="G60" s="1" t="s">
        <v>188</v>
      </c>
      <c r="H60" s="1" t="s">
        <v>185</v>
      </c>
      <c r="I60" t="s">
        <v>186</v>
      </c>
      <c r="J60" s="4" t="s">
        <v>9</v>
      </c>
      <c r="K60" t="s">
        <v>32</v>
      </c>
    </row>
    <row r="61" spans="1:11" ht="30">
      <c r="A61" s="2" t="s">
        <v>189</v>
      </c>
      <c r="B61" s="2" t="s">
        <v>182</v>
      </c>
      <c r="C61" s="3">
        <v>45723</v>
      </c>
      <c r="D61" t="s">
        <v>190</v>
      </c>
      <c r="E61" s="5">
        <v>8314000</v>
      </c>
      <c r="F61" s="6">
        <v>1</v>
      </c>
      <c r="G61" s="1" t="s">
        <v>92</v>
      </c>
      <c r="H61" s="1" t="s">
        <v>185</v>
      </c>
      <c r="I61" t="s">
        <v>186</v>
      </c>
      <c r="J61" s="4" t="s">
        <v>9</v>
      </c>
      <c r="K61" t="s">
        <v>38</v>
      </c>
    </row>
    <row r="62" spans="1:11" ht="30">
      <c r="A62" s="2" t="s">
        <v>191</v>
      </c>
      <c r="B62" s="2" t="s">
        <v>182</v>
      </c>
      <c r="C62" s="3">
        <v>45723</v>
      </c>
      <c r="D62" t="s">
        <v>192</v>
      </c>
      <c r="E62" s="5">
        <v>648900</v>
      </c>
      <c r="F62" s="6">
        <v>1</v>
      </c>
      <c r="G62" s="1" t="s">
        <v>193</v>
      </c>
      <c r="H62" s="1" t="s">
        <v>185</v>
      </c>
      <c r="I62" t="s">
        <v>186</v>
      </c>
      <c r="J62" s="4" t="s">
        <v>9</v>
      </c>
      <c r="K62" t="s">
        <v>38</v>
      </c>
    </row>
    <row r="63" spans="1:11">
      <c r="A63" s="2" t="s">
        <v>194</v>
      </c>
      <c r="B63" s="2" t="s">
        <v>34</v>
      </c>
      <c r="C63" s="3">
        <v>45786</v>
      </c>
      <c r="D63" t="s">
        <v>195</v>
      </c>
      <c r="E63" s="5">
        <v>21000</v>
      </c>
      <c r="F63" s="6">
        <v>1</v>
      </c>
      <c r="G63" s="1" t="s">
        <v>173</v>
      </c>
      <c r="H63" s="1" t="s">
        <v>36</v>
      </c>
      <c r="I63" t="s">
        <v>174</v>
      </c>
      <c r="J63" s="4" t="s">
        <v>9</v>
      </c>
      <c r="K63" t="s">
        <v>38</v>
      </c>
    </row>
    <row r="64" spans="1:11" ht="30">
      <c r="A64" s="2" t="s">
        <v>196</v>
      </c>
      <c r="B64" s="2" t="s">
        <v>197</v>
      </c>
      <c r="C64" s="3">
        <v>45719</v>
      </c>
      <c r="D64" t="s">
        <v>198</v>
      </c>
      <c r="E64" s="5">
        <v>4250</v>
      </c>
      <c r="F64" s="6">
        <v>1</v>
      </c>
      <c r="G64" s="1" t="s">
        <v>173</v>
      </c>
      <c r="H64" s="1" t="s">
        <v>199</v>
      </c>
      <c r="I64" t="s">
        <v>174</v>
      </c>
      <c r="J64" s="4" t="s">
        <v>9</v>
      </c>
    </row>
    <row r="65" spans="1:11">
      <c r="A65" s="2" t="s">
        <v>200</v>
      </c>
      <c r="B65" s="2" t="s">
        <v>201</v>
      </c>
      <c r="C65" s="3">
        <v>45649</v>
      </c>
      <c r="D65" t="s">
        <v>202</v>
      </c>
      <c r="E65" s="5">
        <v>455000</v>
      </c>
      <c r="F65" s="6">
        <v>1</v>
      </c>
      <c r="G65" s="6" t="s">
        <v>84</v>
      </c>
      <c r="H65" s="1" t="s">
        <v>203</v>
      </c>
      <c r="I65" t="s">
        <v>204</v>
      </c>
      <c r="J65" s="4" t="s">
        <v>9</v>
      </c>
    </row>
    <row r="66" spans="1:11">
      <c r="A66" s="2" t="s">
        <v>200</v>
      </c>
      <c r="B66" s="2" t="s">
        <v>201</v>
      </c>
      <c r="C66" s="3">
        <v>45649</v>
      </c>
      <c r="D66" t="s">
        <v>202</v>
      </c>
      <c r="E66" s="5">
        <v>475000</v>
      </c>
      <c r="F66" s="6">
        <v>1</v>
      </c>
      <c r="G66" s="6" t="s">
        <v>89</v>
      </c>
      <c r="H66" s="1" t="s">
        <v>203</v>
      </c>
      <c r="I66" t="s">
        <v>204</v>
      </c>
      <c r="J66" s="4" t="s">
        <v>9</v>
      </c>
    </row>
    <row r="67" spans="1:11">
      <c r="A67" s="2" t="s">
        <v>200</v>
      </c>
      <c r="B67" s="2" t="s">
        <v>201</v>
      </c>
      <c r="C67" s="3">
        <v>45649</v>
      </c>
      <c r="D67" t="s">
        <v>202</v>
      </c>
      <c r="E67" s="5">
        <v>510000</v>
      </c>
      <c r="F67" s="6">
        <v>1</v>
      </c>
      <c r="G67" s="6" t="s">
        <v>92</v>
      </c>
      <c r="H67" s="1" t="s">
        <v>203</v>
      </c>
      <c r="I67" t="s">
        <v>204</v>
      </c>
      <c r="J67" s="4" t="s">
        <v>9</v>
      </c>
    </row>
    <row r="68" spans="1:11" ht="30">
      <c r="A68" s="2" t="s">
        <v>205</v>
      </c>
      <c r="B68" s="2" t="s">
        <v>206</v>
      </c>
      <c r="C68" s="3"/>
      <c r="D68" t="s">
        <v>207</v>
      </c>
      <c r="E68" s="5">
        <v>757485.85</v>
      </c>
      <c r="F68" s="6">
        <v>1</v>
      </c>
      <c r="G68" s="6" t="s">
        <v>208</v>
      </c>
      <c r="H68" s="1"/>
      <c r="J68" s="4" t="s">
        <v>9</v>
      </c>
      <c r="K68" t="s">
        <v>38</v>
      </c>
    </row>
    <row r="69" spans="1:11" ht="30">
      <c r="A69" s="2" t="s">
        <v>205</v>
      </c>
      <c r="B69" s="2" t="s">
        <v>206</v>
      </c>
      <c r="C69" s="3"/>
      <c r="D69" t="s">
        <v>209</v>
      </c>
      <c r="E69" s="5">
        <v>736385.38</v>
      </c>
      <c r="F69" s="6">
        <v>1</v>
      </c>
      <c r="G69" s="1" t="s">
        <v>208</v>
      </c>
      <c r="H69" s="1"/>
      <c r="J69" s="4" t="s">
        <v>9</v>
      </c>
      <c r="K69" t="s">
        <v>38</v>
      </c>
    </row>
    <row r="70" spans="1:11" ht="30">
      <c r="A70" s="2" t="s">
        <v>210</v>
      </c>
      <c r="B70" s="2" t="s">
        <v>211</v>
      </c>
      <c r="C70" s="3">
        <v>45679</v>
      </c>
      <c r="D70" t="s">
        <v>212</v>
      </c>
      <c r="E70" s="5">
        <v>630000</v>
      </c>
      <c r="F70" s="6">
        <v>1</v>
      </c>
      <c r="G70" s="1"/>
      <c r="H70" s="1" t="s">
        <v>213</v>
      </c>
      <c r="J70" t="s">
        <v>214</v>
      </c>
    </row>
    <row r="71" spans="1:11" ht="30">
      <c r="A71" s="2" t="s">
        <v>210</v>
      </c>
      <c r="B71" s="2" t="s">
        <v>211</v>
      </c>
      <c r="C71" s="3">
        <v>45679</v>
      </c>
      <c r="D71" t="s">
        <v>215</v>
      </c>
      <c r="E71" s="5">
        <v>650000</v>
      </c>
      <c r="F71" s="6">
        <v>1</v>
      </c>
      <c r="G71" s="1"/>
      <c r="H71" s="1" t="s">
        <v>213</v>
      </c>
    </row>
    <row r="72" spans="1:11" ht="75">
      <c r="A72" s="2" t="s">
        <v>216</v>
      </c>
      <c r="B72" s="2" t="s">
        <v>217</v>
      </c>
      <c r="C72" s="3">
        <v>44673</v>
      </c>
      <c r="D72" t="s">
        <v>218</v>
      </c>
      <c r="E72" s="5">
        <v>550000</v>
      </c>
      <c r="F72" s="6">
        <v>2</v>
      </c>
      <c r="G72" s="1" t="s">
        <v>219</v>
      </c>
      <c r="H72" s="1" t="s">
        <v>220</v>
      </c>
      <c r="I72" s="7" t="s">
        <v>221</v>
      </c>
      <c r="J72" s="4" t="s">
        <v>9</v>
      </c>
      <c r="K72" t="s">
        <v>222</v>
      </c>
    </row>
    <row r="73" spans="1:11">
      <c r="A73" s="2" t="s">
        <v>216</v>
      </c>
      <c r="B73" s="2" t="s">
        <v>217</v>
      </c>
      <c r="C73" s="3">
        <v>44673</v>
      </c>
      <c r="D73" t="s">
        <v>223</v>
      </c>
      <c r="E73" s="5">
        <v>5600000</v>
      </c>
      <c r="F73" s="6">
        <v>1</v>
      </c>
      <c r="G73" s="1" t="s">
        <v>224</v>
      </c>
      <c r="H73" s="1" t="s">
        <v>220</v>
      </c>
      <c r="I73" s="1" t="s">
        <v>225</v>
      </c>
      <c r="J73" s="4" t="s">
        <v>9</v>
      </c>
      <c r="K73" t="s">
        <v>222</v>
      </c>
    </row>
    <row r="74" spans="1:11">
      <c r="A74" s="2" t="s">
        <v>216</v>
      </c>
      <c r="B74" s="2" t="s">
        <v>217</v>
      </c>
      <c r="C74" s="3">
        <v>44673</v>
      </c>
      <c r="D74" t="s">
        <v>226</v>
      </c>
      <c r="E74" s="5">
        <v>500000</v>
      </c>
      <c r="F74" s="6">
        <v>1</v>
      </c>
      <c r="G74" s="1" t="s">
        <v>227</v>
      </c>
      <c r="H74" s="1" t="s">
        <v>220</v>
      </c>
      <c r="I74" s="1" t="s">
        <v>225</v>
      </c>
      <c r="J74" s="4" t="s">
        <v>9</v>
      </c>
      <c r="K74" t="s">
        <v>222</v>
      </c>
    </row>
    <row r="75" spans="1:11">
      <c r="A75" s="2" t="s">
        <v>216</v>
      </c>
      <c r="B75" s="2" t="s">
        <v>217</v>
      </c>
      <c r="C75" s="3">
        <v>44673</v>
      </c>
      <c r="D75" t="s">
        <v>228</v>
      </c>
      <c r="E75" s="5">
        <v>750000</v>
      </c>
      <c r="F75" s="6">
        <v>1</v>
      </c>
      <c r="G75" s="1" t="s">
        <v>229</v>
      </c>
      <c r="H75" s="1" t="s">
        <v>220</v>
      </c>
      <c r="I75" s="1" t="s">
        <v>225</v>
      </c>
      <c r="J75" s="4" t="s">
        <v>9</v>
      </c>
      <c r="K75" t="s">
        <v>222</v>
      </c>
    </row>
    <row r="76" spans="1:11" ht="75">
      <c r="A76" s="2" t="s">
        <v>230</v>
      </c>
      <c r="B76" s="2" t="s">
        <v>217</v>
      </c>
      <c r="C76" s="3">
        <v>44673</v>
      </c>
      <c r="D76" t="s">
        <v>218</v>
      </c>
      <c r="E76" s="5">
        <v>550000</v>
      </c>
      <c r="F76" s="6">
        <v>2</v>
      </c>
      <c r="G76" s="1" t="s">
        <v>231</v>
      </c>
      <c r="H76" s="1" t="s">
        <v>220</v>
      </c>
      <c r="I76" s="7" t="s">
        <v>221</v>
      </c>
      <c r="J76" s="4" t="s">
        <v>9</v>
      </c>
      <c r="K76" t="s">
        <v>222</v>
      </c>
    </row>
    <row r="77" spans="1:11">
      <c r="A77" s="2" t="s">
        <v>230</v>
      </c>
      <c r="B77" s="2" t="s">
        <v>217</v>
      </c>
      <c r="C77" s="3">
        <v>44673</v>
      </c>
      <c r="D77" t="s">
        <v>232</v>
      </c>
      <c r="E77" s="5">
        <v>350000</v>
      </c>
      <c r="F77" s="6">
        <v>2</v>
      </c>
      <c r="G77" s="1" t="s">
        <v>233</v>
      </c>
      <c r="H77" s="1" t="s">
        <v>220</v>
      </c>
      <c r="I77" s="1" t="s">
        <v>225</v>
      </c>
      <c r="J77" s="4" t="s">
        <v>9</v>
      </c>
      <c r="K77" t="s">
        <v>222</v>
      </c>
    </row>
    <row r="78" spans="1:11">
      <c r="A78" s="2" t="s">
        <v>230</v>
      </c>
      <c r="B78" s="2" t="s">
        <v>217</v>
      </c>
      <c r="C78" s="3">
        <v>44673</v>
      </c>
      <c r="D78" t="s">
        <v>234</v>
      </c>
      <c r="E78" s="5">
        <v>8100000</v>
      </c>
      <c r="F78" s="6">
        <v>1</v>
      </c>
      <c r="G78" s="1" t="s">
        <v>235</v>
      </c>
      <c r="H78" s="1" t="s">
        <v>220</v>
      </c>
      <c r="I78" s="1" t="s">
        <v>225</v>
      </c>
      <c r="J78" s="4" t="s">
        <v>9</v>
      </c>
      <c r="K78" t="s">
        <v>222</v>
      </c>
    </row>
    <row r="79" spans="1:11">
      <c r="A79" s="2" t="s">
        <v>230</v>
      </c>
      <c r="B79" s="2" t="s">
        <v>217</v>
      </c>
      <c r="C79" s="3">
        <v>44673</v>
      </c>
      <c r="D79" t="s">
        <v>154</v>
      </c>
      <c r="E79" s="5">
        <v>250000</v>
      </c>
      <c r="F79" s="6">
        <v>1</v>
      </c>
      <c r="G79" s="1" t="s">
        <v>236</v>
      </c>
      <c r="H79" s="1" t="s">
        <v>220</v>
      </c>
      <c r="I79" s="1" t="s">
        <v>225</v>
      </c>
      <c r="J79" s="4" t="s">
        <v>9</v>
      </c>
      <c r="K79" t="s">
        <v>222</v>
      </c>
    </row>
    <row r="80" spans="1:11">
      <c r="A80" s="2" t="s">
        <v>230</v>
      </c>
      <c r="B80" s="2" t="s">
        <v>217</v>
      </c>
      <c r="C80" s="3">
        <v>44673</v>
      </c>
      <c r="D80" t="s">
        <v>192</v>
      </c>
      <c r="E80" s="5">
        <v>500000</v>
      </c>
      <c r="F80" s="6">
        <v>1</v>
      </c>
      <c r="G80" s="1" t="s">
        <v>237</v>
      </c>
      <c r="H80" s="1" t="s">
        <v>220</v>
      </c>
      <c r="I80" s="1" t="s">
        <v>225</v>
      </c>
      <c r="J80" s="4" t="s">
        <v>9</v>
      </c>
      <c r="K80" t="s">
        <v>222</v>
      </c>
    </row>
    <row r="81" spans="1:11">
      <c r="A81" s="2" t="s">
        <v>238</v>
      </c>
      <c r="B81" s="2" t="s">
        <v>239</v>
      </c>
      <c r="C81" s="3">
        <v>45630</v>
      </c>
      <c r="D81" t="s">
        <v>192</v>
      </c>
      <c r="E81" s="5">
        <v>411848</v>
      </c>
      <c r="F81" s="6">
        <v>1</v>
      </c>
      <c r="G81" s="1" t="s">
        <v>240</v>
      </c>
      <c r="H81" s="1" t="s">
        <v>241</v>
      </c>
      <c r="J81" s="4" t="s">
        <v>9</v>
      </c>
      <c r="K81" t="s">
        <v>38</v>
      </c>
    </row>
    <row r="82" spans="1:11">
      <c r="A82" s="2" t="s">
        <v>242</v>
      </c>
      <c r="B82" s="2" t="s">
        <v>243</v>
      </c>
      <c r="C82" s="3">
        <v>45685</v>
      </c>
      <c r="D82" t="s">
        <v>192</v>
      </c>
      <c r="E82" s="5">
        <v>310874</v>
      </c>
      <c r="F82" s="6">
        <v>1</v>
      </c>
      <c r="G82" s="1" t="s">
        <v>244</v>
      </c>
      <c r="H82" s="1" t="s">
        <v>245</v>
      </c>
      <c r="I82" t="s">
        <v>246</v>
      </c>
      <c r="J82" s="4" t="s">
        <v>9</v>
      </c>
    </row>
    <row r="83" spans="1:11" ht="30">
      <c r="A83" s="2" t="s">
        <v>247</v>
      </c>
      <c r="B83" s="2" t="s">
        <v>243</v>
      </c>
      <c r="C83" s="3">
        <v>45685</v>
      </c>
      <c r="D83" t="s">
        <v>192</v>
      </c>
      <c r="E83" s="5">
        <v>402601</v>
      </c>
      <c r="F83" s="6">
        <v>1</v>
      </c>
      <c r="G83" s="1" t="s">
        <v>248</v>
      </c>
      <c r="H83" s="1" t="s">
        <v>249</v>
      </c>
      <c r="I83" t="s">
        <v>246</v>
      </c>
      <c r="J83" s="4" t="s">
        <v>9</v>
      </c>
    </row>
    <row r="84" spans="1:11" ht="30">
      <c r="A84" s="2" t="s">
        <v>250</v>
      </c>
      <c r="B84" s="2" t="s">
        <v>243</v>
      </c>
      <c r="C84" s="3">
        <v>45670</v>
      </c>
      <c r="D84" t="s">
        <v>192</v>
      </c>
      <c r="E84" s="5">
        <v>657034</v>
      </c>
      <c r="F84" s="6">
        <v>1</v>
      </c>
      <c r="G84" s="1" t="s">
        <v>251</v>
      </c>
      <c r="H84" s="1" t="s">
        <v>249</v>
      </c>
      <c r="I84" t="s">
        <v>246</v>
      </c>
      <c r="J84" s="4" t="s">
        <v>9</v>
      </c>
    </row>
    <row r="85" spans="1:11" ht="30">
      <c r="A85" s="2" t="s">
        <v>252</v>
      </c>
      <c r="B85" s="2" t="s">
        <v>253</v>
      </c>
      <c r="C85" s="3">
        <v>45789</v>
      </c>
      <c r="D85" t="s">
        <v>254</v>
      </c>
      <c r="E85" s="5">
        <v>54000</v>
      </c>
      <c r="F85" s="6">
        <v>1</v>
      </c>
      <c r="G85" s="1" t="s">
        <v>92</v>
      </c>
      <c r="H85" s="1" t="s">
        <v>255</v>
      </c>
      <c r="I85" t="s">
        <v>256</v>
      </c>
      <c r="J85" s="4" t="s">
        <v>9</v>
      </c>
      <c r="K85" t="s">
        <v>38</v>
      </c>
    </row>
    <row r="86" spans="1:11" ht="30">
      <c r="A86" s="2" t="s">
        <v>257</v>
      </c>
      <c r="B86" s="2" t="s">
        <v>258</v>
      </c>
      <c r="C86" s="3">
        <v>45632</v>
      </c>
      <c r="D86" t="s">
        <v>259</v>
      </c>
      <c r="E86" s="5">
        <v>1176290</v>
      </c>
      <c r="F86" s="6">
        <v>1</v>
      </c>
      <c r="G86" s="1"/>
      <c r="H86" s="1"/>
      <c r="J86" s="4" t="s">
        <v>9</v>
      </c>
      <c r="K86" t="s">
        <v>260</v>
      </c>
    </row>
    <row r="87" spans="1:11">
      <c r="A87" s="2" t="s">
        <v>261</v>
      </c>
      <c r="B87" s="2" t="s">
        <v>262</v>
      </c>
      <c r="C87" s="3">
        <v>44405</v>
      </c>
      <c r="D87" t="s">
        <v>263</v>
      </c>
      <c r="E87" s="5">
        <v>285000</v>
      </c>
      <c r="F87" s="6">
        <v>1</v>
      </c>
      <c r="G87" s="1"/>
      <c r="H87" s="1"/>
      <c r="I87" t="s">
        <v>264</v>
      </c>
      <c r="J87" s="4" t="s">
        <v>9</v>
      </c>
      <c r="K87" t="s">
        <v>32</v>
      </c>
    </row>
    <row r="88" spans="1:11">
      <c r="A88" s="2" t="s">
        <v>265</v>
      </c>
      <c r="B88" s="2" t="s">
        <v>266</v>
      </c>
      <c r="C88" s="3">
        <v>44400</v>
      </c>
      <c r="D88" t="s">
        <v>267</v>
      </c>
      <c r="E88" s="5">
        <v>246770.5</v>
      </c>
      <c r="F88" s="6">
        <v>2</v>
      </c>
      <c r="G88" s="1" t="s">
        <v>268</v>
      </c>
      <c r="H88" s="1" t="s">
        <v>269</v>
      </c>
      <c r="I88" t="s">
        <v>270</v>
      </c>
      <c r="J88" s="4" t="s">
        <v>9</v>
      </c>
      <c r="K88" t="s">
        <v>271</v>
      </c>
    </row>
    <row r="89" spans="1:11">
      <c r="A89" s="2" t="s">
        <v>272</v>
      </c>
      <c r="B89" s="2" t="s">
        <v>273</v>
      </c>
      <c r="C89" s="3">
        <v>44655</v>
      </c>
      <c r="D89" t="s">
        <v>274</v>
      </c>
      <c r="E89" s="5">
        <v>259500</v>
      </c>
      <c r="F89" s="6">
        <v>1</v>
      </c>
      <c r="G89" s="1" t="s">
        <v>275</v>
      </c>
      <c r="H89" s="1"/>
      <c r="I89" t="s">
        <v>276</v>
      </c>
      <c r="J89" s="4" t="s">
        <v>9</v>
      </c>
    </row>
    <row r="90" spans="1:11">
      <c r="A90" s="2" t="s">
        <v>277</v>
      </c>
      <c r="B90" s="2" t="s">
        <v>273</v>
      </c>
      <c r="C90" s="3">
        <v>44565</v>
      </c>
      <c r="D90" t="s">
        <v>278</v>
      </c>
      <c r="E90" s="5">
        <v>87450</v>
      </c>
      <c r="F90" s="6">
        <v>1</v>
      </c>
      <c r="G90" s="1" t="s">
        <v>279</v>
      </c>
      <c r="H90" s="1"/>
      <c r="I90" t="s">
        <v>276</v>
      </c>
      <c r="J90" s="4" t="s">
        <v>9</v>
      </c>
    </row>
    <row r="91" spans="1:11">
      <c r="A91" s="2" t="s">
        <v>280</v>
      </c>
      <c r="B91" s="2" t="s">
        <v>281</v>
      </c>
      <c r="C91" s="3">
        <v>44480</v>
      </c>
      <c r="D91" t="s">
        <v>282</v>
      </c>
      <c r="E91" s="5">
        <v>2400000</v>
      </c>
      <c r="F91" s="6">
        <v>1</v>
      </c>
      <c r="G91" s="1" t="s">
        <v>283</v>
      </c>
      <c r="H91" s="1" t="s">
        <v>284</v>
      </c>
      <c r="J91" s="4" t="s">
        <v>9</v>
      </c>
      <c r="K91" t="s">
        <v>32</v>
      </c>
    </row>
    <row r="92" spans="1:11" ht="75">
      <c r="A92" s="2" t="s">
        <v>285</v>
      </c>
      <c r="B92" s="2" t="s">
        <v>217</v>
      </c>
      <c r="C92" s="3">
        <v>44628</v>
      </c>
      <c r="D92" t="s">
        <v>70</v>
      </c>
      <c r="E92" s="5">
        <v>275000</v>
      </c>
      <c r="F92" s="6">
        <v>1</v>
      </c>
      <c r="G92" s="1" t="s">
        <v>286</v>
      </c>
      <c r="H92" s="1" t="s">
        <v>220</v>
      </c>
      <c r="I92" s="2" t="s">
        <v>221</v>
      </c>
      <c r="J92" s="4" t="s">
        <v>9</v>
      </c>
    </row>
    <row r="93" spans="1:11">
      <c r="A93" s="2" t="s">
        <v>285</v>
      </c>
      <c r="B93" s="2" t="s">
        <v>217</v>
      </c>
      <c r="C93" s="3">
        <v>44628</v>
      </c>
      <c r="D93" t="s">
        <v>218</v>
      </c>
      <c r="E93" s="5">
        <v>250000</v>
      </c>
      <c r="F93" s="6">
        <v>1</v>
      </c>
      <c r="G93" s="1" t="s">
        <v>286</v>
      </c>
      <c r="H93" s="1" t="s">
        <v>220</v>
      </c>
      <c r="I93" t="s">
        <v>287</v>
      </c>
      <c r="J93" s="4" t="s">
        <v>9</v>
      </c>
    </row>
    <row r="94" spans="1:11">
      <c r="A94" s="2" t="s">
        <v>285</v>
      </c>
      <c r="B94" s="2" t="s">
        <v>217</v>
      </c>
      <c r="C94" s="3">
        <v>44628</v>
      </c>
      <c r="D94" t="s">
        <v>232</v>
      </c>
      <c r="E94" s="5">
        <v>175000</v>
      </c>
      <c r="F94" s="6">
        <v>1</v>
      </c>
      <c r="G94" s="1" t="s">
        <v>286</v>
      </c>
      <c r="H94" s="1" t="s">
        <v>220</v>
      </c>
      <c r="I94" t="s">
        <v>287</v>
      </c>
      <c r="J94" s="4" t="s">
        <v>9</v>
      </c>
    </row>
    <row r="95" spans="1:11">
      <c r="A95" s="2" t="s">
        <v>285</v>
      </c>
      <c r="B95" s="2" t="s">
        <v>217</v>
      </c>
      <c r="C95" s="3">
        <v>44628</v>
      </c>
      <c r="D95" t="s">
        <v>288</v>
      </c>
      <c r="E95" s="5">
        <v>2350000</v>
      </c>
      <c r="F95" s="6">
        <v>1</v>
      </c>
      <c r="G95" s="1" t="s">
        <v>286</v>
      </c>
      <c r="H95" s="1" t="s">
        <v>220</v>
      </c>
      <c r="I95" t="s">
        <v>287</v>
      </c>
      <c r="J95" s="4" t="s">
        <v>9</v>
      </c>
    </row>
    <row r="96" spans="1:11">
      <c r="A96" s="2" t="s">
        <v>285</v>
      </c>
      <c r="B96" s="2" t="s">
        <v>217</v>
      </c>
      <c r="C96" s="3">
        <v>44628</v>
      </c>
      <c r="D96" t="s">
        <v>289</v>
      </c>
      <c r="E96" s="5">
        <v>160000</v>
      </c>
      <c r="F96" s="6">
        <v>1</v>
      </c>
      <c r="G96" s="1" t="s">
        <v>286</v>
      </c>
      <c r="H96" s="1" t="s">
        <v>220</v>
      </c>
      <c r="I96" t="s">
        <v>287</v>
      </c>
      <c r="J96" s="4" t="s">
        <v>9</v>
      </c>
    </row>
    <row r="97" spans="1:11">
      <c r="A97" s="2" t="s">
        <v>290</v>
      </c>
      <c r="B97" s="2" t="s">
        <v>291</v>
      </c>
      <c r="C97" s="3"/>
      <c r="D97" s="3" t="s">
        <v>292</v>
      </c>
      <c r="E97" s="5">
        <v>32000</v>
      </c>
      <c r="G97" s="1"/>
      <c r="H97" s="1"/>
      <c r="J97" s="4" t="s">
        <v>9</v>
      </c>
      <c r="K97" t="s">
        <v>58</v>
      </c>
    </row>
    <row r="98" spans="1:11" ht="30">
      <c r="A98" s="2" t="s">
        <v>293</v>
      </c>
      <c r="B98" s="2" t="s">
        <v>294</v>
      </c>
      <c r="C98" s="3"/>
      <c r="D98" s="3" t="s">
        <v>295</v>
      </c>
      <c r="E98" s="5">
        <v>1750000</v>
      </c>
      <c r="F98" s="6">
        <v>1</v>
      </c>
      <c r="G98" s="1" t="s">
        <v>296</v>
      </c>
      <c r="H98" s="1" t="s">
        <v>297</v>
      </c>
      <c r="J98" s="4" t="s">
        <v>9</v>
      </c>
      <c r="K98" t="s">
        <v>58</v>
      </c>
    </row>
    <row r="99" spans="1:11">
      <c r="A99" s="2" t="s">
        <v>298</v>
      </c>
      <c r="B99" s="2" t="s">
        <v>299</v>
      </c>
      <c r="C99" s="3"/>
      <c r="D99" s="3" t="s">
        <v>300</v>
      </c>
      <c r="E99" s="5">
        <v>219200</v>
      </c>
      <c r="F99" s="6">
        <v>1</v>
      </c>
      <c r="G99" s="1" t="s">
        <v>296</v>
      </c>
      <c r="H99" s="1" t="s">
        <v>301</v>
      </c>
      <c r="J99" s="4" t="s">
        <v>9</v>
      </c>
      <c r="K99" t="s">
        <v>58</v>
      </c>
    </row>
    <row r="100" spans="1:11">
      <c r="A100" s="2" t="s">
        <v>302</v>
      </c>
      <c r="B100" s="2" t="s">
        <v>303</v>
      </c>
      <c r="C100" s="3"/>
      <c r="D100" s="3" t="s">
        <v>304</v>
      </c>
      <c r="E100" s="5">
        <v>131220</v>
      </c>
      <c r="F100" s="6">
        <v>2</v>
      </c>
      <c r="G100" s="1" t="s">
        <v>296</v>
      </c>
      <c r="H100" s="1"/>
      <c r="J100" s="4" t="s">
        <v>9</v>
      </c>
      <c r="K100" t="s">
        <v>58</v>
      </c>
    </row>
    <row r="101" spans="1:11">
      <c r="A101" s="2" t="s">
        <v>305</v>
      </c>
      <c r="B101" s="2" t="s">
        <v>306</v>
      </c>
      <c r="C101" s="3"/>
      <c r="D101" t="s">
        <v>307</v>
      </c>
      <c r="E101" s="5">
        <v>80000</v>
      </c>
      <c r="F101" s="6">
        <v>2</v>
      </c>
      <c r="G101" s="1" t="s">
        <v>296</v>
      </c>
      <c r="H101" s="1" t="s">
        <v>308</v>
      </c>
      <c r="J101" s="4" t="s">
        <v>9</v>
      </c>
      <c r="K101" t="s">
        <v>58</v>
      </c>
    </row>
    <row r="102" spans="1:11">
      <c r="A102" s="2" t="s">
        <v>309</v>
      </c>
      <c r="B102" s="2" t="s">
        <v>310</v>
      </c>
      <c r="C102" s="3"/>
      <c r="D102" t="s">
        <v>311</v>
      </c>
      <c r="E102" s="5">
        <v>50000</v>
      </c>
      <c r="F102" s="6">
        <v>1</v>
      </c>
      <c r="G102" s="1" t="s">
        <v>296</v>
      </c>
      <c r="H102" s="1" t="s">
        <v>312</v>
      </c>
      <c r="J102" s="4" t="s">
        <v>9</v>
      </c>
      <c r="K102" t="s">
        <v>58</v>
      </c>
    </row>
    <row r="103" spans="1:11">
      <c r="A103" s="2" t="s">
        <v>313</v>
      </c>
      <c r="B103" s="2" t="s">
        <v>314</v>
      </c>
      <c r="C103" s="3"/>
      <c r="D103" t="s">
        <v>315</v>
      </c>
      <c r="E103" s="5">
        <v>0</v>
      </c>
      <c r="F103" s="6">
        <v>1</v>
      </c>
      <c r="G103" s="1" t="s">
        <v>296</v>
      </c>
      <c r="H103" s="1" t="s">
        <v>316</v>
      </c>
      <c r="J103" s="4" t="s">
        <v>9</v>
      </c>
      <c r="K103" t="s">
        <v>58</v>
      </c>
    </row>
    <row r="104" spans="1:11">
      <c r="A104" s="2" t="s">
        <v>317</v>
      </c>
      <c r="B104" s="2" t="s">
        <v>318</v>
      </c>
      <c r="C104" s="3"/>
      <c r="D104" t="s">
        <v>319</v>
      </c>
      <c r="E104" s="5">
        <v>2420156</v>
      </c>
      <c r="F104" s="6">
        <v>0</v>
      </c>
      <c r="G104" s="1" t="s">
        <v>296</v>
      </c>
      <c r="H104" s="1" t="s">
        <v>320</v>
      </c>
      <c r="J104" s="4" t="s">
        <v>9</v>
      </c>
      <c r="K104" t="s">
        <v>58</v>
      </c>
    </row>
    <row r="105" spans="1:11">
      <c r="A105" s="2" t="s">
        <v>321</v>
      </c>
      <c r="B105" s="2" t="s">
        <v>322</v>
      </c>
      <c r="C105" s="3"/>
      <c r="D105" t="s">
        <v>323</v>
      </c>
      <c r="E105" s="5">
        <v>180000</v>
      </c>
      <c r="F105" s="6">
        <v>3</v>
      </c>
      <c r="G105" s="1" t="s">
        <v>296</v>
      </c>
      <c r="H105" s="1" t="s">
        <v>324</v>
      </c>
      <c r="J105" s="4" t="s">
        <v>9</v>
      </c>
      <c r="K105" t="s">
        <v>58</v>
      </c>
    </row>
    <row r="106" spans="1:11">
      <c r="A106" s="2" t="s">
        <v>325</v>
      </c>
      <c r="B106" s="2" t="s">
        <v>322</v>
      </c>
      <c r="C106" s="3"/>
      <c r="D106" t="s">
        <v>323</v>
      </c>
      <c r="E106" s="5">
        <v>50000</v>
      </c>
      <c r="F106" s="6">
        <v>2</v>
      </c>
      <c r="G106" s="1" t="s">
        <v>296</v>
      </c>
      <c r="H106" s="1"/>
      <c r="J106" s="4" t="s">
        <v>9</v>
      </c>
      <c r="K106" t="s">
        <v>58</v>
      </c>
    </row>
    <row r="107" spans="1:11">
      <c r="A107" s="2" t="s">
        <v>326</v>
      </c>
      <c r="B107" s="2" t="s">
        <v>327</v>
      </c>
      <c r="C107" s="3"/>
      <c r="D107" t="s">
        <v>328</v>
      </c>
      <c r="E107" s="5">
        <v>3350000</v>
      </c>
      <c r="F107" s="6">
        <v>2</v>
      </c>
      <c r="G107" s="1" t="s">
        <v>296</v>
      </c>
      <c r="H107" s="1" t="s">
        <v>329</v>
      </c>
      <c r="J107" s="4" t="s">
        <v>9</v>
      </c>
      <c r="K107" t="s">
        <v>58</v>
      </c>
    </row>
    <row r="108" spans="1:11">
      <c r="A108" s="2" t="s">
        <v>330</v>
      </c>
      <c r="B108" s="2" t="s">
        <v>331</v>
      </c>
      <c r="C108" s="3"/>
      <c r="D108" t="s">
        <v>332</v>
      </c>
      <c r="E108" s="5">
        <v>5170000</v>
      </c>
      <c r="F108" s="6">
        <v>1</v>
      </c>
      <c r="G108" s="1" t="s">
        <v>296</v>
      </c>
      <c r="H108" s="1" t="s">
        <v>333</v>
      </c>
      <c r="J108" s="4" t="s">
        <v>9</v>
      </c>
      <c r="K108" t="s">
        <v>58</v>
      </c>
    </row>
    <row r="109" spans="1:11">
      <c r="A109" s="2" t="s">
        <v>334</v>
      </c>
      <c r="B109" s="2" t="s">
        <v>322</v>
      </c>
      <c r="C109" s="3"/>
      <c r="D109" t="s">
        <v>335</v>
      </c>
      <c r="E109" s="5">
        <v>180000</v>
      </c>
      <c r="F109" s="6">
        <v>1</v>
      </c>
      <c r="G109" s="1" t="s">
        <v>296</v>
      </c>
      <c r="H109" s="1"/>
      <c r="J109" s="4" t="s">
        <v>9</v>
      </c>
      <c r="K109" t="s">
        <v>58</v>
      </c>
    </row>
    <row r="110" spans="1:11">
      <c r="A110" s="2" t="s">
        <v>336</v>
      </c>
      <c r="B110" s="2" t="s">
        <v>337</v>
      </c>
      <c r="C110" s="3"/>
      <c r="D110" t="s">
        <v>338</v>
      </c>
      <c r="E110" s="5">
        <v>50000</v>
      </c>
      <c r="F110" s="6">
        <v>2</v>
      </c>
      <c r="G110" s="1" t="s">
        <v>296</v>
      </c>
      <c r="H110" s="1"/>
      <c r="J110" s="4" t="s">
        <v>9</v>
      </c>
      <c r="K110" t="s">
        <v>58</v>
      </c>
    </row>
    <row r="111" spans="1:11">
      <c r="A111" s="2" t="s">
        <v>339</v>
      </c>
      <c r="B111" s="2" t="s">
        <v>340</v>
      </c>
      <c r="C111" s="3"/>
      <c r="D111" t="s">
        <v>341</v>
      </c>
      <c r="E111" s="5">
        <v>100000</v>
      </c>
      <c r="F111" s="6">
        <v>2</v>
      </c>
      <c r="G111" s="1" t="s">
        <v>296</v>
      </c>
      <c r="H111" s="1"/>
      <c r="J111" s="4" t="s">
        <v>9</v>
      </c>
      <c r="K111" t="s">
        <v>58</v>
      </c>
    </row>
    <row r="112" spans="1:11">
      <c r="A112" s="2" t="s">
        <v>342</v>
      </c>
      <c r="B112" s="2" t="s">
        <v>343</v>
      </c>
      <c r="C112" s="3"/>
      <c r="D112" t="s">
        <v>344</v>
      </c>
      <c r="E112" s="5">
        <v>120000</v>
      </c>
      <c r="F112" s="6">
        <v>2</v>
      </c>
      <c r="G112" s="1" t="s">
        <v>296</v>
      </c>
      <c r="H112" s="1" t="s">
        <v>345</v>
      </c>
      <c r="J112" s="4" t="s">
        <v>9</v>
      </c>
      <c r="K112" t="s">
        <v>58</v>
      </c>
    </row>
    <row r="113" spans="1:11" ht="30">
      <c r="A113" s="2" t="s">
        <v>346</v>
      </c>
      <c r="B113" s="2" t="s">
        <v>347</v>
      </c>
      <c r="C113" s="3"/>
      <c r="D113" t="s">
        <v>348</v>
      </c>
      <c r="E113" s="5">
        <v>560000</v>
      </c>
      <c r="F113" s="6">
        <v>1</v>
      </c>
      <c r="G113" s="1" t="s">
        <v>296</v>
      </c>
      <c r="H113" s="1"/>
      <c r="J113" s="4" t="s">
        <v>9</v>
      </c>
      <c r="K113" t="s">
        <v>58</v>
      </c>
    </row>
    <row r="114" spans="1:11">
      <c r="A114" s="2" t="s">
        <v>349</v>
      </c>
      <c r="B114" s="2" t="s">
        <v>350</v>
      </c>
      <c r="C114" s="3"/>
      <c r="D114" t="s">
        <v>351</v>
      </c>
      <c r="E114" s="5">
        <v>315000</v>
      </c>
      <c r="F114" s="6">
        <v>1</v>
      </c>
      <c r="G114" s="1" t="s">
        <v>296</v>
      </c>
      <c r="H114" s="1" t="s">
        <v>308</v>
      </c>
      <c r="J114" s="4" t="s">
        <v>9</v>
      </c>
      <c r="K114" t="s">
        <v>58</v>
      </c>
    </row>
    <row r="115" spans="1:11">
      <c r="A115" s="2" t="s">
        <v>352</v>
      </c>
      <c r="B115" s="2" t="s">
        <v>353</v>
      </c>
      <c r="C115" s="3"/>
      <c r="D115" t="s">
        <v>354</v>
      </c>
      <c r="E115" s="5">
        <v>160000</v>
      </c>
      <c r="F115" s="6">
        <v>1</v>
      </c>
      <c r="G115" s="1" t="s">
        <v>296</v>
      </c>
      <c r="H115" s="1"/>
      <c r="J115" s="4" t="s">
        <v>9</v>
      </c>
      <c r="K115" t="s">
        <v>58</v>
      </c>
    </row>
    <row r="116" spans="1:11">
      <c r="A116" s="2" t="s">
        <v>355</v>
      </c>
      <c r="B116" s="2" t="s">
        <v>356</v>
      </c>
      <c r="C116" s="3"/>
      <c r="D116" t="s">
        <v>357</v>
      </c>
      <c r="E116" s="5">
        <v>410000</v>
      </c>
      <c r="F116" s="6">
        <v>1</v>
      </c>
      <c r="G116" s="1" t="s">
        <v>296</v>
      </c>
      <c r="H116" s="1"/>
      <c r="J116" s="4" t="s">
        <v>9</v>
      </c>
      <c r="K116" t="s">
        <v>58</v>
      </c>
    </row>
    <row r="117" spans="1:11">
      <c r="A117" s="2" t="s">
        <v>358</v>
      </c>
      <c r="B117" s="2" t="s">
        <v>359</v>
      </c>
      <c r="C117" s="3"/>
      <c r="D117" t="s">
        <v>360</v>
      </c>
      <c r="E117" s="5">
        <v>320000</v>
      </c>
      <c r="F117" s="6">
        <v>1</v>
      </c>
      <c r="G117" s="1" t="s">
        <v>296</v>
      </c>
      <c r="H117" s="1" t="s">
        <v>316</v>
      </c>
      <c r="J117" s="4" t="s">
        <v>9</v>
      </c>
      <c r="K117" t="s">
        <v>58</v>
      </c>
    </row>
    <row r="118" spans="1:11">
      <c r="A118" s="2" t="s">
        <v>361</v>
      </c>
      <c r="B118" s="2" t="s">
        <v>356</v>
      </c>
      <c r="C118" s="3"/>
      <c r="D118" t="s">
        <v>362</v>
      </c>
      <c r="E118" s="5">
        <v>90000</v>
      </c>
      <c r="F118" s="6">
        <v>1</v>
      </c>
      <c r="G118" s="1" t="s">
        <v>296</v>
      </c>
      <c r="H118" s="1"/>
      <c r="J118" s="4" t="s">
        <v>9</v>
      </c>
      <c r="K118" t="s">
        <v>58</v>
      </c>
    </row>
    <row r="119" spans="1:11">
      <c r="A119" s="2" t="s">
        <v>363</v>
      </c>
      <c r="B119" s="2" t="s">
        <v>364</v>
      </c>
      <c r="C119" s="3">
        <v>44778</v>
      </c>
      <c r="D119" t="s">
        <v>365</v>
      </c>
      <c r="E119" s="5">
        <v>350000</v>
      </c>
      <c r="F119" s="6">
        <v>2</v>
      </c>
      <c r="G119" s="1" t="s">
        <v>296</v>
      </c>
      <c r="H119" s="1" t="s">
        <v>366</v>
      </c>
      <c r="J119" s="4" t="s">
        <v>9</v>
      </c>
      <c r="K119" t="s">
        <v>58</v>
      </c>
    </row>
    <row r="120" spans="1:11">
      <c r="A120" s="2" t="s">
        <v>363</v>
      </c>
      <c r="B120" s="2" t="s">
        <v>364</v>
      </c>
      <c r="C120" s="3">
        <v>44778</v>
      </c>
      <c r="D120" t="s">
        <v>367</v>
      </c>
      <c r="E120" s="5">
        <v>80000</v>
      </c>
      <c r="F120" s="6">
        <v>1</v>
      </c>
      <c r="G120" s="1" t="s">
        <v>296</v>
      </c>
      <c r="H120" s="1" t="s">
        <v>368</v>
      </c>
      <c r="J120" s="4" t="s">
        <v>9</v>
      </c>
      <c r="K120" t="s">
        <v>58</v>
      </c>
    </row>
    <row r="121" spans="1:11">
      <c r="A121" s="2" t="s">
        <v>363</v>
      </c>
      <c r="B121" s="2" t="s">
        <v>364</v>
      </c>
      <c r="C121" s="3">
        <v>44778</v>
      </c>
      <c r="D121" t="s">
        <v>369</v>
      </c>
      <c r="E121" s="5">
        <v>885000</v>
      </c>
      <c r="F121" s="6">
        <v>1</v>
      </c>
      <c r="G121" s="1" t="s">
        <v>296</v>
      </c>
      <c r="H121" s="1" t="s">
        <v>370</v>
      </c>
      <c r="J121" s="4" t="s">
        <v>9</v>
      </c>
      <c r="K121" t="s">
        <v>58</v>
      </c>
    </row>
    <row r="122" spans="1:11">
      <c r="A122" s="2" t="s">
        <v>363</v>
      </c>
      <c r="B122" s="2" t="s">
        <v>364</v>
      </c>
      <c r="C122" s="3">
        <v>44778</v>
      </c>
      <c r="D122" t="s">
        <v>371</v>
      </c>
      <c r="E122" s="5">
        <v>1230000</v>
      </c>
      <c r="F122" s="6">
        <v>2</v>
      </c>
      <c r="G122" s="1" t="s">
        <v>296</v>
      </c>
      <c r="H122" s="1" t="s">
        <v>372</v>
      </c>
      <c r="J122" s="4" t="s">
        <v>9</v>
      </c>
      <c r="K122" t="s">
        <v>58</v>
      </c>
    </row>
    <row r="123" spans="1:11">
      <c r="A123" s="2" t="s">
        <v>363</v>
      </c>
      <c r="B123" s="2" t="s">
        <v>364</v>
      </c>
      <c r="C123" s="3">
        <v>44778</v>
      </c>
      <c r="D123" t="s">
        <v>373</v>
      </c>
      <c r="E123" s="5">
        <v>3475000</v>
      </c>
      <c r="F123" s="6">
        <v>1</v>
      </c>
      <c r="G123" s="1" t="s">
        <v>296</v>
      </c>
      <c r="H123" s="1" t="s">
        <v>374</v>
      </c>
      <c r="J123" s="4" t="s">
        <v>9</v>
      </c>
      <c r="K123" t="s">
        <v>58</v>
      </c>
    </row>
    <row r="124" spans="1:11" ht="75">
      <c r="A124" s="2" t="s">
        <v>375</v>
      </c>
      <c r="B124" s="2" t="s">
        <v>217</v>
      </c>
      <c r="C124" s="3">
        <v>44789</v>
      </c>
      <c r="D124" t="s">
        <v>376</v>
      </c>
      <c r="E124" s="5">
        <v>12730000</v>
      </c>
      <c r="F124" s="6">
        <v>1</v>
      </c>
      <c r="G124" s="1" t="s">
        <v>296</v>
      </c>
      <c r="H124" s="1" t="s">
        <v>180</v>
      </c>
      <c r="I124" s="2" t="s">
        <v>221</v>
      </c>
      <c r="J124" s="4" t="s">
        <v>9</v>
      </c>
      <c r="K124" t="s">
        <v>58</v>
      </c>
    </row>
    <row r="125" spans="1:11" ht="45">
      <c r="A125" s="2" t="s">
        <v>377</v>
      </c>
      <c r="B125" s="2" t="s">
        <v>378</v>
      </c>
      <c r="C125" s="3">
        <v>45789</v>
      </c>
      <c r="D125" t="s">
        <v>379</v>
      </c>
      <c r="E125" s="5">
        <v>54000</v>
      </c>
      <c r="F125" s="6">
        <v>1</v>
      </c>
      <c r="G125" s="1" t="s">
        <v>173</v>
      </c>
      <c r="H125" s="1" t="s">
        <v>255</v>
      </c>
      <c r="I125" t="s">
        <v>380</v>
      </c>
      <c r="J125" s="4" t="s">
        <v>9</v>
      </c>
      <c r="K125" t="s">
        <v>38</v>
      </c>
    </row>
    <row r="126" spans="1:11" ht="30">
      <c r="A126" s="2" t="s">
        <v>381</v>
      </c>
      <c r="B126" s="2" t="s">
        <v>382</v>
      </c>
      <c r="C126" s="3">
        <v>45516</v>
      </c>
      <c r="D126" t="s">
        <v>383</v>
      </c>
      <c r="E126" s="5">
        <v>3172596</v>
      </c>
      <c r="F126" s="6">
        <v>1</v>
      </c>
      <c r="G126" s="1" t="s">
        <v>84</v>
      </c>
      <c r="H126" s="1" t="s">
        <v>372</v>
      </c>
      <c r="I126" t="s">
        <v>384</v>
      </c>
      <c r="J126" s="4" t="s">
        <v>9</v>
      </c>
    </row>
    <row r="127" spans="1:11" ht="30">
      <c r="A127" s="2" t="s">
        <v>381</v>
      </c>
      <c r="B127" s="2" t="s">
        <v>382</v>
      </c>
      <c r="C127" s="3">
        <v>45516</v>
      </c>
      <c r="D127" t="s">
        <v>383</v>
      </c>
      <c r="E127" s="5">
        <f>2039310+E126</f>
        <v>5211906</v>
      </c>
      <c r="F127" s="6">
        <v>1</v>
      </c>
      <c r="G127" s="1" t="s">
        <v>89</v>
      </c>
      <c r="H127" s="1" t="s">
        <v>372</v>
      </c>
      <c r="I127" t="s">
        <v>384</v>
      </c>
      <c r="J127" s="4" t="s">
        <v>9</v>
      </c>
    </row>
    <row r="128" spans="1:11" ht="30">
      <c r="A128" s="2" t="s">
        <v>381</v>
      </c>
      <c r="B128" s="2" t="s">
        <v>385</v>
      </c>
      <c r="C128" s="3">
        <v>45516</v>
      </c>
      <c r="D128" t="s">
        <v>383</v>
      </c>
      <c r="E128" s="5">
        <f>509941+E127</f>
        <v>5721847</v>
      </c>
      <c r="F128" s="6">
        <v>1</v>
      </c>
      <c r="G128" s="1" t="s">
        <v>92</v>
      </c>
      <c r="H128" s="1" t="s">
        <v>372</v>
      </c>
      <c r="I128" t="s">
        <v>384</v>
      </c>
      <c r="J128" s="4" t="s">
        <v>9</v>
      </c>
    </row>
    <row r="129" spans="1:11">
      <c r="A129" s="2" t="s">
        <v>386</v>
      </c>
      <c r="B129" s="2" t="s">
        <v>387</v>
      </c>
      <c r="C129" s="3">
        <v>45672</v>
      </c>
      <c r="D129" t="s">
        <v>388</v>
      </c>
      <c r="E129" s="5">
        <v>646368</v>
      </c>
      <c r="F129" s="6">
        <v>1</v>
      </c>
      <c r="G129" s="1" t="s">
        <v>389</v>
      </c>
      <c r="H129" s="1"/>
      <c r="I129" t="s">
        <v>390</v>
      </c>
      <c r="J129" s="4" t="s">
        <v>9</v>
      </c>
      <c r="K129" t="s">
        <v>38</v>
      </c>
    </row>
    <row r="130" spans="1:11">
      <c r="A130" s="2" t="s">
        <v>386</v>
      </c>
      <c r="B130" s="2" t="s">
        <v>387</v>
      </c>
      <c r="C130" s="3">
        <v>45672</v>
      </c>
      <c r="D130" t="s">
        <v>391</v>
      </c>
      <c r="E130" s="5">
        <v>111132</v>
      </c>
      <c r="F130" s="6">
        <v>1</v>
      </c>
      <c r="G130" s="1" t="s">
        <v>392</v>
      </c>
      <c r="H130" s="1"/>
      <c r="I130" t="s">
        <v>390</v>
      </c>
      <c r="J130" s="4" t="s">
        <v>9</v>
      </c>
      <c r="K130" t="s">
        <v>38</v>
      </c>
    </row>
    <row r="131" spans="1:11">
      <c r="A131" s="2" t="s">
        <v>393</v>
      </c>
      <c r="B131" s="2" t="s">
        <v>387</v>
      </c>
      <c r="C131" s="3">
        <v>45672</v>
      </c>
      <c r="D131" t="s">
        <v>394</v>
      </c>
      <c r="E131" s="5">
        <v>492590</v>
      </c>
      <c r="F131" s="6">
        <v>1</v>
      </c>
      <c r="G131" s="1" t="s">
        <v>389</v>
      </c>
      <c r="H131" s="1"/>
      <c r="I131" t="s">
        <v>390</v>
      </c>
      <c r="J131" s="4" t="s">
        <v>9</v>
      </c>
      <c r="K131" t="s">
        <v>38</v>
      </c>
    </row>
    <row r="132" spans="1:11">
      <c r="A132" s="2" t="s">
        <v>393</v>
      </c>
      <c r="B132" s="2" t="s">
        <v>387</v>
      </c>
      <c r="C132" s="3">
        <v>45672</v>
      </c>
      <c r="D132" t="s">
        <v>395</v>
      </c>
      <c r="E132" s="5">
        <v>243810</v>
      </c>
      <c r="F132" s="6">
        <v>1</v>
      </c>
      <c r="G132" s="1" t="s">
        <v>396</v>
      </c>
      <c r="H132" s="1"/>
      <c r="I132" t="s">
        <v>390</v>
      </c>
      <c r="J132" s="4" t="s">
        <v>9</v>
      </c>
      <c r="K132" t="s">
        <v>38</v>
      </c>
    </row>
    <row r="133" spans="1:11" ht="30">
      <c r="A133" s="2" t="s">
        <v>397</v>
      </c>
      <c r="B133" s="2" t="s">
        <v>97</v>
      </c>
      <c r="C133" s="3">
        <v>43800</v>
      </c>
      <c r="D133" t="s">
        <v>398</v>
      </c>
      <c r="E133" s="5">
        <v>621060.32999999996</v>
      </c>
      <c r="F133" s="6">
        <v>4</v>
      </c>
      <c r="G133" s="1"/>
      <c r="H133" s="1" t="s">
        <v>399</v>
      </c>
      <c r="I133" t="s">
        <v>400</v>
      </c>
      <c r="J133" s="4" t="s">
        <v>9</v>
      </c>
      <c r="K133" t="s">
        <v>102</v>
      </c>
    </row>
    <row r="134" spans="1:11">
      <c r="A134" s="2" t="s">
        <v>401</v>
      </c>
      <c r="B134" s="2" t="s">
        <v>402</v>
      </c>
      <c r="C134" s="3">
        <v>43627</v>
      </c>
      <c r="D134" t="s">
        <v>403</v>
      </c>
      <c r="E134" s="5">
        <v>1514400</v>
      </c>
      <c r="F134" s="6">
        <v>1</v>
      </c>
      <c r="G134" s="1" t="s">
        <v>404</v>
      </c>
      <c r="H134" s="1"/>
      <c r="I134" t="s">
        <v>405</v>
      </c>
      <c r="J134" s="4" t="s">
        <v>9</v>
      </c>
      <c r="K134" t="s">
        <v>102</v>
      </c>
    </row>
    <row r="135" spans="1:11" ht="30">
      <c r="A135" s="2" t="s">
        <v>406</v>
      </c>
      <c r="B135" s="2" t="s">
        <v>407</v>
      </c>
      <c r="C135" s="3">
        <v>45666</v>
      </c>
      <c r="D135" t="s">
        <v>408</v>
      </c>
      <c r="E135" s="5">
        <v>145776.38</v>
      </c>
      <c r="F135" s="6">
        <v>1</v>
      </c>
      <c r="G135" s="1" t="s">
        <v>409</v>
      </c>
      <c r="H135" s="1"/>
      <c r="J135" s="4" t="s">
        <v>9</v>
      </c>
      <c r="K135" t="s">
        <v>38</v>
      </c>
    </row>
    <row r="136" spans="1:11">
      <c r="A136" s="2" t="s">
        <v>410</v>
      </c>
      <c r="B136" s="2" t="s">
        <v>407</v>
      </c>
      <c r="C136" s="3">
        <v>45485</v>
      </c>
      <c r="D136" t="s">
        <v>411</v>
      </c>
      <c r="E136" s="5">
        <v>991934</v>
      </c>
      <c r="F136" s="6">
        <v>1</v>
      </c>
      <c r="G136" s="1" t="s">
        <v>409</v>
      </c>
      <c r="H136" s="1"/>
      <c r="J136" s="4" t="s">
        <v>9</v>
      </c>
      <c r="K136" t="s">
        <v>38</v>
      </c>
    </row>
    <row r="137" spans="1:11" ht="30">
      <c r="A137" s="2" t="s">
        <v>412</v>
      </c>
      <c r="B137" s="2" t="s">
        <v>413</v>
      </c>
      <c r="C137" s="3">
        <v>43525</v>
      </c>
      <c r="D137" s="2" t="s">
        <v>383</v>
      </c>
      <c r="E137" s="5">
        <v>4348000</v>
      </c>
      <c r="F137" s="6">
        <v>1</v>
      </c>
      <c r="G137" s="1" t="s">
        <v>414</v>
      </c>
      <c r="H137" s="1"/>
      <c r="J137" s="4" t="s">
        <v>9</v>
      </c>
      <c r="K137" t="s">
        <v>102</v>
      </c>
    </row>
    <row r="138" spans="1:11" ht="30">
      <c r="A138" s="2" t="s">
        <v>412</v>
      </c>
      <c r="B138" s="2" t="s">
        <v>413</v>
      </c>
      <c r="C138" s="3">
        <v>43525</v>
      </c>
      <c r="D138" s="2" t="s">
        <v>415</v>
      </c>
      <c r="E138" s="5">
        <v>97000</v>
      </c>
      <c r="F138" s="6">
        <v>1</v>
      </c>
      <c r="G138" s="1" t="s">
        <v>414</v>
      </c>
      <c r="H138" s="1"/>
      <c r="J138" s="4" t="s">
        <v>9</v>
      </c>
      <c r="K138" t="s">
        <v>102</v>
      </c>
    </row>
    <row r="139" spans="1:11">
      <c r="A139" s="2" t="s">
        <v>416</v>
      </c>
      <c r="B139" s="2" t="s">
        <v>417</v>
      </c>
      <c r="C139" s="3">
        <v>45211</v>
      </c>
      <c r="D139" t="s">
        <v>383</v>
      </c>
      <c r="E139" s="5">
        <v>3324700</v>
      </c>
      <c r="F139" s="6">
        <v>1</v>
      </c>
      <c r="G139" s="1" t="s">
        <v>418</v>
      </c>
      <c r="H139" s="1" t="s">
        <v>180</v>
      </c>
      <c r="I139" t="s">
        <v>419</v>
      </c>
      <c r="J139" s="4" t="s">
        <v>9</v>
      </c>
    </row>
    <row r="140" spans="1:11">
      <c r="A140" s="2" t="s">
        <v>416</v>
      </c>
      <c r="B140" s="2" t="s">
        <v>417</v>
      </c>
      <c r="C140" s="3">
        <v>45211</v>
      </c>
      <c r="D140" t="s">
        <v>420</v>
      </c>
      <c r="E140" s="5">
        <v>330000</v>
      </c>
      <c r="F140" s="6">
        <v>1</v>
      </c>
      <c r="G140" s="1" t="s">
        <v>418</v>
      </c>
      <c r="H140" s="1" t="s">
        <v>180</v>
      </c>
      <c r="I140" t="s">
        <v>419</v>
      </c>
      <c r="J140" s="4" t="s">
        <v>9</v>
      </c>
    </row>
    <row r="141" spans="1:11">
      <c r="A141" s="2" t="s">
        <v>416</v>
      </c>
      <c r="B141" s="2" t="s">
        <v>417</v>
      </c>
      <c r="C141" s="3">
        <v>45211</v>
      </c>
      <c r="D141" t="s">
        <v>94</v>
      </c>
      <c r="E141" s="5">
        <v>97000</v>
      </c>
      <c r="F141" s="6">
        <v>1</v>
      </c>
      <c r="G141" s="1" t="s">
        <v>421</v>
      </c>
      <c r="H141" s="1" t="s">
        <v>180</v>
      </c>
      <c r="I141" t="s">
        <v>419</v>
      </c>
      <c r="J141" s="4" t="s">
        <v>9</v>
      </c>
    </row>
    <row r="142" spans="1:11">
      <c r="A142" s="2" t="s">
        <v>422</v>
      </c>
      <c r="B142" s="2" t="s">
        <v>132</v>
      </c>
      <c r="C142" s="3">
        <v>44957</v>
      </c>
      <c r="D142" t="s">
        <v>423</v>
      </c>
      <c r="E142" s="5">
        <f>1143896+414478+95149</f>
        <v>1653523</v>
      </c>
      <c r="F142" s="6">
        <v>3</v>
      </c>
      <c r="G142" s="1" t="s">
        <v>424</v>
      </c>
      <c r="H142" s="1"/>
      <c r="I142" t="s">
        <v>425</v>
      </c>
      <c r="J142" s="4" t="s">
        <v>9</v>
      </c>
      <c r="K142" t="s">
        <v>32</v>
      </c>
    </row>
    <row r="143" spans="1:11">
      <c r="A143" s="2" t="s">
        <v>422</v>
      </c>
      <c r="B143" s="2" t="s">
        <v>132</v>
      </c>
      <c r="C143" s="3">
        <v>44957</v>
      </c>
      <c r="D143" t="s">
        <v>426</v>
      </c>
      <c r="E143" s="5">
        <f>449400+44776</f>
        <v>494176</v>
      </c>
      <c r="F143" s="6">
        <v>3</v>
      </c>
      <c r="G143" s="1" t="s">
        <v>427</v>
      </c>
      <c r="H143" s="1"/>
      <c r="I143" t="s">
        <v>425</v>
      </c>
      <c r="J143" s="4" t="s">
        <v>9</v>
      </c>
      <c r="K143" t="s">
        <v>32</v>
      </c>
    </row>
    <row r="144" spans="1:11">
      <c r="A144" s="2" t="s">
        <v>428</v>
      </c>
      <c r="B144" s="2" t="s">
        <v>429</v>
      </c>
      <c r="C144" s="3">
        <v>45617</v>
      </c>
      <c r="D144" t="s">
        <v>430</v>
      </c>
      <c r="E144" s="5">
        <v>32126</v>
      </c>
      <c r="F144" s="6">
        <v>1</v>
      </c>
      <c r="G144" s="1" t="s">
        <v>431</v>
      </c>
      <c r="H144" s="1" t="s">
        <v>432</v>
      </c>
      <c r="I144" t="s">
        <v>174</v>
      </c>
      <c r="J144" s="4" t="s">
        <v>9</v>
      </c>
      <c r="K144" t="s">
        <v>58</v>
      </c>
    </row>
    <row r="145" spans="1:11">
      <c r="A145" s="2" t="s">
        <v>433</v>
      </c>
      <c r="B145" s="2" t="s">
        <v>434</v>
      </c>
      <c r="C145" s="3">
        <v>45616</v>
      </c>
      <c r="D145" t="s">
        <v>94</v>
      </c>
      <c r="E145" s="5">
        <v>79994</v>
      </c>
      <c r="F145" s="6">
        <v>1</v>
      </c>
      <c r="G145" s="1"/>
      <c r="H145" s="1" t="s">
        <v>435</v>
      </c>
      <c r="J145" s="4" t="s">
        <v>9</v>
      </c>
    </row>
    <row r="146" spans="1:11">
      <c r="A146" s="2" t="s">
        <v>436</v>
      </c>
      <c r="B146" s="2" t="s">
        <v>437</v>
      </c>
      <c r="C146" s="3">
        <v>44447</v>
      </c>
      <c r="D146" t="s">
        <v>438</v>
      </c>
      <c r="E146" s="5">
        <v>380000</v>
      </c>
      <c r="F146" s="6">
        <v>1</v>
      </c>
      <c r="G146" s="1" t="s">
        <v>439</v>
      </c>
      <c r="H146" s="1"/>
      <c r="J146" s="4" t="s">
        <v>9</v>
      </c>
      <c r="K146" t="s">
        <v>32</v>
      </c>
    </row>
    <row r="147" spans="1:11">
      <c r="A147" s="2" t="s">
        <v>440</v>
      </c>
      <c r="B147" s="2" t="s">
        <v>441</v>
      </c>
      <c r="C147" s="3">
        <v>45642</v>
      </c>
      <c r="D147" t="s">
        <v>442</v>
      </c>
      <c r="E147" s="5">
        <v>29440.35</v>
      </c>
      <c r="F147" s="6">
        <v>1</v>
      </c>
      <c r="G147" s="1" t="s">
        <v>443</v>
      </c>
      <c r="H147" s="1" t="s">
        <v>444</v>
      </c>
      <c r="I147" t="s">
        <v>174</v>
      </c>
      <c r="J147" s="4" t="s">
        <v>9</v>
      </c>
    </row>
    <row r="148" spans="1:11">
      <c r="A148" s="2" t="s">
        <v>445</v>
      </c>
      <c r="B148" s="2" t="s">
        <v>446</v>
      </c>
      <c r="C148" s="3">
        <v>44487</v>
      </c>
      <c r="D148" t="s">
        <v>447</v>
      </c>
      <c r="E148" s="5">
        <v>93730</v>
      </c>
      <c r="F148" s="6">
        <v>2</v>
      </c>
      <c r="G148" s="1" t="s">
        <v>448</v>
      </c>
      <c r="H148" s="1"/>
      <c r="J148" s="4" t="s">
        <v>9</v>
      </c>
    </row>
    <row r="149" spans="1:11">
      <c r="A149" s="2" t="s">
        <v>445</v>
      </c>
      <c r="B149" s="2" t="s">
        <v>446</v>
      </c>
      <c r="C149" s="3">
        <v>44487</v>
      </c>
      <c r="D149" t="s">
        <v>449</v>
      </c>
      <c r="E149" s="5">
        <v>34803</v>
      </c>
      <c r="F149" s="6">
        <v>3</v>
      </c>
      <c r="G149" s="1" t="s">
        <v>450</v>
      </c>
      <c r="H149" s="1"/>
      <c r="J149" s="4" t="s">
        <v>9</v>
      </c>
    </row>
    <row r="150" spans="1:11">
      <c r="A150" s="2" t="s">
        <v>445</v>
      </c>
      <c r="B150" s="2" t="s">
        <v>446</v>
      </c>
      <c r="C150" s="3">
        <v>44487</v>
      </c>
      <c r="D150" t="s">
        <v>451</v>
      </c>
      <c r="E150" s="5">
        <v>374280</v>
      </c>
      <c r="F150" s="6">
        <v>4</v>
      </c>
      <c r="G150" s="1" t="s">
        <v>452</v>
      </c>
      <c r="H150" s="1"/>
      <c r="J150" s="4" t="s">
        <v>9</v>
      </c>
    </row>
    <row r="151" spans="1:11">
      <c r="A151" s="2" t="s">
        <v>445</v>
      </c>
      <c r="B151" s="2" t="s">
        <v>446</v>
      </c>
      <c r="C151" s="3">
        <v>44487</v>
      </c>
      <c r="D151" t="s">
        <v>453</v>
      </c>
      <c r="E151" s="5">
        <v>251787</v>
      </c>
      <c r="F151" s="6">
        <v>3</v>
      </c>
      <c r="G151" s="1" t="s">
        <v>454</v>
      </c>
      <c r="H151" s="1"/>
      <c r="J151" s="4" t="s">
        <v>9</v>
      </c>
    </row>
    <row r="152" spans="1:11">
      <c r="A152" s="2" t="s">
        <v>445</v>
      </c>
      <c r="B152" s="2" t="s">
        <v>446</v>
      </c>
      <c r="C152" s="3">
        <v>44487</v>
      </c>
      <c r="D152" t="s">
        <v>455</v>
      </c>
      <c r="E152" s="5">
        <v>71772</v>
      </c>
      <c r="F152" s="6">
        <v>2</v>
      </c>
      <c r="G152" s="1" t="s">
        <v>456</v>
      </c>
      <c r="H152" s="1"/>
      <c r="J152" s="4" t="s">
        <v>9</v>
      </c>
    </row>
    <row r="153" spans="1:11">
      <c r="A153" s="2" t="s">
        <v>445</v>
      </c>
      <c r="B153" s="2" t="s">
        <v>446</v>
      </c>
      <c r="C153" s="3">
        <v>44487</v>
      </c>
      <c r="D153" t="s">
        <v>457</v>
      </c>
      <c r="E153" s="5">
        <v>25292</v>
      </c>
      <c r="F153" s="6">
        <v>2</v>
      </c>
      <c r="G153" s="1" t="s">
        <v>458</v>
      </c>
      <c r="H153" s="1"/>
      <c r="J153" s="4" t="s">
        <v>9</v>
      </c>
    </row>
    <row r="154" spans="1:11">
      <c r="A154" s="2" t="s">
        <v>445</v>
      </c>
      <c r="B154" s="2" t="s">
        <v>446</v>
      </c>
      <c r="C154" s="3">
        <v>44487</v>
      </c>
      <c r="D154" t="s">
        <v>459</v>
      </c>
      <c r="E154" s="5">
        <v>83482</v>
      </c>
      <c r="F154" s="6">
        <v>2</v>
      </c>
      <c r="G154" s="1" t="s">
        <v>460</v>
      </c>
      <c r="H154" s="1"/>
      <c r="J154" s="4" t="s">
        <v>9</v>
      </c>
    </row>
    <row r="155" spans="1:11" ht="30">
      <c r="A155" s="2" t="s">
        <v>461</v>
      </c>
      <c r="B155" s="2" t="s">
        <v>462</v>
      </c>
      <c r="C155" s="3">
        <v>42795</v>
      </c>
      <c r="D155" t="s">
        <v>463</v>
      </c>
      <c r="E155" s="5">
        <v>350000</v>
      </c>
      <c r="F155" s="6">
        <v>1</v>
      </c>
      <c r="G155" s="1" t="s">
        <v>464</v>
      </c>
      <c r="H155" s="1"/>
      <c r="J155" s="4" t="s">
        <v>9</v>
      </c>
    </row>
    <row r="156" spans="1:11" ht="30">
      <c r="A156" s="2" t="s">
        <v>465</v>
      </c>
      <c r="B156" s="2" t="s">
        <v>462</v>
      </c>
      <c r="C156" s="3">
        <v>42795</v>
      </c>
      <c r="D156" t="s">
        <v>466</v>
      </c>
      <c r="E156" s="5">
        <f>135000+562500</f>
        <v>697500</v>
      </c>
      <c r="F156" s="6">
        <v>1</v>
      </c>
      <c r="G156" s="1" t="s">
        <v>467</v>
      </c>
      <c r="H156" s="1"/>
      <c r="J156" s="4" t="s">
        <v>9</v>
      </c>
    </row>
    <row r="157" spans="1:11" ht="30">
      <c r="A157" s="2" t="s">
        <v>465</v>
      </c>
      <c r="B157" s="2" t="s">
        <v>462</v>
      </c>
      <c r="C157" s="3">
        <v>42795</v>
      </c>
      <c r="D157" t="s">
        <v>468</v>
      </c>
      <c r="E157" s="5">
        <v>460000</v>
      </c>
      <c r="F157" s="6">
        <v>1</v>
      </c>
      <c r="G157" s="1" t="s">
        <v>469</v>
      </c>
      <c r="H157" s="1"/>
      <c r="J157" s="4" t="s">
        <v>9</v>
      </c>
    </row>
    <row r="158" spans="1:11" ht="30">
      <c r="A158" s="2" t="s">
        <v>465</v>
      </c>
      <c r="B158" s="2" t="s">
        <v>462</v>
      </c>
      <c r="C158" s="3">
        <v>42795</v>
      </c>
      <c r="D158" t="s">
        <v>470</v>
      </c>
      <c r="E158" s="5">
        <v>239660</v>
      </c>
      <c r="F158" s="6">
        <v>1</v>
      </c>
      <c r="G158" s="1" t="s">
        <v>471</v>
      </c>
      <c r="H158" s="1"/>
      <c r="J158" s="4" t="s">
        <v>9</v>
      </c>
    </row>
    <row r="159" spans="1:11" ht="30">
      <c r="A159" s="2" t="s">
        <v>465</v>
      </c>
      <c r="B159" s="2" t="s">
        <v>462</v>
      </c>
      <c r="C159" s="3">
        <v>42795</v>
      </c>
      <c r="D159" t="s">
        <v>472</v>
      </c>
      <c r="E159" s="5">
        <v>218019.68</v>
      </c>
      <c r="F159" s="6">
        <v>1</v>
      </c>
      <c r="G159" s="1" t="s">
        <v>473</v>
      </c>
      <c r="H159" s="1"/>
      <c r="J159" s="4" t="s">
        <v>9</v>
      </c>
    </row>
    <row r="160" spans="1:11" ht="30">
      <c r="A160" s="2" t="s">
        <v>465</v>
      </c>
      <c r="B160" s="2" t="s">
        <v>462</v>
      </c>
      <c r="C160" s="3">
        <v>42795</v>
      </c>
      <c r="D160" t="s">
        <v>474</v>
      </c>
      <c r="E160" s="5">
        <v>78500</v>
      </c>
      <c r="F160" s="6">
        <v>1</v>
      </c>
      <c r="G160" s="1" t="s">
        <v>475</v>
      </c>
      <c r="H160" s="1"/>
      <c r="J160" s="4" t="s">
        <v>9</v>
      </c>
    </row>
    <row r="161" spans="1:11">
      <c r="A161" s="2" t="s">
        <v>476</v>
      </c>
      <c r="B161" s="2" t="s">
        <v>477</v>
      </c>
      <c r="C161" s="3">
        <v>44477</v>
      </c>
      <c r="D161" t="s">
        <v>478</v>
      </c>
      <c r="E161" s="5">
        <v>675000</v>
      </c>
      <c r="F161" s="6">
        <v>3</v>
      </c>
      <c r="G161" s="1" t="s">
        <v>479</v>
      </c>
      <c r="H161" s="1" t="s">
        <v>156</v>
      </c>
      <c r="I161" t="s">
        <v>480</v>
      </c>
      <c r="J161" s="4" t="s">
        <v>9</v>
      </c>
      <c r="K161" t="s">
        <v>32</v>
      </c>
    </row>
    <row r="162" spans="1:11" ht="60">
      <c r="A162" s="2" t="s">
        <v>481</v>
      </c>
      <c r="B162" s="2" t="s">
        <v>482</v>
      </c>
      <c r="C162" s="3">
        <v>43445</v>
      </c>
      <c r="D162" s="2" t="s">
        <v>483</v>
      </c>
      <c r="E162" s="5">
        <v>1973050</v>
      </c>
      <c r="F162" s="6">
        <v>3</v>
      </c>
      <c r="G162" s="1" t="s">
        <v>484</v>
      </c>
      <c r="H162" s="1" t="s">
        <v>269</v>
      </c>
      <c r="J162" s="4" t="s">
        <v>9</v>
      </c>
      <c r="K162" t="s">
        <v>102</v>
      </c>
    </row>
    <row r="163" spans="1:11" ht="30">
      <c r="A163" s="2" t="s">
        <v>481</v>
      </c>
      <c r="B163" s="2" t="s">
        <v>482</v>
      </c>
      <c r="C163" s="3">
        <v>43445</v>
      </c>
      <c r="D163" t="s">
        <v>485</v>
      </c>
      <c r="E163" s="5">
        <v>391200</v>
      </c>
      <c r="F163" s="6">
        <v>1</v>
      </c>
      <c r="G163" s="1" t="s">
        <v>486</v>
      </c>
      <c r="H163" s="1" t="s">
        <v>269</v>
      </c>
      <c r="J163" s="4" t="s">
        <v>9</v>
      </c>
      <c r="K163" t="s">
        <v>102</v>
      </c>
    </row>
    <row r="164" spans="1:11">
      <c r="A164" s="2" t="s">
        <v>487</v>
      </c>
      <c r="B164" s="2" t="s">
        <v>49</v>
      </c>
      <c r="C164" s="3">
        <v>45692</v>
      </c>
      <c r="D164" t="s">
        <v>488</v>
      </c>
      <c r="E164" s="5">
        <v>274000</v>
      </c>
      <c r="F164" s="6">
        <v>1</v>
      </c>
      <c r="G164" s="6" t="s">
        <v>489</v>
      </c>
      <c r="H164" s="1"/>
      <c r="J164" s="4" t="s">
        <v>9</v>
      </c>
    </row>
    <row r="165" spans="1:11">
      <c r="A165" s="2" t="s">
        <v>487</v>
      </c>
      <c r="B165" s="2" t="s">
        <v>49</v>
      </c>
      <c r="C165" s="3">
        <v>45692</v>
      </c>
      <c r="D165" t="s">
        <v>488</v>
      </c>
      <c r="E165" s="5">
        <v>292000</v>
      </c>
      <c r="F165" s="6">
        <v>1</v>
      </c>
      <c r="G165" s="6" t="s">
        <v>489</v>
      </c>
      <c r="H165" s="1"/>
      <c r="J165" s="4" t="s">
        <v>9</v>
      </c>
    </row>
    <row r="166" spans="1:11">
      <c r="A166" s="2" t="s">
        <v>487</v>
      </c>
      <c r="B166" s="2" t="s">
        <v>49</v>
      </c>
      <c r="C166" s="3">
        <v>45692</v>
      </c>
      <c r="D166" t="s">
        <v>488</v>
      </c>
      <c r="E166" s="5">
        <v>314000</v>
      </c>
      <c r="F166" s="6">
        <v>1</v>
      </c>
      <c r="G166" s="6" t="s">
        <v>489</v>
      </c>
      <c r="H166" s="1"/>
      <c r="J166" s="4" t="s">
        <v>9</v>
      </c>
    </row>
    <row r="167" spans="1:11" ht="30">
      <c r="A167" s="2" t="s">
        <v>490</v>
      </c>
      <c r="B167" s="2" t="s">
        <v>491</v>
      </c>
      <c r="C167" s="3">
        <v>44986</v>
      </c>
      <c r="D167" t="s">
        <v>492</v>
      </c>
      <c r="E167" s="5">
        <v>133000</v>
      </c>
      <c r="F167" s="6">
        <v>1</v>
      </c>
      <c r="G167" s="1" t="s">
        <v>493</v>
      </c>
      <c r="H167" s="1"/>
      <c r="J167" s="4" t="s">
        <v>9</v>
      </c>
      <c r="K167" t="s">
        <v>494</v>
      </c>
    </row>
    <row r="168" spans="1:11" ht="30">
      <c r="A168" s="2" t="s">
        <v>490</v>
      </c>
      <c r="B168" s="2" t="s">
        <v>495</v>
      </c>
      <c r="C168" s="3">
        <v>44830</v>
      </c>
      <c r="D168" t="s">
        <v>496</v>
      </c>
      <c r="E168" s="5">
        <v>1226000</v>
      </c>
      <c r="F168" s="6">
        <v>1</v>
      </c>
      <c r="G168" s="1" t="s">
        <v>497</v>
      </c>
      <c r="H168" s="1" t="s">
        <v>498</v>
      </c>
      <c r="J168" s="4" t="s">
        <v>9</v>
      </c>
      <c r="K168" t="s">
        <v>494</v>
      </c>
    </row>
    <row r="169" spans="1:11" ht="30">
      <c r="A169" s="2" t="s">
        <v>490</v>
      </c>
      <c r="B169" s="2" t="s">
        <v>495</v>
      </c>
      <c r="C169" s="3">
        <v>44830</v>
      </c>
      <c r="D169" t="s">
        <v>499</v>
      </c>
      <c r="E169" s="5">
        <v>292000</v>
      </c>
      <c r="F169" s="6">
        <v>2</v>
      </c>
      <c r="G169" s="1" t="s">
        <v>500</v>
      </c>
      <c r="H169" s="1" t="s">
        <v>498</v>
      </c>
      <c r="J169" s="4" t="s">
        <v>9</v>
      </c>
      <c r="K169" t="s">
        <v>494</v>
      </c>
    </row>
    <row r="170" spans="1:11" ht="30">
      <c r="A170" s="2" t="s">
        <v>490</v>
      </c>
      <c r="B170" s="2" t="s">
        <v>495</v>
      </c>
      <c r="C170" s="3">
        <v>44830</v>
      </c>
      <c r="D170" t="s">
        <v>501</v>
      </c>
      <c r="E170" s="5">
        <v>801000</v>
      </c>
      <c r="F170" s="6">
        <v>1</v>
      </c>
      <c r="G170" s="1" t="s">
        <v>502</v>
      </c>
      <c r="H170" s="1" t="s">
        <v>498</v>
      </c>
      <c r="J170" s="4" t="s">
        <v>9</v>
      </c>
      <c r="K170" t="s">
        <v>494</v>
      </c>
    </row>
    <row r="171" spans="1:11" ht="30">
      <c r="A171" s="2" t="s">
        <v>490</v>
      </c>
      <c r="B171" s="2" t="s">
        <v>495</v>
      </c>
      <c r="C171" s="3">
        <v>44830</v>
      </c>
      <c r="D171" t="s">
        <v>503</v>
      </c>
      <c r="E171" s="5">
        <v>405000</v>
      </c>
      <c r="F171" s="6">
        <v>1</v>
      </c>
      <c r="G171" s="1" t="s">
        <v>500</v>
      </c>
      <c r="H171" s="1" t="s">
        <v>498</v>
      </c>
      <c r="J171" s="4" t="s">
        <v>9</v>
      </c>
      <c r="K171" t="s">
        <v>494</v>
      </c>
    </row>
    <row r="172" spans="1:11" ht="30">
      <c r="A172" s="2" t="s">
        <v>490</v>
      </c>
      <c r="B172" s="2" t="s">
        <v>504</v>
      </c>
      <c r="C172" s="3">
        <v>44994</v>
      </c>
      <c r="D172" t="s">
        <v>505</v>
      </c>
      <c r="E172" s="5">
        <v>360000</v>
      </c>
      <c r="F172" s="6">
        <v>2</v>
      </c>
      <c r="G172" s="1" t="s">
        <v>506</v>
      </c>
      <c r="H172" s="1"/>
      <c r="J172" s="4" t="s">
        <v>9</v>
      </c>
      <c r="K172" t="s">
        <v>494</v>
      </c>
    </row>
    <row r="173" spans="1:11" ht="30">
      <c r="A173" s="2" t="s">
        <v>490</v>
      </c>
      <c r="B173" s="9" t="s">
        <v>507</v>
      </c>
      <c r="C173" s="9">
        <v>44984</v>
      </c>
      <c r="D173" t="s">
        <v>508</v>
      </c>
      <c r="E173" s="5">
        <v>237000</v>
      </c>
      <c r="F173" s="6">
        <v>1</v>
      </c>
      <c r="G173" s="1" t="s">
        <v>509</v>
      </c>
      <c r="H173" s="1" t="s">
        <v>510</v>
      </c>
      <c r="J173" s="4" t="s">
        <v>9</v>
      </c>
      <c r="K173" t="s">
        <v>494</v>
      </c>
    </row>
    <row r="174" spans="1:11" ht="30">
      <c r="A174" s="2" t="s">
        <v>490</v>
      </c>
      <c r="B174" s="2" t="s">
        <v>511</v>
      </c>
      <c r="C174" s="3">
        <v>44981</v>
      </c>
      <c r="D174" t="s">
        <v>512</v>
      </c>
      <c r="E174" s="5">
        <v>297000</v>
      </c>
      <c r="F174" s="6">
        <v>1</v>
      </c>
      <c r="G174" s="1" t="s">
        <v>513</v>
      </c>
      <c r="H174" s="1" t="s">
        <v>514</v>
      </c>
      <c r="J174" s="4" t="s">
        <v>9</v>
      </c>
      <c r="K174" t="s">
        <v>494</v>
      </c>
    </row>
    <row r="175" spans="1:11" ht="240">
      <c r="A175" s="2" t="s">
        <v>490</v>
      </c>
      <c r="B175" s="2" t="s">
        <v>515</v>
      </c>
      <c r="C175" s="3">
        <v>44985</v>
      </c>
      <c r="D175" s="2" t="s">
        <v>516</v>
      </c>
      <c r="E175" s="5">
        <v>1129000</v>
      </c>
      <c r="F175" s="6">
        <v>1</v>
      </c>
      <c r="G175" s="1" t="s">
        <v>517</v>
      </c>
      <c r="H175" s="1" t="s">
        <v>100</v>
      </c>
      <c r="J175" s="4" t="s">
        <v>9</v>
      </c>
      <c r="K175" t="s">
        <v>494</v>
      </c>
    </row>
    <row r="176" spans="1:11" ht="30">
      <c r="A176" s="2" t="s">
        <v>490</v>
      </c>
      <c r="B176" s="2" t="s">
        <v>518</v>
      </c>
      <c r="C176" s="3">
        <v>44910</v>
      </c>
      <c r="D176" s="2" t="s">
        <v>70</v>
      </c>
      <c r="E176" s="5">
        <v>475000</v>
      </c>
      <c r="F176" s="6">
        <v>1</v>
      </c>
      <c r="G176" s="1" t="s">
        <v>519</v>
      </c>
      <c r="H176" s="1"/>
      <c r="J176" s="4" t="s">
        <v>9</v>
      </c>
      <c r="K176" t="s">
        <v>494</v>
      </c>
    </row>
    <row r="177" spans="1:11" ht="30">
      <c r="A177" s="2" t="s">
        <v>490</v>
      </c>
      <c r="B177" s="2" t="s">
        <v>518</v>
      </c>
      <c r="C177" s="3">
        <v>44910</v>
      </c>
      <c r="D177" s="2" t="s">
        <v>520</v>
      </c>
      <c r="E177" s="5">
        <v>870000</v>
      </c>
      <c r="F177" s="6">
        <v>1</v>
      </c>
      <c r="G177" s="1" t="s">
        <v>519</v>
      </c>
      <c r="H177" s="1"/>
      <c r="J177" s="4" t="s">
        <v>9</v>
      </c>
      <c r="K177" t="s">
        <v>494</v>
      </c>
    </row>
    <row r="178" spans="1:11" ht="30">
      <c r="A178" s="2" t="s">
        <v>490</v>
      </c>
      <c r="B178" s="2" t="s">
        <v>518</v>
      </c>
      <c r="C178" s="3">
        <v>44910</v>
      </c>
      <c r="D178" s="2" t="s">
        <v>521</v>
      </c>
      <c r="E178" s="5">
        <v>290000</v>
      </c>
      <c r="F178" s="6">
        <v>1</v>
      </c>
      <c r="G178" s="1" t="s">
        <v>519</v>
      </c>
      <c r="H178" s="1"/>
      <c r="J178" s="4" t="s">
        <v>9</v>
      </c>
      <c r="K178" t="s">
        <v>494</v>
      </c>
    </row>
    <row r="179" spans="1:11" ht="30">
      <c r="A179" s="2" t="s">
        <v>490</v>
      </c>
      <c r="B179" s="2" t="s">
        <v>518</v>
      </c>
      <c r="C179" s="3">
        <v>44910</v>
      </c>
      <c r="D179" s="2" t="s">
        <v>383</v>
      </c>
      <c r="E179" s="5">
        <v>2305500</v>
      </c>
      <c r="F179" s="6">
        <v>1</v>
      </c>
      <c r="G179" s="1" t="s">
        <v>522</v>
      </c>
      <c r="H179" s="1"/>
      <c r="J179" s="4" t="s">
        <v>9</v>
      </c>
      <c r="K179" t="s">
        <v>494</v>
      </c>
    </row>
    <row r="180" spans="1:11" ht="30">
      <c r="A180" s="2" t="s">
        <v>490</v>
      </c>
      <c r="B180" s="2" t="s">
        <v>523</v>
      </c>
      <c r="C180" s="3">
        <v>44883</v>
      </c>
      <c r="D180" s="2" t="s">
        <v>524</v>
      </c>
      <c r="E180" s="5">
        <v>405000</v>
      </c>
      <c r="F180" s="6">
        <v>1</v>
      </c>
      <c r="G180" s="1" t="s">
        <v>525</v>
      </c>
      <c r="H180" s="1" t="s">
        <v>498</v>
      </c>
      <c r="J180" s="4" t="s">
        <v>9</v>
      </c>
      <c r="K180" t="s">
        <v>494</v>
      </c>
    </row>
    <row r="181" spans="1:11" ht="30">
      <c r="A181" s="2" t="s">
        <v>526</v>
      </c>
      <c r="B181" s="2" t="s">
        <v>382</v>
      </c>
      <c r="C181" s="3">
        <v>45694</v>
      </c>
      <c r="D181" t="s">
        <v>383</v>
      </c>
      <c r="E181" s="5">
        <v>7303224</v>
      </c>
      <c r="F181" s="6">
        <v>1</v>
      </c>
      <c r="G181" s="1" t="s">
        <v>527</v>
      </c>
      <c r="H181" s="1" t="s">
        <v>372</v>
      </c>
      <c r="J181" s="4" t="s">
        <v>9</v>
      </c>
      <c r="K181" t="s">
        <v>494</v>
      </c>
    </row>
    <row r="182" spans="1:11">
      <c r="A182" s="2" t="s">
        <v>528</v>
      </c>
      <c r="B182" s="2" t="s">
        <v>253</v>
      </c>
      <c r="C182" s="3">
        <v>45814</v>
      </c>
      <c r="D182" t="s">
        <v>365</v>
      </c>
      <c r="E182" s="5">
        <v>710442</v>
      </c>
      <c r="F182" s="6">
        <v>1</v>
      </c>
      <c r="G182" s="6" t="s">
        <v>529</v>
      </c>
      <c r="H182" s="1" t="s">
        <v>530</v>
      </c>
      <c r="I182" t="s">
        <v>531</v>
      </c>
      <c r="J182" s="4" t="s">
        <v>9</v>
      </c>
      <c r="K182" t="s">
        <v>38</v>
      </c>
    </row>
    <row r="183" spans="1:11">
      <c r="A183" s="2" t="s">
        <v>528</v>
      </c>
      <c r="B183" s="2" t="s">
        <v>253</v>
      </c>
      <c r="C183" s="3">
        <v>45814</v>
      </c>
      <c r="D183" t="s">
        <v>532</v>
      </c>
      <c r="E183" s="5">
        <v>726595</v>
      </c>
      <c r="F183" s="6">
        <v>1</v>
      </c>
      <c r="G183" s="6" t="s">
        <v>529</v>
      </c>
      <c r="H183" s="1" t="s">
        <v>530</v>
      </c>
      <c r="I183" t="s">
        <v>531</v>
      </c>
      <c r="J183" s="4" t="s">
        <v>9</v>
      </c>
      <c r="K183" t="s">
        <v>38</v>
      </c>
    </row>
    <row r="184" spans="1:11">
      <c r="B184" s="2"/>
      <c r="C184" s="3"/>
      <c r="G184" s="1"/>
    </row>
  </sheetData>
  <phoneticPr fontId="3" type="noConversion"/>
  <hyperlinks>
    <hyperlink ref="J8" r:id="rId1" xr:uid="{018AE184-E135-4434-BBE9-CB8F7DE72FC7}"/>
    <hyperlink ref="J2:J7" r:id="rId2" display="Link" xr:uid="{7519193C-6930-4031-9BFF-307FB36CBCA4}"/>
    <hyperlink ref="J9" r:id="rId3" xr:uid="{C51A40BF-318B-4BE2-94AA-44AB52E8708A}"/>
    <hyperlink ref="J10" r:id="rId4" xr:uid="{981C7E81-473C-40D1-AB15-04E6286F310A}"/>
    <hyperlink ref="J11" r:id="rId5" xr:uid="{F9E36F68-94F6-4958-B769-EA211ED1CFBB}"/>
    <hyperlink ref="J12" r:id="rId6" xr:uid="{21FFE485-7574-4C99-8713-09F64380F150}"/>
    <hyperlink ref="J13" r:id="rId7" xr:uid="{ADFBD8BD-86BC-4841-B38F-8EB6C0706F1C}"/>
    <hyperlink ref="J14" r:id="rId8" xr:uid="{0EDF89FE-37C4-4C6A-9ADC-2E540DD0C76D}"/>
    <hyperlink ref="J15" r:id="rId9" xr:uid="{D87A9CAD-55D5-4741-A397-DC7371F58A2E}"/>
    <hyperlink ref="J22" r:id="rId10" xr:uid="{3DF5E178-F892-4834-9777-8778D906E1AB}"/>
    <hyperlink ref="J16:J21" r:id="rId11" display="Link" xr:uid="{8CC5D2CD-7F9A-45AA-8DF9-9AE9EA0EF11F}"/>
    <hyperlink ref="J23" r:id="rId12" xr:uid="{C6915367-C61D-48E8-8FE8-136BFED05478}"/>
    <hyperlink ref="J24:J29" r:id="rId13" display="Link" xr:uid="{3DBB6C7A-9E3E-49A9-9772-DC62D955BFD6}"/>
    <hyperlink ref="J30" r:id="rId14" xr:uid="{FAF15B34-7CA0-4D52-A867-1C02B8C4DEF0}"/>
    <hyperlink ref="J31:J37" r:id="rId15" display="Link" xr:uid="{579521C7-2BAE-4C75-AA1E-2C8035AD3C56}"/>
    <hyperlink ref="J38" r:id="rId16" xr:uid="{EDC68B67-6240-4E15-A59F-752E5A8402F8}"/>
    <hyperlink ref="J39" r:id="rId17" xr:uid="{C4916770-056E-4A1D-808B-7FC80D21ABAA}"/>
    <hyperlink ref="J40" r:id="rId18" xr:uid="{1E1119FF-330E-40CF-9D96-CAAAD627B37D}"/>
    <hyperlink ref="J41" r:id="rId19" xr:uid="{2E5B4850-BA34-40A6-B55F-D50DC8DC627B}"/>
    <hyperlink ref="J42" r:id="rId20" xr:uid="{24DA0216-279D-4F33-9A29-289268D5D87C}"/>
    <hyperlink ref="J43" r:id="rId21" xr:uid="{EE6050FE-2044-498B-A358-56B89FA1876A}"/>
    <hyperlink ref="J44" r:id="rId22" xr:uid="{CBA1131C-09F5-4ADB-BB99-D0746DD85318}"/>
    <hyperlink ref="J45" r:id="rId23" xr:uid="{0D0EFFA6-7046-43EA-8543-D89A78D24526}"/>
    <hyperlink ref="J46" r:id="rId24" xr:uid="{74CCF7D7-F059-46C7-A99B-C7F957CC900D}"/>
    <hyperlink ref="J47" r:id="rId25" xr:uid="{9AC55085-07BA-47A6-8549-A6879AE0AA11}"/>
    <hyperlink ref="J48:J49" r:id="rId26" display="Link" xr:uid="{932F30A1-B852-4AE3-9B84-293469BCECB0}"/>
    <hyperlink ref="J50" r:id="rId27" xr:uid="{DEC91809-D679-4CFA-AC35-594D23BF10ED}"/>
    <hyperlink ref="J51" r:id="rId28" xr:uid="{6471C843-1563-41AB-8827-D9862AB9A90C}"/>
    <hyperlink ref="J52" r:id="rId29" xr:uid="{F7113911-5910-4BC2-9E48-CFC7785B09C1}"/>
    <hyperlink ref="J53" r:id="rId30" xr:uid="{DBCD3D6D-0895-4C1A-ACC4-1F3BBB4077DE}"/>
    <hyperlink ref="J54" r:id="rId31" xr:uid="{2D465C50-8167-43AF-AF6F-96CD7845F9BD}"/>
    <hyperlink ref="J55" r:id="rId32" xr:uid="{1476BBEF-9978-4C6E-B8DA-DFEF57BF2FDD}"/>
    <hyperlink ref="J56" r:id="rId33" xr:uid="{1EC2EC7E-A658-490E-8253-CE5547F71258}"/>
    <hyperlink ref="J57" r:id="rId34" xr:uid="{4A20FD85-C454-4D98-BF3E-CE3BF12DE90C}"/>
    <hyperlink ref="J58" r:id="rId35" xr:uid="{697B2547-8571-45E5-924F-2F2F81EA8E9A}"/>
    <hyperlink ref="J59" r:id="rId36" xr:uid="{C36E8CC3-175A-4A62-A010-306EE81BE9AC}"/>
    <hyperlink ref="J60" r:id="rId37" xr:uid="{D8480811-B607-473C-AD89-E1787CC61D1D}"/>
    <hyperlink ref="J61" r:id="rId38" xr:uid="{D2E9EA83-258D-4815-BF75-CB92004D080A}"/>
    <hyperlink ref="J62" r:id="rId39" xr:uid="{DFFEB759-378D-4DA1-88B9-12836774D880}"/>
    <hyperlink ref="J63" r:id="rId40" xr:uid="{8C735E9C-1A84-48FF-ABF9-7283BAB6E23E}"/>
    <hyperlink ref="J64" r:id="rId41" xr:uid="{495A4C1F-B0F5-479E-8A4D-33AF308E160A}"/>
    <hyperlink ref="J65" r:id="rId42" xr:uid="{73602BDD-4F07-4F9E-837F-E366034BA5AC}"/>
    <hyperlink ref="J66:J67" r:id="rId43" display="Link" xr:uid="{8C87B251-E39F-4F4D-A30B-4F0952B2EB3F}"/>
    <hyperlink ref="J68" r:id="rId44" xr:uid="{2DC58ACA-BF55-41F1-9672-825C4DEA9A91}"/>
    <hyperlink ref="J69" r:id="rId45" xr:uid="{7D1CFADE-390F-4AD2-8074-114C9AB70EC8}"/>
    <hyperlink ref="J72" r:id="rId46" xr:uid="{9BD9DC83-7524-4F79-81A5-2C459D52690D}"/>
    <hyperlink ref="J73:J75" r:id="rId47" display="Link" xr:uid="{CEFA0F47-AB03-4F92-AA24-C782B7C4BD6E}"/>
    <hyperlink ref="J76" r:id="rId48" xr:uid="{5E2CE154-3018-4415-8592-0C494118733D}"/>
    <hyperlink ref="J77:J80" r:id="rId49" display="Link" xr:uid="{4B3FB699-2A48-4AE9-8F4F-6BEB24E6A53F}"/>
    <hyperlink ref="J81" r:id="rId50" xr:uid="{C8B2362E-8054-499C-8C9E-C06A27B27E32}"/>
    <hyperlink ref="J82" r:id="rId51" xr:uid="{46091628-781B-4A80-B350-D4A52E8858E9}"/>
    <hyperlink ref="J83" r:id="rId52" xr:uid="{EF491DBB-A025-4550-84BB-899701F110A7}"/>
    <hyperlink ref="J84" r:id="rId53" xr:uid="{F625C985-AE12-4A2A-99B9-DE52E93B74EF}"/>
    <hyperlink ref="J85" r:id="rId54" xr:uid="{0EDA599A-AD00-452F-9420-C9EC00C2D2F8}"/>
    <hyperlink ref="J182" r:id="rId55" xr:uid="{19FC6076-7FD2-4AFF-A357-B862C3657BA0}"/>
    <hyperlink ref="J183" r:id="rId56" xr:uid="{53E922DA-FCDE-47C2-9766-4485A217F31A}"/>
    <hyperlink ref="J86" r:id="rId57" xr:uid="{E653049C-D2D2-4427-B475-DFA801C07C3F}"/>
    <hyperlink ref="J87" r:id="rId58" xr:uid="{5E5860F0-20FC-4148-9A45-2EA999A0DE20}"/>
    <hyperlink ref="J88" r:id="rId59" xr:uid="{043C6280-E91B-49BE-80D0-78D90168E012}"/>
    <hyperlink ref="J89" r:id="rId60" xr:uid="{35CF67B5-9CA8-47B6-AF64-D8D7D9A84299}"/>
    <hyperlink ref="J90" r:id="rId61" xr:uid="{C03C695E-8F6B-4786-BC51-FBD08E30A955}"/>
    <hyperlink ref="J91" r:id="rId62" xr:uid="{F26C3168-D6BE-460E-B99C-4D7F9E06BD3A}"/>
    <hyperlink ref="J92" r:id="rId63" xr:uid="{AF02FC44-976D-453B-BDFD-C230714B4A74}"/>
    <hyperlink ref="J93:J96" r:id="rId64" display="Link" xr:uid="{DD943347-B202-4244-9B1B-739701C4BB01}"/>
    <hyperlink ref="J97" r:id="rId65" xr:uid="{42CD61CF-6D48-4C8C-B5F2-CA53A0D7648D}"/>
    <hyperlink ref="J98:J118" r:id="rId66" display="Link" xr:uid="{D5E37892-A8C7-4F79-966F-7E1D1A09E8D2}"/>
    <hyperlink ref="J119" r:id="rId67" xr:uid="{B62A3B83-72E0-46F2-A549-F61FEB7568F4}"/>
    <hyperlink ref="J120:J123" r:id="rId68" display="Link" xr:uid="{4019D6D5-75A7-4792-A5B7-403238123C35}"/>
    <hyperlink ref="J124" r:id="rId69" xr:uid="{E310169D-E6BE-4823-B8E0-9901F328B4F5}"/>
    <hyperlink ref="J125" r:id="rId70" xr:uid="{C4F097DF-DB5C-4287-80ED-58C1DFEF4437}"/>
    <hyperlink ref="J126" r:id="rId71" xr:uid="{42FB6BF0-4566-4C81-BEB8-8DBAEC908B8E}"/>
    <hyperlink ref="J127:J128" r:id="rId72" display="Link" xr:uid="{6A5031F7-82A4-4745-A439-EFFC5050CCD9}"/>
    <hyperlink ref="J129" r:id="rId73" xr:uid="{3979C378-72E8-40AE-BB41-11EFD0157854}"/>
    <hyperlink ref="J130" r:id="rId74" xr:uid="{253260D6-6075-4EE0-88C2-542D47FB3C97}"/>
    <hyperlink ref="J131" r:id="rId75" xr:uid="{6BE5A998-B8E8-43FB-80E1-02AAD6860494}"/>
    <hyperlink ref="J132" r:id="rId76" xr:uid="{40A48738-61D2-4130-A63C-E393D5CB47FE}"/>
    <hyperlink ref="J133" r:id="rId77" xr:uid="{8562B32C-5C34-48DC-88DC-EC6BDB9A7BC4}"/>
    <hyperlink ref="J134" r:id="rId78" xr:uid="{42A7BBD6-4F67-4386-96AD-A112E449D1BA}"/>
    <hyperlink ref="J135" r:id="rId79" xr:uid="{BF830D3F-64BB-4573-B75B-B50943586798}"/>
    <hyperlink ref="J136" r:id="rId80" xr:uid="{6D537F38-7C12-4753-8090-A22538E71465}"/>
    <hyperlink ref="J137" r:id="rId81" xr:uid="{C97D03F6-A3E7-42F2-9E4C-5EC125005294}"/>
    <hyperlink ref="J138" r:id="rId82" xr:uid="{DC608DE8-D043-41D3-9470-FB24B9E67448}"/>
    <hyperlink ref="J139" r:id="rId83" xr:uid="{6A1AAA12-9BD9-4A38-8E8F-8D9AC7FF3E0B}"/>
    <hyperlink ref="J140:J141" r:id="rId84" display="Link" xr:uid="{0F7964F9-40B1-4D4A-B4B2-3C1B9B08369F}"/>
    <hyperlink ref="J142" r:id="rId85" xr:uid="{AE14D816-20A3-4388-A69C-E57F5835DEF2}"/>
    <hyperlink ref="J143" r:id="rId86" xr:uid="{BD69C4AB-D3D1-4BEC-98DD-C0A56DF74F2D}"/>
    <hyperlink ref="J144" r:id="rId87" xr:uid="{9FA71970-FE66-49BC-9B78-3DD1470EF382}"/>
    <hyperlink ref="J145" r:id="rId88" xr:uid="{7A9C15CA-3D79-4E13-AF07-322A01CFBA87}"/>
    <hyperlink ref="J146" r:id="rId89" xr:uid="{309F4633-5776-428F-834A-9DB18125A33A}"/>
    <hyperlink ref="J147" r:id="rId90" xr:uid="{3CA71E8D-4D10-4305-A441-B44060E5D3E6}"/>
    <hyperlink ref="J148" r:id="rId91" xr:uid="{6F33C408-729E-4E5A-B750-E8C96172C888}"/>
    <hyperlink ref="J149:J154" r:id="rId92" display="Link" xr:uid="{154B4D84-A8BB-4CFA-BCCB-43658D20F8D2}"/>
    <hyperlink ref="J155" r:id="rId93" xr:uid="{69512520-0DB9-4FFE-B7B3-8E7C60288A03}"/>
    <hyperlink ref="J156:J160" r:id="rId94" display="Link" xr:uid="{51CC9834-78FF-4F80-82CA-52B62EF33E0F}"/>
    <hyperlink ref="J161" r:id="rId95" xr:uid="{8F3AD58A-E69F-47BB-8771-286E279DE083}"/>
    <hyperlink ref="J162" r:id="rId96" xr:uid="{D35F284F-D21C-4D61-824A-42394985BAC9}"/>
    <hyperlink ref="J163" r:id="rId97" xr:uid="{A206A142-C888-4257-8D02-FEA25FD570DD}"/>
    <hyperlink ref="J164" r:id="rId98" xr:uid="{86464DE6-324C-4575-B755-04C66D95D7DE}"/>
    <hyperlink ref="J165:J166" r:id="rId99" display="Link" xr:uid="{5E4BBBC2-A4CD-4115-8996-B6CAEB6D1A82}"/>
    <hyperlink ref="J181" r:id="rId100" xr:uid="{8F087EB3-5308-407C-A376-F5B5AA5BA606}"/>
    <hyperlink ref="J167" r:id="rId101" xr:uid="{EA6F146F-F904-4FE0-A062-DF9DEAE7582C}"/>
    <hyperlink ref="J168:J180" r:id="rId102" display="Link" xr:uid="{97B489A3-0D49-4B42-B8CB-66721C31E083}"/>
  </hyperlinks>
  <pageMargins left="0.7" right="0.7" top="0.75" bottom="0.75" header="0.3" footer="0.3"/>
  <tableParts count="1">
    <tablePart r:id="rId10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D245A0B90E5E41B48A24EE7B5E0801" ma:contentTypeVersion="26" ma:contentTypeDescription="Create a new document." ma:contentTypeScope="" ma:versionID="eea33303f22cf621b028f01d4d553e8c">
  <xsd:schema xmlns:xsd="http://www.w3.org/2001/XMLSchema" xmlns:xs="http://www.w3.org/2001/XMLSchema" xmlns:p="http://schemas.microsoft.com/office/2006/metadata/properties" xmlns:ns1="http://schemas.microsoft.com/sharepoint/v3" xmlns:ns2="39e3a40f-4c2d-4461-bbcf-6103dd5d99db" xmlns:ns3="9d831754-bec5-4989-9045-92ee375d870c" targetNamespace="http://schemas.microsoft.com/office/2006/metadata/properties" ma:root="true" ma:fieldsID="58abf83209f48bf2b7f42d3087304a3d" ns1:_="" ns2:_="" ns3:_="">
    <xsd:import namespace="http://schemas.microsoft.com/sharepoint/v3"/>
    <xsd:import namespace="39e3a40f-4c2d-4461-bbcf-6103dd5d99db"/>
    <xsd:import namespace="9d831754-bec5-4989-9045-92ee375d8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Edited" minOccurs="0"/>
                <xsd:element ref="ns2:MediaServiceObjectDetectorVersions" minOccurs="0"/>
                <xsd:element ref="ns2:have" minOccurs="0"/>
                <xsd:element ref="ns2:MediaServiceSearchPropertie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UploadedtoiSupplier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e3a40f-4c2d-4461-bbcf-6103dd5d99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description="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description="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description="" ma:internalName="MediaServiceAutoTags" ma:readOnly="true">
      <xsd:simpleType>
        <xsd:restriction base="dms:Text"/>
      </xsd:simpleType>
    </xsd:element>
    <xsd:element name="MediaServiceLocation" ma:index="16" nillable="true" ma:displayName="Location" ma:description="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description="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description="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description="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description="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3b9ef3b-c3eb-4338-9687-26a906f0e27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ited" ma:index="24" nillable="true" ma:displayName="Edited" ma:format="Dropdown" ma:internalName="Edited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have" ma:index="26" nillable="true" ma:displayName="have" ma:default="1" ma:format="Dropdown" ma:internalName="have">
      <xsd:simpleType>
        <xsd:restriction base="dms:Boolean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8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UploadedtoiSupplier" ma:index="31" ma:displayName="Uploaded to iSupplier" ma:default="0" ma:format="Dropdown" ma:internalName="UploadedtoiSupplier">
      <xsd:simpleType>
        <xsd:restriction base="dms:Boolean"/>
      </xsd:simpleType>
    </xsd:element>
    <xsd:element name="MediaServiceBillingMetadata" ma:index="3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831754-bec5-4989-9045-92ee375d870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3ce28f9-a62f-4c32-91ed-51506ba88a9a}" ma:internalName="TaxCatchAll" ma:showField="CatchAllData" ma:web="9d831754-bec5-4989-9045-92ee375d8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toiSupplier xmlns="39e3a40f-4c2d-4461-bbcf-6103dd5d99db">false</UploadedtoiSupplier>
    <have xmlns="39e3a40f-4c2d-4461-bbcf-6103dd5d99db">true</have>
    <_ip_UnifiedCompliancePolicyUIAction xmlns="http://schemas.microsoft.com/sharepoint/v3" xsi:nil="true"/>
    <TaxCatchAll xmlns="9d831754-bec5-4989-9045-92ee375d870c" xsi:nil="true"/>
    <Edited xmlns="39e3a40f-4c2d-4461-bbcf-6103dd5d99db" xsi:nil="true"/>
    <_ip_UnifiedCompliancePolicyProperties xmlns="http://schemas.microsoft.com/sharepoint/v3" xsi:nil="true"/>
    <lcf76f155ced4ddcb4097134ff3c332f xmlns="39e3a40f-4c2d-4461-bbcf-6103dd5d99db">
      <Terms xmlns="http://schemas.microsoft.com/office/infopath/2007/PartnerControls"/>
    </lcf76f155ced4ddcb4097134ff3c332f>
    <Notes xmlns="39e3a40f-4c2d-4461-bbcf-6103dd5d99db" xsi:nil="true"/>
  </documentManagement>
</p:properties>
</file>

<file path=customXml/itemProps1.xml><?xml version="1.0" encoding="utf-8"?>
<ds:datastoreItem xmlns:ds="http://schemas.openxmlformats.org/officeDocument/2006/customXml" ds:itemID="{72CA55E6-3687-449F-B359-357D21D9F566}"/>
</file>

<file path=customXml/itemProps2.xml><?xml version="1.0" encoding="utf-8"?>
<ds:datastoreItem xmlns:ds="http://schemas.openxmlformats.org/officeDocument/2006/customXml" ds:itemID="{B4D4AB97-E63D-40D9-9737-9F850908D2CA}"/>
</file>

<file path=customXml/itemProps3.xml><?xml version="1.0" encoding="utf-8"?>
<ds:datastoreItem xmlns:ds="http://schemas.openxmlformats.org/officeDocument/2006/customXml" ds:itemID="{DFA31370-496F-48B9-8539-8BC2A801BD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2025-05-23T16:24:09Z</dcterms:created>
  <dcterms:modified xsi:type="dcterms:W3CDTF">2026-01-16T21:47:05Z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0x0101002AD245A0B90E5E41B48A24EE7B5E0801</vt:lpwstr>
  </property>
  <property fmtid="{D5CDD505-2E9C-101B-9397-08002B2CF9AE}" pid="3" name="MediaServiceImageTags">
    <vt:lpwstr/>
  </property>
</Properties>
</file>