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urnhamdev-my.sharepoint.com/personal/chris_burnhamrng_com/Documents/Desktop/"/>
    </mc:Choice>
  </mc:AlternateContent>
  <xr:revisionPtr revIDLastSave="0" documentId="8_{86E76BBE-50AB-4DD3-B7F1-BCE21C21962F}" xr6:coauthVersionLast="47" xr6:coauthVersionMax="47" xr10:uidLastSave="{00000000-0000-0000-0000-000000000000}"/>
  <bookViews>
    <workbookView xWindow="-110" yWindow="-110" windowWidth="25820" windowHeight="15500" xr2:uid="{1A258707-BE03-4601-AA0A-77011C4CB903}"/>
  </bookViews>
  <sheets>
    <sheet name="OPEX" sheetId="1" r:id="rId1"/>
  </sheets>
  <externalReferences>
    <externalReference r:id="rId2"/>
  </externalReferences>
  <definedNames>
    <definedName name="\F">#REF!</definedName>
    <definedName name="__123Graph_A" hidden="1">#REF!</definedName>
    <definedName name="__123Graph_ACurrent" hidden="1">#REF!</definedName>
    <definedName name="__123Graph_ASTMENTHALPY" hidden="1">#REF!</definedName>
    <definedName name="__123Graph_B" hidden="1">#REF!</definedName>
    <definedName name="__123Graph_BCurrent" hidden="1">#REF!</definedName>
    <definedName name="__123Graph_C" hidden="1">#REF!</definedName>
    <definedName name="__123Graph_CCurrent" hidden="1">#REF!</definedName>
    <definedName name="__123Graph_D" hidden="1">#REF!</definedName>
    <definedName name="__123Graph_DCurrent" hidden="1">#REF!</definedName>
    <definedName name="__123Graph_E" hidden="1">#REF!</definedName>
    <definedName name="__123Graph_ECurrent" hidden="1">#REF!</definedName>
    <definedName name="__123Graph_X" hidden="1">#REF!</definedName>
    <definedName name="__123Graph_XCurrent" hidden="1">#REF!</definedName>
    <definedName name="__FDS_HYPERLINK_TOGGLE_STATE__" hidden="1">"ON"</definedName>
    <definedName name="__xlfn.BAHTTEXT" hidden="1">#NAME?</definedName>
    <definedName name="_bdm.236748EDED7F49FF9D8C8341C398889E.edm" hidden="1">#REF!</definedName>
    <definedName name="_bdm.278770B2B4B846EABF624268B39CB4AB.edm" hidden="1">#REF!</definedName>
    <definedName name="_bdm.344d8960c4e1429e88673b0acf2c8271.edm" hidden="1">#REF!</definedName>
    <definedName name="_bdm.6404BAFDBF894B5CAFBD581BB92B5E07.edm" hidden="1">#REF!</definedName>
    <definedName name="_bdm.7E766136144F4045A49EA1AA241E4442.edm" hidden="1">#REF!</definedName>
    <definedName name="_bdm.a1260a4786cc4a0b814cb39b1f5b990a.edm" hidden="1">#REF!</definedName>
    <definedName name="_bdm.C44C1A7BE0764941B82A72A56A99BDD4.edm" hidden="1">#REF!</definedName>
    <definedName name="_bdm.E8B440B1020748E0A74C372D3D5130D4.edm" hidden="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Key1" hidden="1">#REF!</definedName>
    <definedName name="_Key2" hidden="1">#REF!</definedName>
    <definedName name="_key3" hidden="1">#REF!</definedName>
    <definedName name="_LATEST_DATE_CBL">#REF!</definedName>
    <definedName name="_Order1" hidden="1">255</definedName>
    <definedName name="_Order2" hidden="1">255</definedName>
    <definedName name="_Sort" hidden="1">#REF!</definedName>
    <definedName name="_table_ou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" hidden="1">#REF!</definedName>
    <definedName name="a_den_hep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reperhectare">#REF!</definedName>
    <definedName name="ACwvu.valuation." hidden="1">#REF!</definedName>
    <definedName name="AGN">#REF!</definedName>
    <definedName name="AGW">#REF!</definedName>
    <definedName name="All_Process_Lines">#REF!</definedName>
    <definedName name="anscount" hidden="1">2</definedName>
    <definedName name="AO">#REF!</definedName>
    <definedName name="AV">#REF!</definedName>
    <definedName name="AW">#REF!</definedName>
    <definedName name="B">#REF!</definedName>
    <definedName name="b_den_hep">#REF!</definedName>
    <definedName name="BRM_Total">#REF!</definedName>
    <definedName name="BSIPbPageSetupChartSize" hidden="1">1</definedName>
    <definedName name="BSIPbPageSetupChartSize_0" hidden="1">-2146826246</definedName>
    <definedName name="BSIPbPageSetupDraftQuality" hidden="1">1</definedName>
    <definedName name="BSIPbPageSetupDraftQuality_0" hidden="1">0</definedName>
    <definedName name="BSIPbPageSetupDrawingColor" hidden="1">1</definedName>
    <definedName name="BSIPbPageSetupDrawingColor_0" hidden="1">0</definedName>
    <definedName name="BSIPbPageSetupFitToPagesTall" hidden="1">1</definedName>
    <definedName name="BSIPbPageSetupFitToPagesTall_0" hidden="1">13</definedName>
    <definedName name="BSIPbPageSetupFitToPagesWide" hidden="1">1</definedName>
    <definedName name="BSIPbPageSetupFitToPagesWide_0" hidden="1">1</definedName>
    <definedName name="BSIPbPageSetupMediaName" hidden="1">1</definedName>
    <definedName name="BSIPbPageSetupMediaName_0" hidden="1">"ANSI_B_(11.00_x_17.00_Inches)"</definedName>
    <definedName name="BSIPbPageSetupPageOrientation" hidden="1">1</definedName>
    <definedName name="BSIPbPageSetupPageOrientation_0" hidden="1">2</definedName>
    <definedName name="BSIPbPageSetupPaperHeight" hidden="1">1</definedName>
    <definedName name="BSIPbPageSetupPaperHeight_0" hidden="1">1224</definedName>
    <definedName name="BSIPbPageSetupPaperMarginBottom" hidden="1">1</definedName>
    <definedName name="BSIPbPageSetupPaperMarginBottom_0" hidden="1">54</definedName>
    <definedName name="BSIPbPageSetupPaperMarginFooter" hidden="1">1</definedName>
    <definedName name="BSIPbPageSetupPaperMarginFooter_0" hidden="1">21.6</definedName>
    <definedName name="BSIPbPageSetupPaperMarginHeader" hidden="1">1</definedName>
    <definedName name="BSIPbPageSetupPaperMarginHeader_0" hidden="1">21.6</definedName>
    <definedName name="BSIPbPageSetupPaperMarginLeft" hidden="1">1</definedName>
    <definedName name="BSIPbPageSetupPaperMarginLeft_0" hidden="1">50.4</definedName>
    <definedName name="BSIPbPageSetupPaperMarginRight" hidden="1">1</definedName>
    <definedName name="BSIPbPageSetupPaperMarginRight_0" hidden="1">50.4</definedName>
    <definedName name="BSIPbPageSetupPaperMarginTop" hidden="1">1</definedName>
    <definedName name="BSIPbPageSetupPaperMarginTop_0" hidden="1">54</definedName>
    <definedName name="BSIPbPageSetupPaperWidth" hidden="1">1</definedName>
    <definedName name="BSIPbPageSetupPaperWidth_0" hidden="1">792</definedName>
    <definedName name="BSIPbPageSetupPlotSizeType" hidden="1">1</definedName>
    <definedName name="BSIPbPageSetupPlotSizeType_0" hidden="1">1</definedName>
    <definedName name="BSIPbPageSetupPrintCellErrors" hidden="1">1</definedName>
    <definedName name="BSIPbPageSetupPrintCellErrors_0" hidden="1">0</definedName>
    <definedName name="BSIPbPageSetupPrintComments" hidden="1">1</definedName>
    <definedName name="BSIPbPageSetupPrintComments_0" hidden="1">-4142</definedName>
    <definedName name="BSIPbPageSetupPrintGridlines" hidden="1">1</definedName>
    <definedName name="BSIPbPageSetupPrintGridlines_0" hidden="1">0</definedName>
    <definedName name="BSIPbPageSetupUseStandardMargins" hidden="1">1</definedName>
    <definedName name="BSIPbPageSetupUseStandardMargins_0" hidden="1">1</definedName>
    <definedName name="BSIPbPageSetupUseZoom" hidden="1">1</definedName>
    <definedName name="BSIPbPageSetupUseZoom_0" hidden="1">0</definedName>
    <definedName name="BSIPbPageSetupZoom" hidden="1">1</definedName>
    <definedName name="BSIPbPageSetupZoom_0" hidden="1">91</definedName>
    <definedName name="BSIWhichPageSetup" hidden="1">1</definedName>
    <definedName name="BSIWhichPageSetup_0" hidden="1">"1þ"</definedName>
    <definedName name="BtuperkWh">#REF!</definedName>
    <definedName name="C_MW">#REF!</definedName>
    <definedName name="Ca_MW">#REF!</definedName>
    <definedName name="CBWorkbookPriority" hidden="1">-1380696227</definedName>
    <definedName name="CE_2000">#REF!</definedName>
    <definedName name="CE_2003">#REF!</definedName>
    <definedName name="CE_2007">#REF!</definedName>
    <definedName name="CH4_GWP">#REF!</definedName>
    <definedName name="CH4_MW">#REF!</definedName>
    <definedName name="CIGAS">'[1]LCFS Calc'!#REF!</definedName>
    <definedName name="Cl_MW">#REF!</definedName>
    <definedName name="CO_GWP">#REF!</definedName>
    <definedName name="CO_MW">#REF!</definedName>
    <definedName name="CO2_C_Ratio">#REF!</definedName>
    <definedName name="CO2_MW">#REF!</definedName>
    <definedName name="code_lookup">#REF!</definedName>
    <definedName name="CompYear">#REF!</definedName>
    <definedName name="Controls">#REF!</definedName>
    <definedName name="ConversionList">#REF!</definedName>
    <definedName name="ConvTyp">#REF!</definedName>
    <definedName name="CPI">#REF!</definedName>
    <definedName name="D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eRangePrice" hidden="1">OFFSET(#REF!,5,0,COUNTA(#REF!)-COUNTA(#REF!),1)</definedName>
    <definedName name="DateRangePriceMain">#REF!</definedName>
    <definedName name="DD">#REF!</definedName>
    <definedName name="den_heptane">#REF!</definedName>
    <definedName name="den_laurel">#REF!</definedName>
    <definedName name="den_lma">#REF!</definedName>
    <definedName name="den_lmacr">#REF!</definedName>
    <definedName name="den_maa">#REF!</definedName>
    <definedName name="den_neo">#REF!</definedName>
    <definedName name="dfhdhdhdhfd">#REF!</definedName>
    <definedName name="Display_Week">#REF!</definedName>
    <definedName name="equipment_home">#REF!</definedName>
    <definedName name="equipment_table">#REF!</definedName>
    <definedName name="Est_Cost">#REF!</definedName>
    <definedName name="EstSumm_DirectsBeforePermit">#REF!</definedName>
    <definedName name="EstSumm_PermitAndFeesPct">#REF!</definedName>
    <definedName name="EthGALpYR">#REF!</definedName>
    <definedName name="ev.Calculation" hidden="1">-4135</definedName>
    <definedName name="ev.Initialized" hidden="1">FALSE</definedName>
    <definedName name="Final_Cable_Schedule">#REF!</definedName>
    <definedName name="g" hidden="1">#N/A</definedName>
    <definedName name="GPD">#REF!</definedName>
    <definedName name="gperlb">#REF!</definedName>
    <definedName name="GUU_Unit_Size">"TextBox 1"</definedName>
    <definedName name="H_MW">#REF!</definedName>
    <definedName name="Harris_A">#REF!</definedName>
    <definedName name="Harris_B">#REF!</definedName>
    <definedName name="Harris_C">#REF!</definedName>
    <definedName name="HD">#REF!</definedName>
    <definedName name="HE">#REF!</definedName>
    <definedName name="Hello" hidden="1">#N/A</definedName>
    <definedName name="HG">#REF!</definedName>
    <definedName name="HL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YearLabel" hidden="1">#REF!</definedName>
    <definedName name="home">#REF!</definedName>
    <definedName name="HP">#REF!</definedName>
    <definedName name="HS">#REF!</definedName>
    <definedName name="HT">#REF!</definedName>
    <definedName name="HW">#REF!</definedName>
    <definedName name="InstrStatus">#REF!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OTHER_WORK_CAP_BR" hidden="1">"c154"</definedName>
    <definedName name="IQ_COMMON_APIC_BR" hidden="1">"c185"</definedName>
    <definedName name="IQ_COMMON_ISSUED_BR" hidden="1">"c199"</definedName>
    <definedName name="IQ_COMMON_REP_BR" hidden="1">"c208"</definedName>
    <definedName name="IQ_CONV_RATE" hidden="1">"c2192"</definedName>
    <definedName name="IQ_CQ" hidden="1">5000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T_BR" hidden="1">"c378"</definedName>
    <definedName name="IQ_EBT_EXCL_BR" hidden="1">"c381"</definedName>
    <definedName name="IQ_EST_EPS_SURPRISE" hidden="1">"c1635"</definedName>
    <definedName name="IQ_EXTRA_ACC_ITEMS_BR" hidden="1">"c412"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 hidden="1">15000</definedName>
    <definedName name="IQ_MTD" hidden="1">800000</definedName>
    <definedName name="IQ_NAMES_REVISION_DATE_" hidden="1">42128.4624768519</definedName>
    <definedName name="IQ_NAV_ACT_OR_EST" hidden="1">"c2225"</definedName>
    <definedName name="IQ_NET_DEBT_ISSUED_BR" hidden="1">"c753"</definedName>
    <definedName name="IQ_NET_INT_INC_BR" hidden="1">"c765"</definedName>
    <definedName name="IQ_NTM" hidden="1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QTD" hidden="1">750000</definedName>
    <definedName name="IQ_RESTRUCTURE_BR" hidden="1">"c1106"</definedName>
    <definedName name="IQ_RETURN_ASSETS_BROK" hidden="1">"c1115"</definedName>
    <definedName name="IQ_RETURN_EQUITY_BROK" hidden="1">"c1120"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IRR_">#REF!</definedName>
    <definedName name="IRR_Base">[1]MODEL!$G$4</definedName>
    <definedName name="IRR_CWS">#REF!</definedName>
    <definedName name="IsColHidden" hidden="1">FALSE</definedName>
    <definedName name="IsLTMColHidden" hidden="1">FALSE</definedName>
    <definedName name="JperBtu">#REF!</definedName>
    <definedName name="K_MW">#REF!</definedName>
    <definedName name="key" hidden="1">#REF!</definedName>
    <definedName name="lbs">#REF!</definedName>
    <definedName name="limcount" hidden="1">3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pergal">#REF!</definedName>
    <definedName name="M_PlaceofPath" hidden="1">"F:\JCLARK\AHC\ahc_vdf.xls"</definedName>
    <definedName name="MECHANICAL_ARRAY">#REF!</definedName>
    <definedName name="Mechanical_table">#REF!</definedName>
    <definedName name="MMBtu">#REF!</definedName>
    <definedName name="MOC">#REF!</definedName>
    <definedName name="Motorlist">#REF!</definedName>
    <definedName name="N_MW">#REF!</definedName>
    <definedName name="N2O_GWP">#REF!</definedName>
    <definedName name="Na_MW">#REF!</definedName>
    <definedName name="Names">#REF!</definedName>
    <definedName name="next_pressed">#N/A</definedName>
    <definedName name="O_MW">#REF!</definedName>
    <definedName name="ONYX19970501222055" hidden="1">#REF!</definedName>
    <definedName name="ONYX19970501222155" hidden="1">#REF!</definedName>
    <definedName name="Options">#REF!</definedName>
    <definedName name="P_MW">#REF!</definedName>
    <definedName name="packages">#REF!</definedName>
    <definedName name="PriceRange" hidden="1">OFFSET(#REF!,5,0,COUNTA(#REF!)-COUNTA(#REF!),1)</definedName>
    <definedName name="PriceRangeMain">#REF!</definedName>
    <definedName name="_xlnm.Print_Area" localSheetId="0">OPEX!$A$1:$Z$107</definedName>
    <definedName name="Project_Start">#REF!</definedName>
    <definedName name="Project_xxxSheet1">#REF!</definedName>
    <definedName name="Project_xxxSheet2">#NAME?</definedName>
    <definedName name="PUB_FileID" hidden="1">"L10004026.xls"</definedName>
    <definedName name="PUB_UserID" hidden="1">"MAYERX"</definedName>
    <definedName name="rfq_table">#REF!</definedName>
    <definedName name="rngComments" hidden="1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wvu.sumbyyr." hidden="1">#REF!</definedName>
    <definedName name="s">#REF!</definedName>
    <definedName name="sencount" hidden="1">1</definedName>
    <definedName name="sfdsfsfdsfsfsd">#REF!</definedName>
    <definedName name="Steel_Wt_ft2">#REF!</definedName>
    <definedName name="Stub" hidden="1">#REF!</definedName>
    <definedName name="Swvu.valuation." hidden="1">#REF!</definedName>
    <definedName name="TB">#REF!</definedName>
    <definedName name="TC">#REF!</definedName>
    <definedName name="TeCO2">#REF!</definedName>
    <definedName name="TEST0">#REF!</definedName>
    <definedName name="TESTHKEY">#REF!</definedName>
    <definedName name="TESTKEYS">#REF!</definedName>
    <definedName name="TESTVKEY">#REF!</definedName>
    <definedName name="TF">#REF!</definedName>
    <definedName name="TL">#REF!</definedName>
    <definedName name="tonneperton">#REF!</definedName>
    <definedName name="UBELOW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_Table">#REF!</definedName>
    <definedName name="VESSEL_ARRAY">#REF!</definedName>
    <definedName name="Vessel_Cost_Per_Lb">#REF!</definedName>
    <definedName name="VESSEL_TABLE">#REF!</definedName>
    <definedName name="vis_hep">#REF!</definedName>
    <definedName name="vis_la">#REF!</definedName>
    <definedName name="vis_lma">#REF!</definedName>
    <definedName name="vis_lmacr">#REF!</definedName>
    <definedName name="vis_maa">#REF!</definedName>
    <definedName name="vis_neo">#REF!</definedName>
    <definedName name="VOC_GW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" i="1" l="1"/>
  <c r="J87" i="1" s="1"/>
  <c r="E87" i="1"/>
  <c r="E88" i="1" s="1"/>
  <c r="E80" i="1"/>
  <c r="E101" i="1"/>
  <c r="J55" i="1"/>
  <c r="H55" i="1"/>
  <c r="I55" i="1" s="1"/>
  <c r="I54" i="1"/>
  <c r="H54" i="1"/>
  <c r="I50" i="1"/>
  <c r="K50" i="1" s="1"/>
  <c r="H50" i="1"/>
  <c r="C50" i="1"/>
  <c r="I49" i="1"/>
  <c r="I51" i="1" s="1"/>
  <c r="H49" i="1"/>
  <c r="C49" i="1"/>
  <c r="H44" i="1"/>
  <c r="H43" i="1"/>
  <c r="E41" i="1"/>
  <c r="C40" i="1"/>
  <c r="C39" i="1"/>
  <c r="J38" i="1"/>
  <c r="G38" i="1"/>
  <c r="C38" i="1"/>
  <c r="K37" i="1"/>
  <c r="E37" i="1"/>
  <c r="J36" i="1"/>
  <c r="J32" i="1"/>
  <c r="G32" i="1"/>
  <c r="P30" i="1"/>
  <c r="Q30" i="1" s="1"/>
  <c r="L30" i="1"/>
  <c r="L31" i="1" s="1"/>
  <c r="L32" i="1" s="1"/>
  <c r="E30" i="1"/>
  <c r="C29" i="1"/>
  <c r="C28" i="1"/>
  <c r="J26" i="1"/>
  <c r="G26" i="1"/>
  <c r="K25" i="1"/>
  <c r="L24" i="1"/>
  <c r="L25" i="1" s="1"/>
  <c r="L26" i="1" s="1"/>
  <c r="J24" i="1"/>
  <c r="J23" i="1"/>
  <c r="O19" i="1"/>
  <c r="M19" i="1"/>
  <c r="L19" i="1"/>
  <c r="O18" i="1"/>
  <c r="M18" i="1"/>
  <c r="O17" i="1"/>
  <c r="M17" i="1"/>
  <c r="O14" i="1"/>
  <c r="M14" i="1"/>
  <c r="L14" i="1"/>
  <c r="W13" i="1"/>
  <c r="W14" i="1" s="1"/>
  <c r="U13" i="1"/>
  <c r="M13" i="1"/>
  <c r="J13" i="1"/>
  <c r="K31" i="1" s="1"/>
  <c r="M12" i="1"/>
  <c r="E10" i="1"/>
  <c r="O9" i="1"/>
  <c r="M9" i="1"/>
  <c r="L9" i="1"/>
  <c r="O8" i="1"/>
  <c r="M8" i="1"/>
  <c r="O7" i="1"/>
  <c r="M7" i="1"/>
  <c r="O13" i="1" l="1"/>
  <c r="I56" i="1"/>
  <c r="H24" i="1"/>
  <c r="P24" i="1" s="1"/>
  <c r="U12" i="1"/>
  <c r="H26" i="1"/>
  <c r="K55" i="1"/>
  <c r="N43" i="1"/>
  <c r="U14" i="1"/>
  <c r="U15" i="1" s="1"/>
  <c r="J8" i="1" s="1"/>
  <c r="N44" i="1"/>
  <c r="K49" i="1"/>
  <c r="K54" i="1"/>
  <c r="E69" i="1"/>
  <c r="E75" i="1"/>
  <c r="E79" i="1" s="1"/>
  <c r="E93" i="1"/>
  <c r="E76" i="1"/>
  <c r="E94" i="1"/>
  <c r="E92" i="1"/>
  <c r="E98" i="1"/>
  <c r="K56" i="1" l="1"/>
  <c r="E50" i="1"/>
  <c r="N45" i="1"/>
  <c r="E49" i="1"/>
  <c r="M26" i="1"/>
  <c r="H32" i="1"/>
  <c r="K51" i="1"/>
  <c r="E51" i="1" s="1"/>
  <c r="J10" i="1"/>
  <c r="J30" i="1"/>
  <c r="O12" i="1"/>
  <c r="E95" i="1"/>
  <c r="I77" i="1"/>
  <c r="H77" i="1"/>
  <c r="J77" i="1"/>
  <c r="M24" i="1"/>
  <c r="H30" i="1"/>
  <c r="H38" i="1" l="1"/>
  <c r="M38" i="1" s="1"/>
  <c r="M32" i="1"/>
  <c r="N26" i="1"/>
  <c r="M30" i="1"/>
  <c r="H36" i="1"/>
  <c r="M36" i="1" s="1"/>
  <c r="N24" i="1"/>
  <c r="N36" i="1" l="1"/>
  <c r="N32" i="1"/>
  <c r="N30" i="1"/>
  <c r="N38" i="1"/>
  <c r="E14" i="1" l="1"/>
  <c r="E46" i="1" l="1"/>
  <c r="E48" i="1"/>
  <c r="L50" i="1"/>
  <c r="L55" i="1"/>
  <c r="L54" i="1"/>
  <c r="L56" i="1" s="1"/>
  <c r="O44" i="1"/>
  <c r="O43" i="1"/>
  <c r="L49" i="1"/>
  <c r="O26" i="1"/>
  <c r="O24" i="1"/>
  <c r="E35" i="1"/>
  <c r="O36" i="1"/>
  <c r="O32" i="1"/>
  <c r="O30" i="1"/>
  <c r="O38" i="1"/>
  <c r="E38" i="1" l="1"/>
  <c r="O45" i="1"/>
  <c r="E39" i="1"/>
  <c r="E28" i="1"/>
  <c r="E12" i="1"/>
  <c r="E29" i="1"/>
  <c r="E40" i="1"/>
  <c r="I31" i="1" l="1"/>
  <c r="I25" i="1"/>
  <c r="M25" i="1" l="1"/>
  <c r="P25" i="1"/>
  <c r="I37" i="1"/>
  <c r="M37" i="1" s="1"/>
  <c r="M31" i="1"/>
  <c r="N31" i="1" l="1"/>
  <c r="O31" i="1"/>
  <c r="M33" i="1"/>
  <c r="N37" i="1"/>
  <c r="O37" i="1"/>
  <c r="M39" i="1"/>
  <c r="E36" i="1"/>
  <c r="E42" i="1" s="1"/>
  <c r="N25" i="1"/>
  <c r="O25" i="1"/>
  <c r="M27" i="1"/>
  <c r="O33" i="1" l="1"/>
  <c r="N33" i="1"/>
  <c r="O27" i="1"/>
  <c r="E24" i="1" s="1"/>
  <c r="N27" i="1"/>
  <c r="N39" i="1"/>
  <c r="O39" i="1"/>
  <c r="E26" i="1" s="1"/>
  <c r="E47" i="1" s="1"/>
  <c r="E31" i="1" l="1"/>
  <c r="E45" i="1"/>
  <c r="E52" i="1" s="1"/>
</calcChain>
</file>

<file path=xl/sharedStrings.xml><?xml version="1.0" encoding="utf-8"?>
<sst xmlns="http://schemas.openxmlformats.org/spreadsheetml/2006/main" count="250" uniqueCount="130">
  <si>
    <t>Variable Expenses - GUU / Anaerobic Digestor / Other</t>
  </si>
  <si>
    <t>Equipment View</t>
  </si>
  <si>
    <t>Cost View</t>
  </si>
  <si>
    <t>AD Temperature View (NG Input)</t>
  </si>
  <si>
    <t>Area of Plant</t>
  </si>
  <si>
    <t>Unit</t>
  </si>
  <si>
    <t>Infl GPD</t>
  </si>
  <si>
    <t>Metric</t>
  </si>
  <si>
    <t>Amount</t>
  </si>
  <si>
    <t>Feedstock</t>
  </si>
  <si>
    <t>TPY</t>
  </si>
  <si>
    <t>AD</t>
  </si>
  <si>
    <t>Electricity</t>
  </si>
  <si>
    <t>Conversion</t>
  </si>
  <si>
    <t>Electricity - AD</t>
  </si>
  <si>
    <t>(kWh/year) / GPD</t>
  </si>
  <si>
    <t>Import Temperature</t>
  </si>
  <si>
    <t>Fahrenheit</t>
  </si>
  <si>
    <t>MGY</t>
  </si>
  <si>
    <t>Natural Gas - AD</t>
  </si>
  <si>
    <t>(MMBtu/year)/GPD</t>
  </si>
  <si>
    <t>GUU</t>
  </si>
  <si>
    <t>AD Temperature</t>
  </si>
  <si>
    <t>Consumables - AD</t>
  </si>
  <si>
    <t>$ / GPD AD Influent</t>
  </si>
  <si>
    <t>Thermal Efficiency</t>
  </si>
  <si>
    <t>%</t>
  </si>
  <si>
    <t>Digestor Toggle</t>
  </si>
  <si>
    <t>Active (Y/N)</t>
  </si>
  <si>
    <t>Heat Supply Eff.</t>
  </si>
  <si>
    <t>Burnham AD Influent</t>
  </si>
  <si>
    <t>GPD</t>
  </si>
  <si>
    <t>Natural Gas</t>
  </si>
  <si>
    <t>Median biogas production</t>
  </si>
  <si>
    <t>scfm</t>
  </si>
  <si>
    <t>Electricity - GUU</t>
  </si>
  <si>
    <t>(kwh/year) / scfm biogas</t>
  </si>
  <si>
    <t>Water</t>
  </si>
  <si>
    <t>lbs of water / year</t>
  </si>
  <si>
    <t>RNG Production</t>
  </si>
  <si>
    <t>kMMBtu</t>
  </si>
  <si>
    <t>Natural Gas - GUU</t>
  </si>
  <si>
    <t>(MMBtu/year) / scfm biogas</t>
  </si>
  <si>
    <t>Delta Temperature</t>
  </si>
  <si>
    <t>MMBtu</t>
  </si>
  <si>
    <t>Consumables - GUU</t>
  </si>
  <si>
    <t>$/ scfm biogas</t>
  </si>
  <si>
    <t>Therms</t>
  </si>
  <si>
    <t>MMbtu/year</t>
  </si>
  <si>
    <t>Purchased NG</t>
  </si>
  <si>
    <t>Mmbtu/year/GPD</t>
  </si>
  <si>
    <t>Rates</t>
  </si>
  <si>
    <t>MBR / RO System</t>
  </si>
  <si>
    <t>Consumables</t>
  </si>
  <si>
    <t>Electricity Cost</t>
  </si>
  <si>
    <t>$/kwh</t>
  </si>
  <si>
    <t>Electricity - ZLD</t>
  </si>
  <si>
    <t>Gas Cost</t>
  </si>
  <si>
    <t>$/MMBtu</t>
  </si>
  <si>
    <t>Natural Gas - ZLD</t>
  </si>
  <si>
    <t>($ / year) per GPD</t>
  </si>
  <si>
    <t>Consumables - ZLD</t>
  </si>
  <si>
    <t>$</t>
  </si>
  <si>
    <t>$K</t>
  </si>
  <si>
    <t>$ / MMBtu</t>
  </si>
  <si>
    <t>kWh / scfm</t>
  </si>
  <si>
    <t>$/kWh</t>
  </si>
  <si>
    <t>R&amp;M</t>
  </si>
  <si>
    <t>Total</t>
  </si>
  <si>
    <t>MMBtu / GPD</t>
  </si>
  <si>
    <t>MMBtu / scfm</t>
  </si>
  <si>
    <t>$ / GPD</t>
  </si>
  <si>
    <t>$ / scfm</t>
  </si>
  <si>
    <t>NA</t>
  </si>
  <si>
    <t>General R&amp;M</t>
  </si>
  <si>
    <t>Digestate</t>
  </si>
  <si>
    <t>Gal/Year</t>
  </si>
  <si>
    <t>Ton/Year</t>
  </si>
  <si>
    <t>Measure</t>
  </si>
  <si>
    <t>$/Unit</t>
  </si>
  <si>
    <t>Liquid Digestate</t>
  </si>
  <si>
    <t>$/gal</t>
  </si>
  <si>
    <t>Solid Digestate</t>
  </si>
  <si>
    <t>$/ton</t>
  </si>
  <si>
    <t>Water Purchases</t>
  </si>
  <si>
    <t>Utility Rate/gal</t>
  </si>
  <si>
    <t>$s in 000s</t>
  </si>
  <si>
    <t>Liquids</t>
  </si>
  <si>
    <t>Solids</t>
  </si>
  <si>
    <t>Sewage</t>
  </si>
  <si>
    <t>Dryer</t>
  </si>
  <si>
    <t>Variable Expense - Dryer Scenario</t>
  </si>
  <si>
    <t>Dryers Required</t>
  </si>
  <si>
    <t>1 Dryer</t>
  </si>
  <si>
    <t>2 Dryers</t>
  </si>
  <si>
    <t>3 Dryers</t>
  </si>
  <si>
    <t>COGS Drivers</t>
  </si>
  <si>
    <t>Drying Assumptions</t>
  </si>
  <si>
    <t>Post-Dryer Solids %</t>
  </si>
  <si>
    <t>Dryer Efficiency</t>
  </si>
  <si>
    <t>Natural Gas Unit Cost</t>
  </si>
  <si>
    <t>$/WT</t>
  </si>
  <si>
    <t>Electric</t>
  </si>
  <si>
    <t>Seller Model Elec Cost</t>
  </si>
  <si>
    <t>Implied Elec Cost/WT</t>
  </si>
  <si>
    <t>Retail Electric Pricing</t>
  </si>
  <si>
    <t>Dryer Consumption</t>
  </si>
  <si>
    <t>kWh/Ton Evap</t>
  </si>
  <si>
    <t>Tons of Water Evaporated</t>
  </si>
  <si>
    <t>Tons Evaporated</t>
  </si>
  <si>
    <t>Electric Consumption</t>
  </si>
  <si>
    <t>kWh/Ton</t>
  </si>
  <si>
    <t>Electricity Unit Cost</t>
  </si>
  <si>
    <t>Dried Solids Disposal</t>
  </si>
  <si>
    <t>Seller Model Disposal Cost</t>
  </si>
  <si>
    <t>Implied Disposal Cost/WT</t>
  </si>
  <si>
    <t>Dried Solids Produced</t>
  </si>
  <si>
    <t>Tons</t>
  </si>
  <si>
    <t>Disposal Cost</t>
  </si>
  <si>
    <t>$/Ton</t>
  </si>
  <si>
    <t>Disposal Unit Cost</t>
  </si>
  <si>
    <t>Sewer and Water</t>
  </si>
  <si>
    <t>Effluent Water Supply</t>
  </si>
  <si>
    <t>Potable Water Supply</t>
  </si>
  <si>
    <t>Sewer Fees</t>
  </si>
  <si>
    <t>Sewer &amp; Water Unit Cost</t>
  </si>
  <si>
    <t>Personnel</t>
  </si>
  <si>
    <t>Personnel Unit Cost</t>
  </si>
  <si>
    <t>Engineering &amp; Permitting</t>
  </si>
  <si>
    <t>E&amp;P 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</si>
</sst>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00_);\(#,##0.000\)"/>
    <numFmt numFmtId="166" formatCode="#,##0.0000_);\(#,##0.0000\)"/>
    <numFmt numFmtId="167" formatCode="#,##0.000"/>
    <numFmt numFmtId="168" formatCode="_(* #,##0_);_(* \(#,##0\);_(* &quot;-&quot;??_);_(@_)"/>
    <numFmt numFmtId="169" formatCode="_(&quot;$&quot;* #,##0.00_);_(&quot;$&quot;* \(#,##0.00\);_(&quot;$&quot;* &quot;-&quot;?_);_(@_)"/>
    <numFmt numFmtId="170" formatCode="&quot;$&quot;#,##0.0_);\(&quot;$&quot;#,##0.0\)"/>
    <numFmt numFmtId="171" formatCode="_(&quot;$&quot;* #,##0.000_);_(&quot;$&quot;* \(#,##0.000\);_(&quot;$&quot;* &quot;-&quot;?_);_(@_)"/>
    <numFmt numFmtId="172" formatCode="0.0"/>
    <numFmt numFmtId="173" formatCode="&quot;$&quot;#,##0.0000_);[Red]\(&quot;$&quot;#,##0.0000\)"/>
    <numFmt numFmtId="174" formatCode="&quot;$&quot;#,##0.000_);[Red]\(&quot;$&quot;#,##0.000\)"/>
    <numFmt numFmtId="175" formatCode="0.0%"/>
    <numFmt numFmtId="176" formatCode="&quot;$&quot;#,##0.00000_);[Red]\(&quot;$&quot;#,##0.00000\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ptos Narrow"/>
      <family val="2"/>
    </font>
    <font>
      <sz val="14"/>
      <color theme="1"/>
      <name val="Aptos Narrow"/>
      <family val="2"/>
    </font>
    <font>
      <b/>
      <sz val="14"/>
      <color theme="0"/>
      <name val="Aptos Narrow"/>
      <family val="2"/>
    </font>
    <font>
      <sz val="14"/>
      <name val="Aptos Narrow"/>
      <family val="2"/>
    </font>
    <font>
      <sz val="14"/>
      <color rgb="FFFF0000"/>
      <name val="Aptos Narrow"/>
      <family val="2"/>
    </font>
    <font>
      <sz val="14"/>
      <color rgb="FF7030A0"/>
      <name val="Aptos Narrow"/>
      <family val="2"/>
    </font>
    <font>
      <sz val="14"/>
      <color rgb="FF0000E1"/>
      <name val="Aptos Narrow"/>
      <family val="2"/>
    </font>
    <font>
      <sz val="14"/>
      <color theme="9" tint="-0.249977111117893"/>
      <name val="Aptos Narrow"/>
      <family val="2"/>
    </font>
    <font>
      <b/>
      <sz val="14"/>
      <name val="Aptos Narrow"/>
      <family val="2"/>
    </font>
    <font>
      <b/>
      <sz val="14"/>
      <color rgb="FF0000FF"/>
      <name val="Aptos Narrow"/>
      <family val="2"/>
    </font>
    <font>
      <sz val="14"/>
      <color rgb="FF0000FF"/>
      <name val="Aptos Narrow"/>
      <family val="2"/>
    </font>
    <font>
      <sz val="14"/>
      <color rgb="FF000000"/>
      <name val="Aptos Narrow"/>
      <family val="2"/>
    </font>
    <font>
      <sz val="14"/>
      <color rgb="FF202AFC"/>
      <name val="Aptos Narrow"/>
      <family val="2"/>
    </font>
    <font>
      <sz val="14"/>
      <color theme="9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9"/>
      <name val="Aptos Narrow"/>
      <family val="2"/>
    </font>
    <font>
      <sz val="12"/>
      <color theme="9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4"/>
      <color rgb="FF00B050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B050"/>
      <name val="Calibri"/>
      <family val="2"/>
      <scheme val="minor"/>
    </font>
    <font>
      <sz val="14"/>
      <color rgb="FF0000FF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7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4" fillId="3" borderId="0" xfId="2" applyFont="1" applyFill="1" applyAlignment="1">
      <alignment horizontal="left"/>
    </xf>
    <xf numFmtId="0" fontId="4" fillId="3" borderId="0" xfId="3" applyFont="1" applyFill="1" applyAlignment="1">
      <alignment horizontal="left"/>
    </xf>
    <xf numFmtId="0" fontId="5" fillId="0" borderId="0" xfId="2" applyFont="1" applyAlignment="1">
      <alignment horizontal="left"/>
    </xf>
    <xf numFmtId="37" fontId="6" fillId="4" borderId="0" xfId="0" applyNumberFormat="1" applyFont="1" applyFill="1"/>
    <xf numFmtId="0" fontId="3" fillId="0" borderId="0" xfId="0" applyFont="1" applyAlignment="1">
      <alignment horizontal="left"/>
    </xf>
    <xf numFmtId="0" fontId="5" fillId="0" borderId="0" xfId="2" applyFont="1"/>
    <xf numFmtId="37" fontId="7" fillId="4" borderId="0" xfId="3" applyNumberFormat="1" applyFont="1" applyFill="1" applyAlignment="1">
      <alignment horizontal="right"/>
    </xf>
    <xf numFmtId="0" fontId="3" fillId="0" borderId="0" xfId="2" applyFont="1" applyAlignment="1">
      <alignment horizontal="left" indent="1"/>
    </xf>
    <xf numFmtId="39" fontId="8" fillId="4" borderId="0" xfId="2" applyNumberFormat="1" applyFont="1" applyFill="1"/>
    <xf numFmtId="39" fontId="3" fillId="0" borderId="0" xfId="0" applyNumberFormat="1" applyFont="1" applyAlignment="1">
      <alignment horizontal="left"/>
    </xf>
    <xf numFmtId="39" fontId="3" fillId="0" borderId="0" xfId="0" applyNumberFormat="1" applyFont="1"/>
    <xf numFmtId="164" fontId="8" fillId="4" borderId="0" xfId="2" applyNumberFormat="1" applyFont="1" applyFill="1"/>
    <xf numFmtId="37" fontId="9" fillId="4" borderId="0" xfId="0" applyNumberFormat="1" applyFont="1" applyFill="1"/>
    <xf numFmtId="165" fontId="3" fillId="4" borderId="0" xfId="2" applyNumberFormat="1" applyFont="1" applyFill="1"/>
    <xf numFmtId="37" fontId="3" fillId="0" borderId="0" xfId="0" applyNumberFormat="1" applyFont="1" applyAlignment="1">
      <alignment horizontal="left"/>
    </xf>
    <xf numFmtId="37" fontId="3" fillId="0" borderId="0" xfId="0" applyNumberFormat="1" applyFont="1"/>
    <xf numFmtId="0" fontId="10" fillId="0" borderId="0" xfId="2" applyFont="1" applyAlignment="1">
      <alignment horizontal="center"/>
    </xf>
    <xf numFmtId="37" fontId="11" fillId="0" borderId="0" xfId="3" applyNumberFormat="1" applyFont="1" applyAlignment="1">
      <alignment horizontal="center"/>
    </xf>
    <xf numFmtId="165" fontId="12" fillId="4" borderId="0" xfId="2" applyNumberFormat="1" applyFont="1" applyFill="1"/>
    <xf numFmtId="9" fontId="12" fillId="4" borderId="0" xfId="0" applyNumberFormat="1" applyFont="1" applyFill="1"/>
    <xf numFmtId="0" fontId="3" fillId="0" borderId="0" xfId="2" applyFont="1"/>
    <xf numFmtId="37" fontId="9" fillId="4" borderId="0" xfId="2" applyNumberFormat="1" applyFont="1" applyFill="1"/>
    <xf numFmtId="0" fontId="13" fillId="0" borderId="0" xfId="0" applyFont="1"/>
    <xf numFmtId="37" fontId="5" fillId="0" borderId="0" xfId="2" applyNumberFormat="1" applyFont="1"/>
    <xf numFmtId="37" fontId="8" fillId="4" borderId="0" xfId="2" applyNumberFormat="1" applyFont="1" applyFill="1"/>
    <xf numFmtId="166" fontId="3" fillId="0" borderId="0" xfId="0" applyNumberFormat="1" applyFont="1" applyAlignment="1">
      <alignment horizontal="left"/>
    </xf>
    <xf numFmtId="166" fontId="3" fillId="0" borderId="0" xfId="0" applyNumberFormat="1" applyFont="1"/>
    <xf numFmtId="3" fontId="3" fillId="0" borderId="0" xfId="0" applyNumberFormat="1" applyFont="1"/>
    <xf numFmtId="164" fontId="3" fillId="0" borderId="0" xfId="0" applyNumberFormat="1" applyFont="1"/>
    <xf numFmtId="167" fontId="2" fillId="0" borderId="0" xfId="0" applyNumberFormat="1" applyFont="1"/>
    <xf numFmtId="8" fontId="14" fillId="4" borderId="1" xfId="2" applyNumberFormat="1" applyFont="1" applyFill="1" applyBorder="1"/>
    <xf numFmtId="165" fontId="3" fillId="0" borderId="0" xfId="0" applyNumberFormat="1" applyFont="1" applyAlignment="1">
      <alignment horizontal="left"/>
    </xf>
    <xf numFmtId="165" fontId="3" fillId="0" borderId="0" xfId="0" applyNumberFormat="1" applyFont="1"/>
    <xf numFmtId="0" fontId="3" fillId="0" borderId="2" xfId="0" applyFont="1" applyBorder="1"/>
    <xf numFmtId="0" fontId="5" fillId="0" borderId="2" xfId="2" applyFont="1" applyBorder="1"/>
    <xf numFmtId="43" fontId="12" fillId="4" borderId="3" xfId="2" applyNumberFormat="1" applyFont="1" applyFill="1" applyBorder="1"/>
    <xf numFmtId="39" fontId="3" fillId="1" borderId="0" xfId="2" applyNumberFormat="1" applyFont="1" applyFill="1"/>
    <xf numFmtId="8" fontId="14" fillId="0" borderId="0" xfId="2" applyNumberFormat="1" applyFont="1"/>
    <xf numFmtId="0" fontId="3" fillId="0" borderId="2" xfId="2" applyFont="1" applyBorder="1" applyAlignment="1">
      <alignment horizontal="left" indent="1"/>
    </xf>
    <xf numFmtId="165" fontId="12" fillId="4" borderId="2" xfId="2" applyNumberFormat="1" applyFont="1" applyFill="1" applyBorder="1"/>
    <xf numFmtId="165" fontId="3" fillId="0" borderId="2" xfId="0" applyNumberFormat="1" applyFont="1" applyBorder="1" applyAlignment="1">
      <alignment horizontal="left"/>
    </xf>
    <xf numFmtId="165" fontId="3" fillId="0" borderId="2" xfId="0" applyNumberFormat="1" applyFont="1" applyBorder="1"/>
    <xf numFmtId="0" fontId="4" fillId="0" borderId="0" xfId="0" applyFont="1" applyAlignment="1">
      <alignment horizontal="left"/>
    </xf>
    <xf numFmtId="5" fontId="2" fillId="2" borderId="0" xfId="4" applyNumberFormat="1" applyFont="1" applyFill="1" applyBorder="1" applyAlignment="1">
      <alignment horizontal="center"/>
    </xf>
    <xf numFmtId="5" fontId="2" fillId="0" borderId="0" xfId="4" applyNumberFormat="1" applyFont="1" applyFill="1" applyBorder="1" applyAlignment="1">
      <alignment horizontal="center"/>
    </xf>
    <xf numFmtId="7" fontId="3" fillId="0" borderId="0" xfId="0" applyNumberFormat="1" applyFont="1"/>
    <xf numFmtId="37" fontId="3" fillId="0" borderId="0" xfId="2" applyNumberFormat="1" applyFont="1"/>
    <xf numFmtId="39" fontId="3" fillId="0" borderId="0" xfId="2" applyNumberFormat="1" applyFont="1"/>
    <xf numFmtId="7" fontId="3" fillId="0" borderId="0" xfId="2" applyNumberFormat="1" applyFont="1"/>
    <xf numFmtId="5" fontId="3" fillId="0" borderId="0" xfId="4" applyNumberFormat="1" applyFont="1" applyBorder="1"/>
    <xf numFmtId="7" fontId="3" fillId="0" borderId="0" xfId="4" applyNumberFormat="1" applyFont="1" applyBorder="1"/>
    <xf numFmtId="168" fontId="13" fillId="0" borderId="0" xfId="1" applyNumberFormat="1" applyFont="1"/>
    <xf numFmtId="7" fontId="12" fillId="0" borderId="0" xfId="0" applyNumberFormat="1" applyFont="1"/>
    <xf numFmtId="41" fontId="3" fillId="0" borderId="0" xfId="0" applyNumberFormat="1" applyFont="1"/>
    <xf numFmtId="7" fontId="12" fillId="5" borderId="0" xfId="0" applyNumberFormat="1" applyFont="1" applyFill="1"/>
    <xf numFmtId="0" fontId="3" fillId="0" borderId="4" xfId="2" applyFont="1" applyBorder="1" applyAlignment="1">
      <alignment horizontal="left" indent="1"/>
    </xf>
    <xf numFmtId="39" fontId="3" fillId="0" borderId="4" xfId="2" applyNumberFormat="1" applyFont="1" applyBorder="1"/>
    <xf numFmtId="39" fontId="3" fillId="1" borderId="4" xfId="2" applyNumberFormat="1" applyFont="1" applyFill="1" applyBorder="1"/>
    <xf numFmtId="7" fontId="3" fillId="0" borderId="4" xfId="2" applyNumberFormat="1" applyFont="1" applyBorder="1"/>
    <xf numFmtId="5" fontId="3" fillId="0" borderId="4" xfId="4" applyNumberFormat="1" applyFont="1" applyBorder="1"/>
    <xf numFmtId="7" fontId="3" fillId="0" borderId="4" xfId="4" applyNumberFormat="1" applyFont="1" applyBorder="1"/>
    <xf numFmtId="0" fontId="3" fillId="0" borderId="0" xfId="0" applyFont="1" applyAlignment="1">
      <alignment horizontal="left" indent="1"/>
    </xf>
    <xf numFmtId="0" fontId="2" fillId="0" borderId="0" xfId="2" applyFont="1" applyAlignment="1">
      <alignment horizontal="left" indent="2"/>
    </xf>
    <xf numFmtId="0" fontId="2" fillId="0" borderId="5" xfId="0" applyFont="1" applyBorder="1"/>
    <xf numFmtId="5" fontId="2" fillId="0" borderId="0" xfId="0" applyNumberFormat="1" applyFont="1"/>
    <xf numFmtId="7" fontId="2" fillId="0" borderId="0" xfId="0" applyNumberFormat="1" applyFont="1"/>
    <xf numFmtId="43" fontId="3" fillId="0" borderId="0" xfId="0" applyNumberFormat="1" applyFont="1"/>
    <xf numFmtId="165" fontId="3" fillId="0" borderId="0" xfId="2" applyNumberFormat="1" applyFont="1"/>
    <xf numFmtId="0" fontId="2" fillId="0" borderId="5" xfId="2" applyFont="1" applyBorder="1" applyAlignment="1">
      <alignment horizontal="left" indent="2"/>
    </xf>
    <xf numFmtId="0" fontId="2" fillId="0" borderId="5" xfId="0" applyFont="1" applyBorder="1" applyAlignment="1">
      <alignment horizontal="center"/>
    </xf>
    <xf numFmtId="7" fontId="2" fillId="0" borderId="5" xfId="0" applyNumberFormat="1" applyFont="1" applyBorder="1"/>
    <xf numFmtId="37" fontId="3" fillId="0" borderId="4" xfId="2" applyNumberFormat="1" applyFont="1" applyBorder="1"/>
    <xf numFmtId="0" fontId="3" fillId="0" borderId="0" xfId="0" applyFont="1" applyAlignment="1">
      <alignment horizontal="right"/>
    </xf>
    <xf numFmtId="0" fontId="3" fillId="1" borderId="0" xfId="2" applyFont="1" applyFill="1"/>
    <xf numFmtId="165" fontId="3" fillId="0" borderId="4" xfId="2" applyNumberFormat="1" applyFont="1" applyBorder="1"/>
    <xf numFmtId="0" fontId="3" fillId="1" borderId="4" xfId="2" applyFont="1" applyFill="1" applyBorder="1"/>
    <xf numFmtId="0" fontId="15" fillId="5" borderId="0" xfId="0" applyFont="1" applyFill="1" applyAlignment="1">
      <alignment horizontal="center"/>
    </xf>
    <xf numFmtId="37" fontId="9" fillId="0" borderId="0" xfId="2" applyNumberFormat="1" applyFont="1"/>
    <xf numFmtId="37" fontId="15" fillId="0" borderId="0" xfId="0" applyNumberFormat="1" applyFont="1"/>
    <xf numFmtId="7" fontId="15" fillId="0" borderId="0" xfId="0" applyNumberFormat="1" applyFont="1"/>
    <xf numFmtId="37" fontId="3" fillId="0" borderId="0" xfId="2" applyNumberFormat="1" applyFont="1" applyAlignment="1">
      <alignment horizontal="center"/>
    </xf>
    <xf numFmtId="168" fontId="5" fillId="0" borderId="0" xfId="2" applyNumberFormat="1" applyFont="1"/>
    <xf numFmtId="43" fontId="3" fillId="0" borderId="0" xfId="0" applyNumberFormat="1" applyFont="1" applyAlignment="1">
      <alignment horizontal="center"/>
    </xf>
    <xf numFmtId="5" fontId="5" fillId="0" borderId="0" xfId="0" applyNumberFormat="1" applyFont="1"/>
    <xf numFmtId="0" fontId="16" fillId="0" borderId="5" xfId="0" applyFont="1" applyBorder="1"/>
    <xf numFmtId="168" fontId="16" fillId="0" borderId="5" xfId="0" applyNumberFormat="1" applyFont="1" applyBorder="1"/>
    <xf numFmtId="43" fontId="16" fillId="0" borderId="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1" fontId="18" fillId="0" borderId="0" xfId="0" applyNumberFormat="1" applyFont="1" applyAlignment="1">
      <alignment horizontal="center"/>
    </xf>
    <xf numFmtId="169" fontId="12" fillId="5" borderId="0" xfId="2" applyNumberFormat="1" applyFont="1" applyFill="1"/>
    <xf numFmtId="170" fontId="17" fillId="0" borderId="0" xfId="0" applyNumberFormat="1" applyFont="1"/>
    <xf numFmtId="171" fontId="12" fillId="5" borderId="0" xfId="2" applyNumberFormat="1" applyFont="1" applyFill="1"/>
    <xf numFmtId="37" fontId="16" fillId="0" borderId="5" xfId="0" applyNumberFormat="1" applyFont="1" applyBorder="1"/>
    <xf numFmtId="42" fontId="16" fillId="0" borderId="5" xfId="0" applyNumberFormat="1" applyFont="1" applyBorder="1"/>
    <xf numFmtId="0" fontId="16" fillId="0" borderId="0" xfId="0" applyFont="1" applyAlignment="1">
      <alignment horizontal="left" indent="1"/>
    </xf>
    <xf numFmtId="0" fontId="16" fillId="0" borderId="0" xfId="0" applyFont="1"/>
    <xf numFmtId="3" fontId="16" fillId="0" borderId="0" xfId="0" applyNumberFormat="1" applyFont="1"/>
    <xf numFmtId="5" fontId="10" fillId="0" borderId="5" xfId="0" applyNumberFormat="1" applyFont="1" applyBorder="1"/>
    <xf numFmtId="37" fontId="16" fillId="0" borderId="0" xfId="0" applyNumberFormat="1" applyFont="1"/>
    <xf numFmtId="42" fontId="16" fillId="0" borderId="0" xfId="0" applyNumberFormat="1" applyFont="1"/>
    <xf numFmtId="43" fontId="16" fillId="0" borderId="0" xfId="0" applyNumberFormat="1" applyFont="1" applyAlignment="1">
      <alignment horizontal="center"/>
    </xf>
    <xf numFmtId="7" fontId="19" fillId="0" borderId="0" xfId="0" applyNumberFormat="1" applyFont="1"/>
    <xf numFmtId="44" fontId="0" fillId="0" borderId="0" xfId="0" applyNumberFormat="1"/>
    <xf numFmtId="170" fontId="16" fillId="0" borderId="0" xfId="0" applyNumberFormat="1" applyFont="1"/>
    <xf numFmtId="0" fontId="0" fillId="0" borderId="6" xfId="0" applyBorder="1"/>
    <xf numFmtId="172" fontId="20" fillId="4" borderId="1" xfId="0" applyNumberFormat="1" applyFont="1" applyFill="1" applyBorder="1"/>
    <xf numFmtId="0" fontId="21" fillId="0" borderId="0" xfId="0" applyFont="1"/>
    <xf numFmtId="0" fontId="22" fillId="0" borderId="0" xfId="0" applyFont="1" applyAlignment="1">
      <alignment horizontal="right" indent="1"/>
    </xf>
    <xf numFmtId="1" fontId="23" fillId="0" borderId="0" xfId="0" applyNumberFormat="1" applyFont="1" applyAlignment="1">
      <alignment horizontal="center"/>
    </xf>
    <xf numFmtId="0" fontId="22" fillId="6" borderId="0" xfId="0" applyFont="1" applyFill="1" applyAlignment="1">
      <alignment horizontal="center"/>
    </xf>
    <xf numFmtId="0" fontId="24" fillId="3" borderId="0" xfId="0" applyFont="1" applyFill="1"/>
    <xf numFmtId="0" fontId="21" fillId="3" borderId="0" xfId="0" applyFont="1" applyFill="1"/>
    <xf numFmtId="0" fontId="25" fillId="3" borderId="0" xfId="0" applyFont="1" applyFill="1" applyAlignment="1">
      <alignment horizontal="center"/>
    </xf>
    <xf numFmtId="1" fontId="25" fillId="3" borderId="0" xfId="0" applyNumberFormat="1" applyFont="1" applyFill="1" applyAlignment="1">
      <alignment horizontal="center"/>
    </xf>
    <xf numFmtId="0" fontId="26" fillId="0" borderId="0" xfId="0" applyFont="1"/>
    <xf numFmtId="0" fontId="27" fillId="0" borderId="0" xfId="0" applyFont="1" applyAlignment="1">
      <alignment horizontal="left" indent="1"/>
    </xf>
    <xf numFmtId="9" fontId="20" fillId="4" borderId="1" xfId="0" applyNumberFormat="1" applyFont="1" applyFill="1" applyBorder="1"/>
    <xf numFmtId="0" fontId="27" fillId="0" borderId="0" xfId="0" applyFont="1"/>
    <xf numFmtId="0" fontId="28" fillId="0" borderId="0" xfId="0" applyFont="1"/>
    <xf numFmtId="0" fontId="21" fillId="0" borderId="0" xfId="0" applyFont="1" applyAlignment="1">
      <alignment horizontal="left" indent="1"/>
    </xf>
    <xf numFmtId="0" fontId="16" fillId="0" borderId="0" xfId="0" applyFont="1" applyAlignment="1">
      <alignment horizontal="center"/>
    </xf>
    <xf numFmtId="168" fontId="29" fillId="0" borderId="0" xfId="1" applyNumberFormat="1" applyFont="1" applyFill="1" applyBorder="1"/>
    <xf numFmtId="0" fontId="22" fillId="0" borderId="6" xfId="0" applyFont="1" applyBorder="1"/>
    <xf numFmtId="0" fontId="0" fillId="0" borderId="7" xfId="0" applyBorder="1"/>
    <xf numFmtId="8" fontId="22" fillId="7" borderId="7" xfId="0" applyNumberFormat="1" applyFont="1" applyFill="1" applyBorder="1"/>
    <xf numFmtId="0" fontId="22" fillId="0" borderId="8" xfId="0" applyFont="1" applyBorder="1"/>
    <xf numFmtId="8" fontId="30" fillId="4" borderId="1" xfId="0" applyNumberFormat="1" applyFont="1" applyFill="1" applyBorder="1"/>
    <xf numFmtId="168" fontId="17" fillId="0" borderId="0" xfId="1" applyNumberFormat="1" applyFont="1" applyFill="1" applyBorder="1"/>
    <xf numFmtId="0" fontId="17" fillId="0" borderId="0" xfId="0" applyFont="1" applyAlignment="1">
      <alignment horizontal="center"/>
    </xf>
    <xf numFmtId="37" fontId="31" fillId="0" borderId="0" xfId="0" applyNumberFormat="1" applyFont="1"/>
    <xf numFmtId="39" fontId="21" fillId="0" borderId="0" xfId="0" applyNumberFormat="1" applyFont="1"/>
    <xf numFmtId="6" fontId="32" fillId="0" borderId="0" xfId="0" applyNumberFormat="1" applyFont="1"/>
    <xf numFmtId="6" fontId="17" fillId="0" borderId="0" xfId="0" applyNumberFormat="1" applyFont="1"/>
    <xf numFmtId="8" fontId="32" fillId="0" borderId="0" xfId="0" applyNumberFormat="1" applyFont="1"/>
    <xf numFmtId="8" fontId="17" fillId="0" borderId="0" xfId="0" applyNumberFormat="1" applyFont="1"/>
    <xf numFmtId="173" fontId="32" fillId="0" borderId="0" xfId="0" applyNumberFormat="1" applyFont="1"/>
    <xf numFmtId="37" fontId="21" fillId="0" borderId="0" xfId="0" applyNumberFormat="1" applyFont="1"/>
    <xf numFmtId="37" fontId="30" fillId="4" borderId="1" xfId="0" applyNumberFormat="1" applyFont="1" applyFill="1" applyBorder="1"/>
    <xf numFmtId="3" fontId="21" fillId="0" borderId="0" xfId="0" applyNumberFormat="1" applyFont="1"/>
    <xf numFmtId="0" fontId="17" fillId="0" borderId="0" xfId="0" applyFont="1" applyAlignment="1">
      <alignment horizontal="left" indent="1"/>
    </xf>
    <xf numFmtId="37" fontId="27" fillId="0" borderId="0" xfId="0" applyNumberFormat="1" applyFont="1"/>
    <xf numFmtId="8" fontId="30" fillId="0" borderId="0" xfId="0" applyNumberFormat="1" applyFont="1"/>
    <xf numFmtId="6" fontId="16" fillId="0" borderId="0" xfId="0" applyNumberFormat="1" applyFont="1"/>
    <xf numFmtId="174" fontId="21" fillId="0" borderId="0" xfId="0" applyNumberFormat="1" applyFont="1"/>
    <xf numFmtId="0" fontId="33" fillId="0" borderId="0" xfId="0" applyFont="1"/>
    <xf numFmtId="8" fontId="33" fillId="0" borderId="0" xfId="0" applyNumberFormat="1" applyFont="1"/>
    <xf numFmtId="175" fontId="33" fillId="0" borderId="0" xfId="0" applyNumberFormat="1" applyFont="1"/>
    <xf numFmtId="0" fontId="27" fillId="8" borderId="0" xfId="0" applyFont="1" applyFill="1" applyAlignment="1">
      <alignment horizontal="left" indent="1"/>
    </xf>
    <xf numFmtId="8" fontId="27" fillId="8" borderId="0" xfId="0" applyNumberFormat="1" applyFont="1" applyFill="1"/>
    <xf numFmtId="0" fontId="27" fillId="8" borderId="0" xfId="0" applyFont="1" applyFill="1"/>
    <xf numFmtId="44" fontId="30" fillId="4" borderId="1" xfId="0" applyNumberFormat="1" applyFont="1" applyFill="1" applyBorder="1"/>
    <xf numFmtId="44" fontId="21" fillId="4" borderId="1" xfId="0" applyNumberFormat="1" applyFont="1" applyFill="1" applyBorder="1"/>
    <xf numFmtId="8" fontId="21" fillId="4" borderId="1" xfId="0" applyNumberFormat="1" applyFont="1" applyFill="1" applyBorder="1"/>
    <xf numFmtId="0" fontId="22" fillId="0" borderId="0" xfId="0" applyFont="1"/>
    <xf numFmtId="8" fontId="22" fillId="0" borderId="0" xfId="0" applyNumberFormat="1" applyFont="1"/>
    <xf numFmtId="176" fontId="32" fillId="0" borderId="0" xfId="0" applyNumberFormat="1" applyFont="1"/>
    <xf numFmtId="8" fontId="27" fillId="0" borderId="0" xfId="0" applyNumberFormat="1" applyFont="1"/>
    <xf numFmtId="39" fontId="31" fillId="0" borderId="0" xfId="0" applyNumberFormat="1" applyFont="1"/>
    <xf numFmtId="4" fontId="21" fillId="0" borderId="0" xfId="0" applyNumberFormat="1" applyFont="1"/>
    <xf numFmtId="0" fontId="22" fillId="0" borderId="6" xfId="0" applyFont="1" applyBorder="1" applyAlignment="1">
      <alignment horizontal="left" indent="1"/>
    </xf>
    <xf numFmtId="0" fontId="22" fillId="0" borderId="0" xfId="0" applyFont="1" applyAlignment="1">
      <alignment horizontal="left" indent="1"/>
    </xf>
    <xf numFmtId="0" fontId="32" fillId="0" borderId="0" xfId="0" applyFont="1"/>
  </cellXfs>
  <cellStyles count="5">
    <cellStyle name="Comma" xfId="1" builtinId="3"/>
    <cellStyle name="Comma 4 2" xfId="4" xr:uid="{8A09D2C8-9B2E-49BA-93D7-820234D14C42}"/>
    <cellStyle name="Normal" xfId="0" builtinId="0"/>
    <cellStyle name="Normal 4 3" xfId="3" xr:uid="{3BFC3A1F-223A-40FE-8D3B-D5F260AF0361}"/>
    <cellStyle name="Normal 5 2" xfId="2" xr:uid="{78D16B07-6A71-4632-8463-3CCACBD096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nhamdev.sharepoint.com/sites/Corp/Shared%20Documents/4.%20Projects%20&amp;%20Key%20Partners/Acquisitions/Spuds/02.%20Financial%20Model%20&amp;%20Support/RRC%20Financial%20Model%20v14%20-%20Post%20Trip%20-%20vBase%20Case.xlsx" TargetMode="External"/><Relationship Id="rId1" Type="http://schemas.openxmlformats.org/officeDocument/2006/relationships/externalLinkPath" Target="https://burnhamdev.sharepoint.com/sites/Corp/Shared%20Documents/4.%20Projects%20&amp;%20Key%20Partners/Acquisitions/Spuds/02.%20Financial%20Model%20&amp;%20Support/RRC%20Financial%20Model%20v14%20-%20Post%20Trip%20-%20vBase%20C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 - PFD"/>
      <sheetName val="Process vF"/>
      <sheetName val="Econ Summary Weekly Output"/>
      <sheetName val="Summary"/>
      <sheetName val="MODEL"/>
      <sheetName val="Sheet2"/>
      <sheetName val="Feedstock Inputs"/>
      <sheetName val="Gas Pricing"/>
      <sheetName val="CAPEX"/>
      <sheetName val="RNG Calculator"/>
      <sheetName val="HenryHub"/>
      <sheetName val="OPEX"/>
      <sheetName val="FIXED"/>
      <sheetName val="Liq&amp;BS Mass Balance"/>
      <sheetName val="Export_Monthly"/>
      <sheetName val="Other&gt;&gt;"/>
      <sheetName val="LCFS Calc"/>
      <sheetName val="Sale Leaseback"/>
      <sheetName val="GUU Capex Export"/>
      <sheetName val="GUU_Capex"/>
      <sheetName val="COD Table"/>
      <sheetName val="M.3 - BD"/>
    </sheetNames>
    <sheetDataSet>
      <sheetData sheetId="0"/>
      <sheetData sheetId="1"/>
      <sheetData sheetId="2"/>
      <sheetData sheetId="3">
        <row r="59">
          <cell r="E59">
            <v>1</v>
          </cell>
        </row>
        <row r="60">
          <cell r="E60">
            <v>0</v>
          </cell>
        </row>
        <row r="61">
          <cell r="E61">
            <v>1</v>
          </cell>
        </row>
        <row r="62">
          <cell r="E62">
            <v>0</v>
          </cell>
        </row>
      </sheetData>
      <sheetData sheetId="4">
        <row r="4">
          <cell r="G4">
            <v>0.18263023495674133</v>
          </cell>
        </row>
        <row r="137">
          <cell r="K137">
            <v>1047.7559392532257</v>
          </cell>
          <cell r="L137">
            <v>1378.3238590903327</v>
          </cell>
          <cell r="M137">
            <v>1626.2523989681629</v>
          </cell>
          <cell r="N137">
            <v>1626.2625999681629</v>
          </cell>
          <cell r="O137">
            <v>1626.2729029781628</v>
          </cell>
          <cell r="P137">
            <v>1626.283309018263</v>
          </cell>
          <cell r="Q137">
            <v>1626.2938191187638</v>
          </cell>
          <cell r="R137">
            <v>1626.3044343202698</v>
          </cell>
          <cell r="S137">
            <v>1626.315155673791</v>
          </cell>
          <cell r="T137">
            <v>1626.3259842408472</v>
          </cell>
          <cell r="U137">
            <v>1626.3369210935741</v>
          </cell>
          <cell r="V137">
            <v>1626.3479673148283</v>
          </cell>
          <cell r="W137">
            <v>1626.359123998295</v>
          </cell>
          <cell r="X137">
            <v>1626.3703922485963</v>
          </cell>
          <cell r="Y137">
            <v>1626.3817731814006</v>
          </cell>
          <cell r="Z137">
            <v>1626.3932679235329</v>
          </cell>
          <cell r="AA137">
            <v>1626.4048776130867</v>
          </cell>
          <cell r="AB137">
            <v>1626.4166033995359</v>
          </cell>
          <cell r="AC137">
            <v>1626.4284464438497</v>
          </cell>
          <cell r="AD137">
            <v>1626.4404079186065</v>
          </cell>
        </row>
      </sheetData>
      <sheetData sheetId="5"/>
      <sheetData sheetId="6">
        <row r="184">
          <cell r="H184">
            <v>552.92602739726033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7">
          <cell r="K7">
            <v>0</v>
          </cell>
        </row>
        <row r="16">
          <cell r="W16">
            <v>32244269.102258787</v>
          </cell>
        </row>
        <row r="34">
          <cell r="D34">
            <v>0.1</v>
          </cell>
        </row>
        <row r="41">
          <cell r="K41">
            <v>0</v>
          </cell>
        </row>
        <row r="93">
          <cell r="E93">
            <v>37887965.866666675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D03A-65ED-4F84-BA01-69F165E8BF44}">
  <sheetPr>
    <tabColor rgb="FFFFFF00"/>
    <pageSetUpPr fitToPage="1"/>
  </sheetPr>
  <dimension ref="C2:JA101"/>
  <sheetViews>
    <sheetView showGridLines="0" tabSelected="1" view="pageBreakPreview" topLeftCell="K1" zoomScale="73" zoomScaleNormal="60" zoomScaleSheetLayoutView="73" workbookViewId="0">
      <selection activeCell="N14" sqref="N14"/>
    </sheetView>
  </sheetViews>
  <sheetFormatPr defaultRowHeight="14.5" x14ac:dyDescent="0.35"/>
  <cols>
    <col min="1" max="2" width="3.6328125" customWidth="1"/>
    <col min="3" max="3" width="26" bestFit="1" customWidth="1"/>
    <col min="4" max="5" width="15.6328125" customWidth="1"/>
    <col min="6" max="6" width="3.6328125" customWidth="1"/>
    <col min="7" max="7" width="27.36328125" customWidth="1"/>
    <col min="8" max="9" width="15.6328125" customWidth="1"/>
    <col min="10" max="10" width="19" bestFit="1" customWidth="1"/>
    <col min="11" max="11" width="15.6328125" customWidth="1"/>
    <col min="12" max="12" width="27.36328125" customWidth="1"/>
    <col min="13" max="16" width="15.6328125" customWidth="1"/>
    <col min="17" max="17" width="15.6328125" style="94" customWidth="1"/>
    <col min="18" max="18" width="11.90625" bestFit="1" customWidth="1"/>
    <col min="19" max="19" width="22.6328125" bestFit="1" customWidth="1"/>
    <col min="20" max="20" width="19.36328125" bestFit="1" customWidth="1"/>
    <col min="21" max="21" width="17.6328125" bestFit="1" customWidth="1"/>
    <col min="23" max="23" width="17.6328125" bestFit="1" customWidth="1"/>
  </cols>
  <sheetData>
    <row r="2" spans="3:26" s="4" customFormat="1" ht="18.5" x14ac:dyDescent="0.45">
      <c r="C2" s="1" t="s">
        <v>0</v>
      </c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2"/>
      <c r="V2" s="2"/>
      <c r="W2" s="2"/>
      <c r="X2" s="2"/>
      <c r="Y2" s="2"/>
      <c r="Z2" s="2"/>
    </row>
    <row r="3" spans="3:26" s="4" customFormat="1" ht="18.5" x14ac:dyDescent="0.45">
      <c r="F3" s="5"/>
      <c r="Q3" s="5"/>
    </row>
    <row r="4" spans="3:26" s="4" customFormat="1" ht="18.5" x14ac:dyDescent="0.45">
      <c r="F4" s="5"/>
      <c r="G4" s="6" t="s">
        <v>1</v>
      </c>
      <c r="L4" s="6" t="s">
        <v>2</v>
      </c>
      <c r="Q4" s="5"/>
      <c r="S4" s="6" t="s">
        <v>3</v>
      </c>
    </row>
    <row r="5" spans="3:26" s="4" customFormat="1" ht="18.75" customHeight="1" x14ac:dyDescent="0.45">
      <c r="C5" s="7" t="s">
        <v>4</v>
      </c>
      <c r="D5" s="7" t="s">
        <v>5</v>
      </c>
      <c r="E5" s="8" t="s">
        <v>6</v>
      </c>
      <c r="F5" s="5"/>
      <c r="G5" s="1" t="s">
        <v>7</v>
      </c>
      <c r="H5" s="1" t="s">
        <v>5</v>
      </c>
      <c r="I5" s="1"/>
      <c r="J5" s="1" t="s">
        <v>8</v>
      </c>
      <c r="L5" s="1" t="s">
        <v>7</v>
      </c>
      <c r="M5" s="1" t="s">
        <v>5</v>
      </c>
      <c r="N5" s="1"/>
      <c r="O5" s="1" t="s">
        <v>8</v>
      </c>
      <c r="Q5" s="5"/>
      <c r="S5" s="1" t="s">
        <v>7</v>
      </c>
      <c r="T5" s="1" t="s">
        <v>5</v>
      </c>
      <c r="U5" s="1" t="s">
        <v>8</v>
      </c>
    </row>
    <row r="6" spans="3:26" s="4" customFormat="1" ht="18.75" customHeight="1" x14ac:dyDescent="0.45">
      <c r="C6" s="9" t="s">
        <v>9</v>
      </c>
      <c r="D6" s="9" t="s">
        <v>10</v>
      </c>
      <c r="E6" s="10"/>
      <c r="F6" s="11"/>
      <c r="G6" s="6" t="s">
        <v>11</v>
      </c>
      <c r="L6" s="6" t="s">
        <v>12</v>
      </c>
      <c r="Q6" s="5"/>
      <c r="S6" s="6" t="s">
        <v>11</v>
      </c>
    </row>
    <row r="7" spans="3:26" s="4" customFormat="1" ht="18.75" customHeight="1" x14ac:dyDescent="0.45">
      <c r="C7" s="9" t="s">
        <v>9</v>
      </c>
      <c r="D7" s="12" t="s">
        <v>13</v>
      </c>
      <c r="E7" s="13"/>
      <c r="F7" s="5"/>
      <c r="G7" s="14" t="s">
        <v>14</v>
      </c>
      <c r="H7" s="12" t="s">
        <v>15</v>
      </c>
      <c r="I7" s="12"/>
      <c r="J7" s="15">
        <v>3</v>
      </c>
      <c r="L7" s="14" t="s">
        <v>11</v>
      </c>
      <c r="M7" s="16" t="str">
        <f>H7</f>
        <v>(kWh/year) / GPD</v>
      </c>
      <c r="N7" s="16"/>
      <c r="O7" s="17">
        <f>J7</f>
        <v>3</v>
      </c>
      <c r="Q7" s="5"/>
      <c r="S7" s="14" t="s">
        <v>16</v>
      </c>
      <c r="T7" s="12" t="s">
        <v>17</v>
      </c>
      <c r="U7" s="18">
        <v>76</v>
      </c>
    </row>
    <row r="8" spans="3:26" s="4" customFormat="1" ht="18.75" customHeight="1" x14ac:dyDescent="0.45">
      <c r="C8" s="9" t="s">
        <v>9</v>
      </c>
      <c r="D8" s="9" t="s">
        <v>18</v>
      </c>
      <c r="E8" s="19">
        <v>49.128967012136378</v>
      </c>
      <c r="F8" s="5"/>
      <c r="G8" s="14" t="s">
        <v>19</v>
      </c>
      <c r="H8" s="12" t="s">
        <v>20</v>
      </c>
      <c r="I8" s="12"/>
      <c r="J8" s="20">
        <f>$U$15*2</f>
        <v>0.15674227642276423</v>
      </c>
      <c r="L8" s="14" t="s">
        <v>21</v>
      </c>
      <c r="M8" s="21" t="str">
        <f>H12</f>
        <v>(kwh/year) / scfm biogas</v>
      </c>
      <c r="N8" s="21"/>
      <c r="O8" s="22">
        <f>J12</f>
        <v>7227</v>
      </c>
      <c r="Q8" s="5"/>
      <c r="S8" s="14" t="s">
        <v>22</v>
      </c>
      <c r="T8" s="12" t="s">
        <v>17</v>
      </c>
      <c r="U8" s="18">
        <v>95</v>
      </c>
    </row>
    <row r="9" spans="3:26" s="4" customFormat="1" ht="18.75" customHeight="1" x14ac:dyDescent="0.45">
      <c r="C9" s="23"/>
      <c r="D9" s="23"/>
      <c r="E9" s="24"/>
      <c r="F9" s="5"/>
      <c r="G9" s="14" t="s">
        <v>23</v>
      </c>
      <c r="H9" s="12" t="s">
        <v>24</v>
      </c>
      <c r="I9" s="12"/>
      <c r="J9" s="25">
        <v>1E-3</v>
      </c>
      <c r="L9" s="14" t="str">
        <f>+G16</f>
        <v>MBR / RO System</v>
      </c>
      <c r="M9" s="16" t="str">
        <f>H17</f>
        <v>(kWh/year) / GPD</v>
      </c>
      <c r="N9" s="16"/>
      <c r="O9" s="17">
        <f>J17</f>
        <v>0</v>
      </c>
      <c r="Q9" s="5"/>
      <c r="S9" s="4" t="s">
        <v>25</v>
      </c>
      <c r="T9" s="4" t="s">
        <v>26</v>
      </c>
      <c r="U9" s="26">
        <v>0.9</v>
      </c>
    </row>
    <row r="10" spans="3:26" s="4" customFormat="1" ht="18.75" customHeight="1" x14ac:dyDescent="0.45">
      <c r="C10" s="27" t="s">
        <v>27</v>
      </c>
      <c r="D10" s="27" t="s">
        <v>28</v>
      </c>
      <c r="E10" s="28">
        <f>[1]Summary!$E$59</f>
        <v>1</v>
      </c>
      <c r="F10" s="5"/>
      <c r="J10" s="29">
        <f>J8*E11/365</f>
        <v>37.570883715952291</v>
      </c>
      <c r="M10" s="11"/>
      <c r="N10" s="11"/>
      <c r="Q10" s="5"/>
      <c r="S10" s="4" t="s">
        <v>29</v>
      </c>
      <c r="T10" s="4" t="s">
        <v>26</v>
      </c>
      <c r="U10" s="26">
        <v>0.82</v>
      </c>
    </row>
    <row r="11" spans="3:26" s="4" customFormat="1" ht="18.75" customHeight="1" x14ac:dyDescent="0.45">
      <c r="C11" s="27" t="s">
        <v>30</v>
      </c>
      <c r="D11" s="27" t="s">
        <v>31</v>
      </c>
      <c r="E11" s="28">
        <v>87489.941254489444</v>
      </c>
      <c r="F11" s="5"/>
      <c r="G11" s="6" t="s">
        <v>21</v>
      </c>
      <c r="L11" s="6" t="s">
        <v>32</v>
      </c>
      <c r="M11" s="11"/>
      <c r="N11" s="11"/>
      <c r="Q11" s="5"/>
    </row>
    <row r="12" spans="3:26" s="4" customFormat="1" ht="18.75" customHeight="1" x14ac:dyDescent="0.45">
      <c r="C12" s="27" t="s">
        <v>33</v>
      </c>
      <c r="D12" s="27" t="s">
        <v>34</v>
      </c>
      <c r="E12" s="30">
        <f>MEDIAN([1]MODEL!$K$137:$AD$137)</f>
        <v>1626.3314526672107</v>
      </c>
      <c r="F12" s="5"/>
      <c r="G12" s="14" t="s">
        <v>35</v>
      </c>
      <c r="H12" s="12" t="s">
        <v>36</v>
      </c>
      <c r="I12" s="12"/>
      <c r="J12" s="31">
        <v>7227</v>
      </c>
      <c r="L12" s="14" t="s">
        <v>11</v>
      </c>
      <c r="M12" s="32" t="str">
        <f>H8</f>
        <v>(MMBtu/year)/GPD</v>
      </c>
      <c r="N12" s="32"/>
      <c r="O12" s="33">
        <f>J8</f>
        <v>0.15674227642276423</v>
      </c>
      <c r="Q12" s="5"/>
      <c r="S12" s="4" t="s">
        <v>37</v>
      </c>
      <c r="T12" s="4" t="s">
        <v>38</v>
      </c>
      <c r="U12" s="34">
        <f>E11*365*8.34</f>
        <v>266328130.1727913</v>
      </c>
      <c r="W12" s="34">
        <v>5174970000</v>
      </c>
    </row>
    <row r="13" spans="3:26" s="4" customFormat="1" ht="18.75" customHeight="1" x14ac:dyDescent="0.45">
      <c r="C13" s="27" t="s">
        <v>39</v>
      </c>
      <c r="D13" s="27" t="s">
        <v>40</v>
      </c>
      <c r="E13" s="19">
        <v>546.54348674906021</v>
      </c>
      <c r="F13" s="5"/>
      <c r="G13" s="14" t="s">
        <v>41</v>
      </c>
      <c r="H13" s="12" t="s">
        <v>42</v>
      </c>
      <c r="I13" s="12"/>
      <c r="J13" s="25">
        <f>2</f>
        <v>2</v>
      </c>
      <c r="L13" s="14" t="s">
        <v>21</v>
      </c>
      <c r="M13" s="21" t="str">
        <f>H13</f>
        <v>(MMBtu/year) / scfm biogas</v>
      </c>
      <c r="N13" s="21"/>
      <c r="O13" s="22">
        <f>J13</f>
        <v>2</v>
      </c>
      <c r="Q13" s="5"/>
      <c r="S13" s="4" t="s">
        <v>43</v>
      </c>
      <c r="T13" s="4" t="s">
        <v>17</v>
      </c>
      <c r="U13" s="35">
        <f>(U8-U7)</f>
        <v>19</v>
      </c>
      <c r="W13" s="35">
        <f>(U8-U7)</f>
        <v>19</v>
      </c>
    </row>
    <row r="14" spans="3:26" s="4" customFormat="1" ht="18.75" customHeight="1" x14ac:dyDescent="0.45">
      <c r="C14" s="27" t="s">
        <v>39</v>
      </c>
      <c r="D14" s="27" t="s">
        <v>44</v>
      </c>
      <c r="E14" s="30">
        <f>E13*1000</f>
        <v>546543.48674906022</v>
      </c>
      <c r="F14" s="5"/>
      <c r="G14" s="14" t="s">
        <v>45</v>
      </c>
      <c r="H14" s="12" t="s">
        <v>46</v>
      </c>
      <c r="I14" s="12"/>
      <c r="J14" s="15">
        <v>90</v>
      </c>
      <c r="L14" s="14" t="str">
        <f>+G16</f>
        <v>MBR / RO System</v>
      </c>
      <c r="M14" s="21" t="str">
        <f>H18</f>
        <v>($ / year) per GPD</v>
      </c>
      <c r="N14" s="21"/>
      <c r="O14" s="22">
        <f>J18</f>
        <v>0</v>
      </c>
      <c r="Q14" s="5"/>
      <c r="S14" s="4" t="s">
        <v>47</v>
      </c>
      <c r="T14" s="4" t="s">
        <v>48</v>
      </c>
      <c r="U14" s="34">
        <f>U13*U12/(10^6)</f>
        <v>5060.2344732830343</v>
      </c>
      <c r="W14" s="34">
        <f>W13*W12/(10^6)</f>
        <v>98324.43</v>
      </c>
    </row>
    <row r="15" spans="3:26" s="4" customFormat="1" ht="18.75" customHeight="1" x14ac:dyDescent="0.45">
      <c r="F15" s="5"/>
      <c r="M15" s="11"/>
      <c r="N15" s="11"/>
      <c r="Q15" s="5"/>
      <c r="S15" s="6" t="s">
        <v>49</v>
      </c>
      <c r="T15" s="6" t="s">
        <v>50</v>
      </c>
      <c r="U15" s="36">
        <f>IFERROR(U14/(U10*U9)/$E$11,0)</f>
        <v>7.8371138211382113E-2</v>
      </c>
      <c r="W15" s="36">
        <v>7.8371138211382099E-2</v>
      </c>
    </row>
    <row r="16" spans="3:26" s="4" customFormat="1" ht="18.75" customHeight="1" x14ac:dyDescent="0.45">
      <c r="C16" s="6" t="s">
        <v>51</v>
      </c>
      <c r="F16" s="5"/>
      <c r="G16" s="6" t="s">
        <v>52</v>
      </c>
      <c r="L16" s="6" t="s">
        <v>53</v>
      </c>
      <c r="M16" s="11"/>
      <c r="N16" s="11"/>
      <c r="Q16" s="5"/>
    </row>
    <row r="17" spans="3:19" s="4" customFormat="1" ht="18.75" customHeight="1" x14ac:dyDescent="0.45">
      <c r="C17" s="4" t="s">
        <v>54</v>
      </c>
      <c r="D17" s="12" t="s">
        <v>55</v>
      </c>
      <c r="E17" s="37">
        <v>0.05</v>
      </c>
      <c r="F17" s="5"/>
      <c r="G17" s="14" t="s">
        <v>56</v>
      </c>
      <c r="H17" s="12" t="s">
        <v>15</v>
      </c>
      <c r="I17" s="12"/>
      <c r="J17" s="15">
        <v>0</v>
      </c>
      <c r="L17" s="14" t="s">
        <v>11</v>
      </c>
      <c r="M17" s="38" t="str">
        <f>H9</f>
        <v>$ / GPD AD Influent</v>
      </c>
      <c r="N17" s="38"/>
      <c r="O17" s="39">
        <f>J9</f>
        <v>1E-3</v>
      </c>
      <c r="Q17" s="5"/>
    </row>
    <row r="18" spans="3:19" s="4" customFormat="1" ht="18.75" customHeight="1" thickBot="1" x14ac:dyDescent="0.5">
      <c r="C18" s="40" t="s">
        <v>57</v>
      </c>
      <c r="D18" s="41" t="s">
        <v>58</v>
      </c>
      <c r="E18" s="42">
        <v>4.5</v>
      </c>
      <c r="F18" s="5"/>
      <c r="G18" s="14" t="s">
        <v>59</v>
      </c>
      <c r="H18" s="12" t="s">
        <v>60</v>
      </c>
      <c r="I18" s="12"/>
      <c r="J18" s="43"/>
      <c r="L18" s="14" t="s">
        <v>21</v>
      </c>
      <c r="M18" s="16" t="str">
        <f>H14</f>
        <v>$/ scfm biogas</v>
      </c>
      <c r="N18" s="16"/>
      <c r="O18" s="17">
        <f>J14</f>
        <v>90</v>
      </c>
      <c r="Q18" s="5"/>
    </row>
    <row r="19" spans="3:19" s="4" customFormat="1" ht="18.75" customHeight="1" thickBot="1" x14ac:dyDescent="0.5">
      <c r="D19" s="12"/>
      <c r="E19" s="44"/>
      <c r="F19" s="5"/>
      <c r="G19" s="45" t="s">
        <v>61</v>
      </c>
      <c r="H19" s="41" t="s">
        <v>60</v>
      </c>
      <c r="I19" s="41"/>
      <c r="J19" s="46">
        <v>0</v>
      </c>
      <c r="L19" s="45" t="str">
        <f>+G16</f>
        <v>MBR / RO System</v>
      </c>
      <c r="M19" s="47" t="str">
        <f>H19</f>
        <v>($ / year) per GPD</v>
      </c>
      <c r="N19" s="47"/>
      <c r="O19" s="48">
        <f>J19</f>
        <v>0</v>
      </c>
      <c r="Q19" s="5"/>
    </row>
    <row r="20" spans="3:19" s="4" customFormat="1" ht="18.75" customHeight="1" x14ac:dyDescent="0.45">
      <c r="F20" s="5"/>
      <c r="J20" s="5"/>
      <c r="Q20" s="5"/>
    </row>
    <row r="21" spans="3:19" s="4" customFormat="1" ht="18.75" customHeight="1" x14ac:dyDescent="0.45">
      <c r="F21" s="5"/>
      <c r="J21" s="5"/>
      <c r="Q21" s="49"/>
      <c r="R21" s="49"/>
    </row>
    <row r="22" spans="3:19" s="4" customFormat="1" ht="18.75" customHeight="1" x14ac:dyDescent="0.45">
      <c r="F22" s="5"/>
      <c r="G22" s="2"/>
      <c r="H22" s="50" t="s">
        <v>31</v>
      </c>
      <c r="I22" s="50" t="s">
        <v>34</v>
      </c>
      <c r="J22" s="50" t="s">
        <v>5</v>
      </c>
      <c r="K22" s="50" t="s">
        <v>5</v>
      </c>
      <c r="L22" s="50" t="s">
        <v>5</v>
      </c>
      <c r="M22" s="50" t="s">
        <v>62</v>
      </c>
      <c r="N22" s="50" t="s">
        <v>63</v>
      </c>
      <c r="O22" s="50" t="s">
        <v>64</v>
      </c>
      <c r="Q22" s="5"/>
    </row>
    <row r="23" spans="3:19" s="4" customFormat="1" ht="18.75" customHeight="1" x14ac:dyDescent="0.45">
      <c r="C23" s="7" t="s">
        <v>7</v>
      </c>
      <c r="D23" s="7" t="s">
        <v>5</v>
      </c>
      <c r="E23" s="7" t="s">
        <v>8</v>
      </c>
      <c r="F23" s="5"/>
      <c r="G23" s="6" t="s">
        <v>54</v>
      </c>
      <c r="H23" s="5"/>
      <c r="I23" s="5"/>
      <c r="J23" s="4" t="str">
        <f>$H$7</f>
        <v>(kWh/year) / GPD</v>
      </c>
      <c r="K23" s="5" t="s">
        <v>65</v>
      </c>
      <c r="L23" s="5" t="s">
        <v>66</v>
      </c>
      <c r="M23" s="5"/>
      <c r="N23" s="5"/>
      <c r="O23" s="5"/>
      <c r="Q23" s="5"/>
      <c r="R23" s="51"/>
    </row>
    <row r="24" spans="3:19" s="4" customFormat="1" ht="18.75" customHeight="1" x14ac:dyDescent="0.45">
      <c r="C24" s="14" t="s">
        <v>12</v>
      </c>
      <c r="D24" s="5" t="s">
        <v>58</v>
      </c>
      <c r="E24" s="52">
        <f>O27</f>
        <v>1.0992690905221973</v>
      </c>
      <c r="F24" s="5"/>
      <c r="G24" s="14" t="s">
        <v>11</v>
      </c>
      <c r="H24" s="53">
        <f>E11</f>
        <v>87489.941254489444</v>
      </c>
      <c r="I24" s="43"/>
      <c r="J24" s="54">
        <f>J7</f>
        <v>3</v>
      </c>
      <c r="K24" s="43"/>
      <c r="L24" s="55">
        <f>E17</f>
        <v>0.05</v>
      </c>
      <c r="M24" s="56">
        <f>(H24)*J24*L24</f>
        <v>13123.491188173415</v>
      </c>
      <c r="N24" s="56">
        <f>M24/1000</f>
        <v>13.123491188173416</v>
      </c>
      <c r="O24" s="57">
        <f>M24/$E$14</f>
        <v>2.4011796876831012E-2</v>
      </c>
      <c r="P24" s="58">
        <f>J24*H24</f>
        <v>262469.8237634683</v>
      </c>
      <c r="Q24" s="5"/>
      <c r="R24" s="59"/>
      <c r="S24" s="60"/>
    </row>
    <row r="25" spans="3:19" s="4" customFormat="1" ht="18.75" customHeight="1" x14ac:dyDescent="0.45">
      <c r="C25" s="14" t="s">
        <v>32</v>
      </c>
      <c r="D25" s="5" t="s">
        <v>58</v>
      </c>
      <c r="E25" s="61"/>
      <c r="F25" s="5"/>
      <c r="G25" s="14" t="s">
        <v>21</v>
      </c>
      <c r="H25" s="43"/>
      <c r="I25" s="53">
        <f>$E$12</f>
        <v>1626.3314526672107</v>
      </c>
      <c r="J25" s="43"/>
      <c r="K25" s="53">
        <f>J12</f>
        <v>7227</v>
      </c>
      <c r="L25" s="55">
        <f>L24</f>
        <v>0.05</v>
      </c>
      <c r="M25" s="56">
        <f>I25*K25*L25</f>
        <v>587674.87042129657</v>
      </c>
      <c r="N25" s="56">
        <f>M25/1000</f>
        <v>587.67487042129653</v>
      </c>
      <c r="O25" s="57">
        <f t="shared" ref="O25:O27" si="0">M25/$E$14</f>
        <v>1.0752572936453662</v>
      </c>
      <c r="P25" s="58">
        <f>K25*I25</f>
        <v>11753497.408425931</v>
      </c>
      <c r="Q25" s="5"/>
      <c r="R25" s="59"/>
      <c r="S25" s="60"/>
    </row>
    <row r="26" spans="3:19" s="4" customFormat="1" ht="18.75" customHeight="1" x14ac:dyDescent="0.45">
      <c r="C26" s="14" t="s">
        <v>53</v>
      </c>
      <c r="D26" s="5" t="s">
        <v>58</v>
      </c>
      <c r="E26" s="52">
        <f>O39</f>
        <v>0.26797011442302271</v>
      </c>
      <c r="F26" s="5"/>
      <c r="G26" s="62" t="str">
        <f>G$16</f>
        <v>MBR / RO System</v>
      </c>
      <c r="H26" s="53">
        <f>$E$11</f>
        <v>87489.941254489444</v>
      </c>
      <c r="I26" s="43"/>
      <c r="J26" s="63">
        <f>J17</f>
        <v>0</v>
      </c>
      <c r="K26" s="64"/>
      <c r="L26" s="65">
        <f>L25</f>
        <v>0.05</v>
      </c>
      <c r="M26" s="66">
        <f>(H26)*J26*L26</f>
        <v>0</v>
      </c>
      <c r="N26" s="66">
        <f>M26/1000</f>
        <v>0</v>
      </c>
      <c r="O26" s="67">
        <f t="shared" si="0"/>
        <v>0</v>
      </c>
      <c r="Q26" s="5"/>
      <c r="R26" s="59"/>
      <c r="S26" s="60"/>
    </row>
    <row r="27" spans="3:19" s="4" customFormat="1" ht="18.75" customHeight="1" x14ac:dyDescent="0.45">
      <c r="C27" s="68" t="s">
        <v>67</v>
      </c>
      <c r="D27" s="5" t="s">
        <v>58</v>
      </c>
      <c r="E27" s="61">
        <v>0.25</v>
      </c>
      <c r="F27" s="5"/>
      <c r="G27" s="69" t="s">
        <v>68</v>
      </c>
      <c r="H27" s="70"/>
      <c r="I27" s="70"/>
      <c r="J27" s="6"/>
      <c r="K27" s="6"/>
      <c r="L27" s="6"/>
      <c r="M27" s="71">
        <f>SUM(M24:M26)</f>
        <v>600798.36160946998</v>
      </c>
      <c r="N27" s="71">
        <f>M27/1000</f>
        <v>600.79836160947002</v>
      </c>
      <c r="O27" s="72">
        <f t="shared" si="0"/>
        <v>1.0992690905221973</v>
      </c>
      <c r="Q27" s="5"/>
      <c r="R27" s="59"/>
      <c r="S27" s="60"/>
    </row>
    <row r="28" spans="3:19" s="4" customFormat="1" ht="18.75" customHeight="1" x14ac:dyDescent="0.45">
      <c r="C28" s="68" t="str">
        <f>$G$43</f>
        <v>Liquid Digestate</v>
      </c>
      <c r="D28" s="5" t="s">
        <v>58</v>
      </c>
      <c r="E28" s="52">
        <f>O43</f>
        <v>0.37167929043036874</v>
      </c>
      <c r="F28" s="5"/>
      <c r="Q28" s="5"/>
      <c r="R28" s="59"/>
      <c r="S28" s="60"/>
    </row>
    <row r="29" spans="3:19" s="4" customFormat="1" ht="18.75" customHeight="1" x14ac:dyDescent="0.45">
      <c r="C29" s="68" t="str">
        <f>$G$44</f>
        <v>Solid Digestate</v>
      </c>
      <c r="D29" s="5" t="s">
        <v>58</v>
      </c>
      <c r="E29" s="52">
        <f>O44</f>
        <v>1.2308764223855002</v>
      </c>
      <c r="F29" s="5"/>
      <c r="G29" s="6" t="s">
        <v>32</v>
      </c>
      <c r="H29" s="5" t="s">
        <v>31</v>
      </c>
      <c r="I29" s="5" t="s">
        <v>34</v>
      </c>
      <c r="J29" s="5" t="s">
        <v>69</v>
      </c>
      <c r="K29" s="5" t="s">
        <v>70</v>
      </c>
      <c r="L29" s="5" t="s">
        <v>58</v>
      </c>
      <c r="M29" s="5" t="s">
        <v>62</v>
      </c>
      <c r="N29" s="5" t="s">
        <v>63</v>
      </c>
      <c r="O29" s="5" t="s">
        <v>64</v>
      </c>
      <c r="Q29" s="5"/>
      <c r="R29" s="59"/>
      <c r="S29" s="60"/>
    </row>
    <row r="30" spans="3:19" s="4" customFormat="1" ht="18.75" customHeight="1" x14ac:dyDescent="0.45">
      <c r="C30" s="68" t="s">
        <v>37</v>
      </c>
      <c r="D30" s="5" t="s">
        <v>58</v>
      </c>
      <c r="E30" s="73">
        <f>$L$51</f>
        <v>0.1</v>
      </c>
      <c r="F30" s="5"/>
      <c r="G30" s="14" t="s">
        <v>11</v>
      </c>
      <c r="H30" s="53">
        <f t="shared" ref="H30:H32" si="1">H24</f>
        <v>87489.941254489444</v>
      </c>
      <c r="I30" s="43"/>
      <c r="J30" s="74">
        <f>J8</f>
        <v>0.15674227642276423</v>
      </c>
      <c r="K30" s="43"/>
      <c r="L30" s="55">
        <f>$E$18</f>
        <v>4.5</v>
      </c>
      <c r="M30" s="56">
        <f>H30*J30*L30</f>
        <v>61710.176503451643</v>
      </c>
      <c r="N30" s="56">
        <f>M30/1000</f>
        <v>61.710176503451642</v>
      </c>
      <c r="O30" s="57">
        <f t="shared" ref="O30:O33" si="2">M30/$E$14</f>
        <v>0.1129099111042654</v>
      </c>
      <c r="P30" s="4">
        <f>150/250</f>
        <v>0.6</v>
      </c>
      <c r="Q30" s="5">
        <f>P30*65</f>
        <v>39</v>
      </c>
      <c r="R30" s="51"/>
      <c r="S30" s="60"/>
    </row>
    <row r="31" spans="3:19" s="4" customFormat="1" ht="18.75" customHeight="1" x14ac:dyDescent="0.45">
      <c r="C31" s="75" t="s">
        <v>68</v>
      </c>
      <c r="D31" s="76" t="s">
        <v>58</v>
      </c>
      <c r="E31" s="77">
        <f>SUM(E24:E30)</f>
        <v>3.3197949177610888</v>
      </c>
      <c r="F31" s="5"/>
      <c r="G31" s="14" t="s">
        <v>21</v>
      </c>
      <c r="H31" s="43"/>
      <c r="I31" s="53">
        <f>$E$12</f>
        <v>1626.3314526672107</v>
      </c>
      <c r="J31" s="43"/>
      <c r="K31" s="53">
        <f>J13</f>
        <v>2</v>
      </c>
      <c r="L31" s="55">
        <f>L30</f>
        <v>4.5</v>
      </c>
      <c r="M31" s="56">
        <f>I31*K31*L31</f>
        <v>14636.983074004896</v>
      </c>
      <c r="N31" s="56">
        <f>M31/1000</f>
        <v>14.636983074004897</v>
      </c>
      <c r="O31" s="57">
        <f t="shared" si="2"/>
        <v>2.6781003577717715E-2</v>
      </c>
      <c r="Q31" s="5"/>
      <c r="R31" s="52"/>
      <c r="S31" s="60"/>
    </row>
    <row r="32" spans="3:19" s="4" customFormat="1" ht="18.75" customHeight="1" x14ac:dyDescent="0.45">
      <c r="E32" s="52"/>
      <c r="F32" s="5"/>
      <c r="G32" s="62" t="str">
        <f>G$16</f>
        <v>MBR / RO System</v>
      </c>
      <c r="H32" s="78">
        <f t="shared" si="1"/>
        <v>87489.941254489444</v>
      </c>
      <c r="I32" s="43"/>
      <c r="J32" s="78">
        <f>J18</f>
        <v>0</v>
      </c>
      <c r="K32" s="64"/>
      <c r="L32" s="65">
        <f>L31</f>
        <v>4.5</v>
      </c>
      <c r="M32" s="66">
        <f>H32*J32*L32*365</f>
        <v>0</v>
      </c>
      <c r="N32" s="66">
        <f>M32/1000</f>
        <v>0</v>
      </c>
      <c r="O32" s="67">
        <f t="shared" si="2"/>
        <v>0</v>
      </c>
      <c r="Q32" s="5"/>
      <c r="R32" s="52"/>
      <c r="S32" s="60"/>
    </row>
    <row r="33" spans="3:261" s="4" customFormat="1" ht="18.75" customHeight="1" x14ac:dyDescent="0.45">
      <c r="F33" s="5"/>
      <c r="G33" s="69" t="s">
        <v>68</v>
      </c>
      <c r="H33" s="6"/>
      <c r="I33" s="70"/>
      <c r="J33" s="6"/>
      <c r="K33" s="6"/>
      <c r="L33" s="6"/>
      <c r="M33" s="71">
        <f>SUM(M30:M32)</f>
        <v>76347.159577456536</v>
      </c>
      <c r="N33" s="71">
        <f>M33/1000</f>
        <v>76.347159577456537</v>
      </c>
      <c r="O33" s="72">
        <f t="shared" si="2"/>
        <v>0.13969091468198311</v>
      </c>
      <c r="Q33" s="5"/>
      <c r="R33" s="52"/>
      <c r="S33" s="60"/>
    </row>
    <row r="34" spans="3:261" s="4" customFormat="1" ht="18.75" customHeight="1" x14ac:dyDescent="0.45">
      <c r="C34" s="7" t="s">
        <v>7</v>
      </c>
      <c r="D34" s="7" t="s">
        <v>5</v>
      </c>
      <c r="E34" s="7" t="s">
        <v>8</v>
      </c>
      <c r="F34" s="5"/>
      <c r="Q34" s="5"/>
      <c r="R34" s="52"/>
      <c r="S34" s="60"/>
    </row>
    <row r="35" spans="3:261" s="4" customFormat="1" ht="18.75" customHeight="1" x14ac:dyDescent="0.45">
      <c r="C35" s="14" t="s">
        <v>11</v>
      </c>
      <c r="D35" s="5" t="s">
        <v>58</v>
      </c>
      <c r="E35" s="52">
        <f>SUM(M24,M30,M36)/$E$14</f>
        <v>0.13708178662694195</v>
      </c>
      <c r="F35" s="5"/>
      <c r="G35" s="6" t="s">
        <v>53</v>
      </c>
      <c r="H35" s="5" t="s">
        <v>31</v>
      </c>
      <c r="I35" s="5" t="s">
        <v>34</v>
      </c>
      <c r="J35" s="5" t="s">
        <v>71</v>
      </c>
      <c r="K35" s="5" t="s">
        <v>72</v>
      </c>
      <c r="L35" s="79" t="s">
        <v>73</v>
      </c>
      <c r="M35" s="5" t="s">
        <v>62</v>
      </c>
      <c r="N35" s="5" t="s">
        <v>63</v>
      </c>
      <c r="O35" s="5" t="s">
        <v>64</v>
      </c>
      <c r="Q35" s="5"/>
      <c r="R35" s="52"/>
      <c r="S35" s="60"/>
    </row>
    <row r="36" spans="3:261" s="4" customFormat="1" ht="18.75" customHeight="1" x14ac:dyDescent="0.45">
      <c r="C36" s="14" t="s">
        <v>21</v>
      </c>
      <c r="D36" s="5" t="s">
        <v>58</v>
      </c>
      <c r="E36" s="52">
        <f>SUM(M25,M31,M37)/$E$14</f>
        <v>1.3698483330002611</v>
      </c>
      <c r="F36" s="5"/>
      <c r="G36" s="14" t="s">
        <v>11</v>
      </c>
      <c r="H36" s="53">
        <f t="shared" ref="H36:I38" si="3">H30</f>
        <v>87489.941254489444</v>
      </c>
      <c r="I36" s="43"/>
      <c r="J36" s="74">
        <f>J9</f>
        <v>1E-3</v>
      </c>
      <c r="K36" s="43"/>
      <c r="L36" s="80"/>
      <c r="M36" s="56">
        <f>H36*J36</f>
        <v>87.489941254489452</v>
      </c>
      <c r="N36" s="56">
        <f>M36/1000</f>
        <v>8.7489941254489445E-2</v>
      </c>
      <c r="O36" s="57">
        <f t="shared" ref="O36:O38" si="4">M36/$E$14</f>
        <v>1.600786458455401E-4</v>
      </c>
      <c r="Q36" s="5"/>
      <c r="R36" s="52"/>
      <c r="S36" s="60"/>
    </row>
    <row r="37" spans="3:261" s="4" customFormat="1" ht="18.75" customHeight="1" x14ac:dyDescent="0.45">
      <c r="C37" s="68" t="s">
        <v>74</v>
      </c>
      <c r="D37" s="5" t="s">
        <v>58</v>
      </c>
      <c r="E37" s="52">
        <f>E27</f>
        <v>0.25</v>
      </c>
      <c r="F37" s="5"/>
      <c r="G37" s="14" t="s">
        <v>21</v>
      </c>
      <c r="H37" s="43"/>
      <c r="I37" s="53">
        <f t="shared" si="3"/>
        <v>1626.3314526672107</v>
      </c>
      <c r="J37" s="43"/>
      <c r="K37" s="53">
        <f>J14</f>
        <v>90</v>
      </c>
      <c r="L37" s="80"/>
      <c r="M37" s="56">
        <f>I37*K37</f>
        <v>146369.83074004896</v>
      </c>
      <c r="N37" s="56">
        <f>M37/1000</f>
        <v>146.36983074004897</v>
      </c>
      <c r="O37" s="57">
        <f t="shared" si="4"/>
        <v>0.26781003577717716</v>
      </c>
      <c r="Q37" s="5"/>
      <c r="R37" s="51"/>
      <c r="S37" s="60"/>
    </row>
    <row r="38" spans="3:261" s="4" customFormat="1" ht="18.75" customHeight="1" x14ac:dyDescent="0.45">
      <c r="C38" s="14" t="str">
        <f>+G16</f>
        <v>MBR / RO System</v>
      </c>
      <c r="D38" s="5" t="s">
        <v>58</v>
      </c>
      <c r="E38" s="52">
        <f>O26+O32+O38</f>
        <v>0</v>
      </c>
      <c r="F38" s="5"/>
      <c r="G38" s="62" t="str">
        <f>G$16</f>
        <v>MBR / RO System</v>
      </c>
      <c r="H38" s="78">
        <f t="shared" si="3"/>
        <v>87489.941254489444</v>
      </c>
      <c r="I38" s="43"/>
      <c r="J38" s="81">
        <f>J19</f>
        <v>0</v>
      </c>
      <c r="K38" s="64"/>
      <c r="L38" s="82"/>
      <c r="M38" s="66">
        <f>H38*J38</f>
        <v>0</v>
      </c>
      <c r="N38" s="66">
        <f>M38/1000</f>
        <v>0</v>
      </c>
      <c r="O38" s="67">
        <f t="shared" si="4"/>
        <v>0</v>
      </c>
      <c r="Q38" s="5"/>
      <c r="R38" s="59"/>
      <c r="S38" s="60"/>
    </row>
    <row r="39" spans="3:261" s="4" customFormat="1" ht="18.75" customHeight="1" x14ac:dyDescent="0.45">
      <c r="C39" s="68" t="str">
        <f>$G$43</f>
        <v>Liquid Digestate</v>
      </c>
      <c r="D39" s="5" t="s">
        <v>58</v>
      </c>
      <c r="E39" s="52">
        <f>O43</f>
        <v>0.37167929043036874</v>
      </c>
      <c r="F39" s="5"/>
      <c r="G39" s="69" t="s">
        <v>68</v>
      </c>
      <c r="H39" s="6"/>
      <c r="I39" s="70"/>
      <c r="J39" s="6"/>
      <c r="K39" s="6"/>
      <c r="L39" s="6"/>
      <c r="M39" s="71">
        <f>SUM(M36:M38)</f>
        <v>146457.32068130345</v>
      </c>
      <c r="N39" s="71">
        <f>M39/1000</f>
        <v>146.45732068130346</v>
      </c>
      <c r="O39" s="72">
        <f>M39/$E$14</f>
        <v>0.26797011442302271</v>
      </c>
      <c r="Q39" s="5"/>
      <c r="R39" s="59"/>
      <c r="S39" s="60"/>
    </row>
    <row r="40" spans="3:261" s="4" customFormat="1" ht="18.75" customHeight="1" x14ac:dyDescent="0.45">
      <c r="C40" s="68" t="str">
        <f>$G$44</f>
        <v>Solid Digestate</v>
      </c>
      <c r="D40" s="5" t="s">
        <v>58</v>
      </c>
      <c r="E40" s="52">
        <f>O44</f>
        <v>1.2308764223855002</v>
      </c>
      <c r="F40" s="5"/>
      <c r="Q40" s="5"/>
      <c r="R40" s="59"/>
      <c r="S40" s="60"/>
    </row>
    <row r="41" spans="3:261" ht="18.5" x14ac:dyDescent="0.45">
      <c r="C41" s="68" t="s">
        <v>37</v>
      </c>
      <c r="D41" s="5" t="s">
        <v>58</v>
      </c>
      <c r="E41" s="52">
        <f>$L$51</f>
        <v>0.1</v>
      </c>
      <c r="Q41" s="5"/>
      <c r="R41" s="59"/>
      <c r="S41" s="60"/>
    </row>
    <row r="42" spans="3:261" ht="18.5" x14ac:dyDescent="0.45">
      <c r="C42" s="75" t="s">
        <v>68</v>
      </c>
      <c r="D42" s="76" t="s">
        <v>58</v>
      </c>
      <c r="E42" s="77">
        <f>SUM(E35:E41)</f>
        <v>3.4594858324430722</v>
      </c>
      <c r="G42" s="1" t="s">
        <v>75</v>
      </c>
      <c r="H42" s="50"/>
      <c r="I42" s="50" t="s">
        <v>76</v>
      </c>
      <c r="J42" s="50" t="s">
        <v>77</v>
      </c>
      <c r="K42" s="50" t="s">
        <v>78</v>
      </c>
      <c r="L42" s="50" t="s">
        <v>79</v>
      </c>
      <c r="M42" s="50" t="s">
        <v>5</v>
      </c>
      <c r="N42" s="50" t="s">
        <v>62</v>
      </c>
      <c r="O42" s="50" t="s">
        <v>58</v>
      </c>
      <c r="P42" s="59"/>
      <c r="Q42" s="60"/>
    </row>
    <row r="43" spans="3:261" ht="18.5" x14ac:dyDescent="0.45">
      <c r="G43" s="14" t="s">
        <v>80</v>
      </c>
      <c r="H43" s="83">
        <f>[1]Summary!$E$60</f>
        <v>0</v>
      </c>
      <c r="I43" s="84">
        <v>29019842.192032907</v>
      </c>
      <c r="J43" s="43"/>
      <c r="K43" s="85">
        <v>29019842.192032907</v>
      </c>
      <c r="L43" s="86">
        <v>7.0000000000000001E-3</v>
      </c>
      <c r="M43" s="87" t="s">
        <v>81</v>
      </c>
      <c r="N43" s="88">
        <f>IFERROR(L43*K43,0)</f>
        <v>203138.89534423035</v>
      </c>
      <c r="O43" s="89">
        <f>N43/$E$14</f>
        <v>0.37167929043036874</v>
      </c>
      <c r="P43" s="59"/>
      <c r="Q43" s="60"/>
    </row>
    <row r="44" spans="3:261" ht="18.5" x14ac:dyDescent="0.45">
      <c r="C44" s="7" t="s">
        <v>7</v>
      </c>
      <c r="D44" s="7" t="s">
        <v>5</v>
      </c>
      <c r="E44" s="7" t="s">
        <v>8</v>
      </c>
      <c r="G44" s="14" t="s">
        <v>82</v>
      </c>
      <c r="H44" s="83">
        <f>[1]Summary!$E$61</f>
        <v>1</v>
      </c>
      <c r="I44" s="43"/>
      <c r="J44" s="84">
        <v>67272.749164778026</v>
      </c>
      <c r="K44" s="85">
        <v>67272.749164778026</v>
      </c>
      <c r="L44" s="86">
        <v>10</v>
      </c>
      <c r="M44" s="87" t="s">
        <v>83</v>
      </c>
      <c r="N44" s="88">
        <f>IFERROR(L44*K44,0)</f>
        <v>672727.49164778029</v>
      </c>
      <c r="O44" s="89">
        <f>N44/$E$14</f>
        <v>1.2308764223855002</v>
      </c>
      <c r="P44" s="4"/>
      <c r="Q44"/>
    </row>
    <row r="45" spans="3:261" ht="18.5" x14ac:dyDescent="0.45">
      <c r="C45" s="14" t="s">
        <v>12</v>
      </c>
      <c r="D45" s="5" t="s">
        <v>62</v>
      </c>
      <c r="E45" s="90">
        <f>E$14*E24</f>
        <v>600798.3616094701</v>
      </c>
      <c r="G45" s="91" t="s">
        <v>68</v>
      </c>
      <c r="H45" s="91"/>
      <c r="I45" s="91"/>
      <c r="J45" s="91"/>
      <c r="K45" s="91"/>
      <c r="L45" s="91"/>
      <c r="M45" s="91"/>
      <c r="N45" s="92">
        <f>SUM(N43:N44)</f>
        <v>875866.38699201064</v>
      </c>
      <c r="O45" s="93">
        <f>SUM(O43:O44)</f>
        <v>1.6025557128158689</v>
      </c>
      <c r="Q45"/>
    </row>
    <row r="46" spans="3:261" ht="18.5" x14ac:dyDescent="0.45">
      <c r="C46" s="14" t="s">
        <v>32</v>
      </c>
      <c r="D46" s="5" t="s">
        <v>62</v>
      </c>
      <c r="E46" s="90">
        <f>E$14*E25</f>
        <v>0</v>
      </c>
      <c r="P46" s="94"/>
      <c r="Q46"/>
    </row>
    <row r="47" spans="3:261" ht="18.5" x14ac:dyDescent="0.45">
      <c r="C47" s="14" t="s">
        <v>53</v>
      </c>
      <c r="D47" s="5" t="s">
        <v>62</v>
      </c>
      <c r="E47" s="90">
        <f>E$14*E26</f>
        <v>146457.32068130345</v>
      </c>
      <c r="S47" s="95"/>
      <c r="T47" s="95"/>
      <c r="U47" s="95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6"/>
      <c r="BP47" s="96"/>
      <c r="BQ47" s="96"/>
      <c r="BR47" s="96"/>
      <c r="BS47" s="96"/>
      <c r="BT47" s="96"/>
      <c r="BU47" s="96"/>
      <c r="BV47" s="96"/>
      <c r="BW47" s="96"/>
      <c r="BX47" s="96"/>
      <c r="BY47" s="96"/>
      <c r="BZ47" s="96"/>
      <c r="CA47" s="96"/>
      <c r="CB47" s="96"/>
      <c r="CC47" s="96"/>
      <c r="CD47" s="96"/>
      <c r="CE47" s="96"/>
      <c r="CF47" s="96"/>
      <c r="CG47" s="96"/>
      <c r="CH47" s="96"/>
      <c r="CI47" s="96"/>
      <c r="CJ47" s="96"/>
      <c r="CK47" s="96"/>
      <c r="CL47" s="96"/>
      <c r="CM47" s="96"/>
      <c r="CN47" s="96"/>
      <c r="CO47" s="96"/>
      <c r="CP47" s="96"/>
      <c r="CQ47" s="96"/>
      <c r="CR47" s="96"/>
      <c r="CS47" s="96"/>
      <c r="CT47" s="96"/>
      <c r="CU47" s="96"/>
      <c r="CV47" s="96"/>
      <c r="CW47" s="96"/>
      <c r="CX47" s="96"/>
      <c r="CY47" s="96"/>
      <c r="CZ47" s="96"/>
      <c r="DA47" s="96"/>
      <c r="DB47" s="96"/>
      <c r="DC47" s="96"/>
      <c r="DD47" s="96"/>
      <c r="DE47" s="96"/>
      <c r="DF47" s="96"/>
      <c r="DG47" s="96"/>
      <c r="DH47" s="96"/>
      <c r="DI47" s="96"/>
      <c r="DJ47" s="96"/>
      <c r="DK47" s="96"/>
      <c r="DL47" s="96"/>
      <c r="DM47" s="96"/>
      <c r="DN47" s="96"/>
      <c r="DO47" s="96"/>
      <c r="DP47" s="96"/>
      <c r="DQ47" s="96"/>
      <c r="DR47" s="96"/>
      <c r="DS47" s="96"/>
      <c r="DT47" s="96"/>
      <c r="DU47" s="96"/>
      <c r="DV47" s="96"/>
      <c r="DW47" s="96"/>
      <c r="DX47" s="96"/>
      <c r="DY47" s="96"/>
      <c r="DZ47" s="96"/>
      <c r="EA47" s="96"/>
      <c r="EB47" s="96"/>
      <c r="EC47" s="96"/>
      <c r="ED47" s="96"/>
      <c r="EE47" s="96"/>
      <c r="EF47" s="96"/>
      <c r="EG47" s="96"/>
      <c r="EH47" s="96"/>
      <c r="EI47" s="96"/>
      <c r="EJ47" s="96"/>
      <c r="EK47" s="96"/>
      <c r="EL47" s="96"/>
      <c r="EM47" s="96"/>
      <c r="EN47" s="96"/>
      <c r="EO47" s="96"/>
      <c r="EP47" s="96"/>
      <c r="EQ47" s="96"/>
      <c r="ER47" s="96"/>
      <c r="ES47" s="96"/>
      <c r="ET47" s="96"/>
      <c r="EU47" s="96"/>
      <c r="EV47" s="96"/>
      <c r="EW47" s="96"/>
      <c r="EX47" s="96"/>
      <c r="EY47" s="96"/>
      <c r="EZ47" s="96"/>
      <c r="FA47" s="96"/>
      <c r="FB47" s="96"/>
      <c r="FC47" s="96"/>
      <c r="FD47" s="96"/>
      <c r="FE47" s="96"/>
      <c r="FF47" s="96"/>
      <c r="FG47" s="96"/>
      <c r="FH47" s="96"/>
      <c r="FI47" s="96"/>
      <c r="FJ47" s="96"/>
      <c r="FK47" s="96"/>
      <c r="FL47" s="96"/>
      <c r="FM47" s="96"/>
      <c r="FN47" s="96"/>
      <c r="FO47" s="96"/>
      <c r="FP47" s="96"/>
      <c r="FQ47" s="96"/>
      <c r="FR47" s="96"/>
      <c r="FS47" s="96"/>
      <c r="FT47" s="96"/>
      <c r="FU47" s="96"/>
      <c r="FV47" s="96"/>
      <c r="FW47" s="96"/>
      <c r="FX47" s="96"/>
      <c r="FY47" s="96"/>
      <c r="FZ47" s="96"/>
      <c r="GA47" s="96"/>
      <c r="GB47" s="96"/>
      <c r="GC47" s="96"/>
      <c r="GD47" s="96"/>
      <c r="GE47" s="96"/>
      <c r="GF47" s="96"/>
      <c r="GG47" s="96"/>
      <c r="GH47" s="96"/>
      <c r="GI47" s="96"/>
      <c r="GJ47" s="96"/>
      <c r="GK47" s="96"/>
      <c r="GL47" s="96"/>
      <c r="GM47" s="96"/>
      <c r="GN47" s="96"/>
      <c r="GO47" s="96"/>
      <c r="GP47" s="96"/>
      <c r="GQ47" s="96"/>
      <c r="GR47" s="96"/>
      <c r="GS47" s="96"/>
      <c r="GT47" s="96"/>
      <c r="GU47" s="96"/>
      <c r="GV47" s="96"/>
      <c r="GW47" s="96"/>
      <c r="GX47" s="96"/>
      <c r="GY47" s="96"/>
      <c r="GZ47" s="96"/>
      <c r="HA47" s="96"/>
      <c r="HB47" s="96"/>
      <c r="HC47" s="96"/>
      <c r="HD47" s="96"/>
      <c r="HE47" s="96"/>
      <c r="HF47" s="96"/>
      <c r="HG47" s="96"/>
      <c r="HH47" s="96"/>
      <c r="HI47" s="96"/>
      <c r="HJ47" s="96"/>
      <c r="HK47" s="96"/>
      <c r="HL47" s="96"/>
      <c r="HM47" s="96"/>
      <c r="HN47" s="96"/>
      <c r="HO47" s="96"/>
      <c r="HP47" s="96"/>
      <c r="HQ47" s="96"/>
      <c r="HR47" s="96"/>
      <c r="HS47" s="96"/>
      <c r="HT47" s="96"/>
      <c r="HU47" s="96"/>
      <c r="HV47" s="96"/>
      <c r="HW47" s="96"/>
      <c r="HX47" s="96"/>
      <c r="HY47" s="96"/>
      <c r="HZ47" s="96"/>
      <c r="IA47" s="96"/>
      <c r="IB47" s="96"/>
      <c r="IC47" s="96"/>
      <c r="ID47" s="96"/>
      <c r="IE47" s="96"/>
      <c r="IF47" s="96"/>
      <c r="IG47" s="96"/>
      <c r="IH47" s="96"/>
      <c r="II47" s="96"/>
      <c r="IJ47" s="96"/>
      <c r="IK47" s="96"/>
      <c r="IL47" s="96"/>
      <c r="IM47" s="96"/>
      <c r="IN47" s="96"/>
      <c r="IO47" s="96"/>
      <c r="IP47" s="96"/>
      <c r="IQ47" s="96"/>
      <c r="IR47" s="96"/>
      <c r="IS47" s="96"/>
      <c r="IT47" s="96"/>
      <c r="IU47" s="96"/>
      <c r="IV47" s="96"/>
      <c r="IW47" s="96"/>
      <c r="IX47" s="96"/>
      <c r="IY47" s="96"/>
      <c r="IZ47" s="96"/>
      <c r="JA47" s="96"/>
    </row>
    <row r="48" spans="3:261" ht="18.5" x14ac:dyDescent="0.45">
      <c r="C48" s="68" t="s">
        <v>67</v>
      </c>
      <c r="D48" s="5" t="s">
        <v>62</v>
      </c>
      <c r="E48" s="90">
        <f>E$14*E27</f>
        <v>136635.87168726505</v>
      </c>
      <c r="G48" s="1" t="s">
        <v>84</v>
      </c>
      <c r="H48" s="50"/>
      <c r="I48" s="50" t="s">
        <v>76</v>
      </c>
      <c r="J48" s="50" t="s">
        <v>85</v>
      </c>
      <c r="K48" s="50" t="s">
        <v>86</v>
      </c>
      <c r="L48" s="50" t="s">
        <v>58</v>
      </c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5"/>
      <c r="CB48" s="95"/>
      <c r="CC48" s="95"/>
      <c r="CD48" s="95"/>
      <c r="CE48" s="95"/>
      <c r="CF48" s="95"/>
      <c r="CG48" s="95"/>
      <c r="CH48" s="95"/>
      <c r="CI48" s="95"/>
      <c r="CJ48" s="95"/>
      <c r="CK48" s="95"/>
      <c r="CL48" s="95"/>
      <c r="CM48" s="95"/>
      <c r="CN48" s="95"/>
      <c r="CO48" s="95"/>
      <c r="CP48" s="95"/>
      <c r="CQ48" s="95"/>
      <c r="CR48" s="95"/>
      <c r="CS48" s="95"/>
      <c r="CT48" s="95"/>
      <c r="CU48" s="95"/>
      <c r="CV48" s="95"/>
      <c r="CW48" s="95"/>
      <c r="CX48" s="95"/>
      <c r="CY48" s="95"/>
      <c r="CZ48" s="95"/>
      <c r="DA48" s="95"/>
      <c r="DB48" s="95"/>
      <c r="DC48" s="95"/>
      <c r="DD48" s="95"/>
      <c r="DE48" s="95"/>
      <c r="DF48" s="95"/>
      <c r="DG48" s="95"/>
      <c r="DH48" s="95"/>
      <c r="DI48" s="95"/>
      <c r="DJ48" s="95"/>
      <c r="DK48" s="95"/>
      <c r="DL48" s="95"/>
      <c r="DM48" s="95"/>
      <c r="DN48" s="95"/>
      <c r="DO48" s="95"/>
      <c r="DP48" s="95"/>
      <c r="DQ48" s="95"/>
      <c r="DR48" s="95"/>
      <c r="DS48" s="95"/>
      <c r="DT48" s="95"/>
      <c r="DU48" s="95"/>
      <c r="DV48" s="95"/>
      <c r="DW48" s="95"/>
      <c r="DX48" s="95"/>
      <c r="DY48" s="95"/>
      <c r="DZ48" s="95"/>
      <c r="EA48" s="95"/>
      <c r="EB48" s="95"/>
      <c r="EC48" s="95"/>
      <c r="ED48" s="95"/>
      <c r="EE48" s="95"/>
      <c r="EF48" s="95"/>
      <c r="EG48" s="95"/>
      <c r="EH48" s="95"/>
      <c r="EI48" s="95"/>
      <c r="EJ48" s="95"/>
      <c r="EK48" s="95"/>
      <c r="EL48" s="95"/>
      <c r="EM48" s="95"/>
      <c r="EN48" s="95"/>
      <c r="EO48" s="95"/>
      <c r="EP48" s="95"/>
      <c r="EQ48" s="95"/>
      <c r="ER48" s="95"/>
      <c r="ES48" s="95"/>
      <c r="ET48" s="95"/>
      <c r="EU48" s="95"/>
      <c r="EV48" s="95"/>
      <c r="EW48" s="95"/>
      <c r="EX48" s="95"/>
      <c r="EY48" s="95"/>
      <c r="EZ48" s="95"/>
      <c r="FA48" s="95"/>
      <c r="FB48" s="95"/>
      <c r="FC48" s="95"/>
      <c r="FD48" s="95"/>
      <c r="FE48" s="95"/>
      <c r="FF48" s="95"/>
      <c r="FG48" s="95"/>
      <c r="FH48" s="95"/>
      <c r="FI48" s="95"/>
      <c r="FJ48" s="95"/>
      <c r="FK48" s="95"/>
      <c r="FL48" s="95"/>
      <c r="FM48" s="95"/>
      <c r="FN48" s="95"/>
      <c r="FO48" s="95"/>
      <c r="FP48" s="95"/>
      <c r="FQ48" s="95"/>
      <c r="FR48" s="95"/>
      <c r="FS48" s="95"/>
      <c r="FT48" s="95"/>
      <c r="FU48" s="95"/>
      <c r="FV48" s="95"/>
      <c r="FW48" s="95"/>
      <c r="FX48" s="95"/>
      <c r="FY48" s="95"/>
      <c r="FZ48" s="95"/>
      <c r="GA48" s="95"/>
      <c r="GB48" s="95"/>
      <c r="GC48" s="95"/>
      <c r="GD48" s="95"/>
      <c r="GE48" s="95"/>
      <c r="GF48" s="95"/>
      <c r="GG48" s="95"/>
      <c r="GH48" s="95"/>
      <c r="GI48" s="95"/>
      <c r="GJ48" s="95"/>
      <c r="GK48" s="95"/>
      <c r="GL48" s="95"/>
      <c r="GM48" s="95"/>
      <c r="GN48" s="95"/>
      <c r="GO48" s="95"/>
      <c r="GP48" s="95"/>
      <c r="GQ48" s="95"/>
      <c r="GR48" s="95"/>
      <c r="GS48" s="95"/>
      <c r="GT48" s="95"/>
      <c r="GU48" s="95"/>
      <c r="GV48" s="95"/>
      <c r="GW48" s="95"/>
      <c r="GX48" s="95"/>
      <c r="GY48" s="95"/>
      <c r="GZ48" s="95"/>
      <c r="HA48" s="95"/>
      <c r="HB48" s="95"/>
      <c r="HC48" s="95"/>
      <c r="HD48" s="95"/>
      <c r="HE48" s="95"/>
      <c r="HF48" s="95"/>
      <c r="HG48" s="95"/>
      <c r="HH48" s="95"/>
      <c r="HI48" s="95"/>
      <c r="HJ48" s="95"/>
      <c r="HK48" s="95"/>
      <c r="HL48" s="95"/>
      <c r="HM48" s="95"/>
      <c r="HN48" s="95"/>
      <c r="HO48" s="95"/>
      <c r="HP48" s="95"/>
      <c r="HQ48" s="95"/>
      <c r="HR48" s="95"/>
      <c r="HS48" s="95"/>
      <c r="HT48" s="95"/>
      <c r="HU48" s="95"/>
      <c r="HV48" s="95"/>
      <c r="HW48" s="95"/>
      <c r="HX48" s="95"/>
      <c r="HY48" s="95"/>
      <c r="HZ48" s="95"/>
      <c r="IA48" s="95"/>
      <c r="IB48" s="95"/>
      <c r="IC48" s="95"/>
      <c r="ID48" s="95"/>
      <c r="IE48" s="95"/>
      <c r="IF48" s="95"/>
      <c r="IG48" s="95"/>
      <c r="IH48" s="95"/>
      <c r="II48" s="95"/>
      <c r="IJ48" s="95"/>
      <c r="IK48" s="95"/>
      <c r="IL48" s="95"/>
      <c r="IM48" s="95"/>
      <c r="IN48" s="95"/>
      <c r="IO48" s="95"/>
      <c r="IP48" s="95"/>
      <c r="IQ48" s="95"/>
      <c r="IR48" s="95"/>
      <c r="IS48" s="95"/>
      <c r="IT48" s="95"/>
      <c r="IU48" s="95"/>
      <c r="IV48" s="95"/>
    </row>
    <row r="49" spans="3:261" ht="18.5" x14ac:dyDescent="0.45">
      <c r="C49" s="68" t="str">
        <f>$G$43</f>
        <v>Liquid Digestate</v>
      </c>
      <c r="D49" s="5" t="s">
        <v>62</v>
      </c>
      <c r="E49" s="90">
        <f>N43</f>
        <v>203138.89534423035</v>
      </c>
      <c r="G49" s="14" t="s">
        <v>87</v>
      </c>
      <c r="H49" s="83">
        <f>[1]Summary!$E$60</f>
        <v>0</v>
      </c>
      <c r="I49" s="84">
        <f>'[1]Liq&amp;BS Mass Balance'!$K$7</f>
        <v>0</v>
      </c>
      <c r="J49" s="97">
        <v>0</v>
      </c>
      <c r="K49" s="30">
        <f>IFERROR(J49*I49,0)</f>
        <v>0</v>
      </c>
      <c r="L49" s="89">
        <f>K49/$E$14</f>
        <v>0</v>
      </c>
      <c r="N49" s="95"/>
      <c r="O49" s="95"/>
      <c r="P49" s="5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</row>
    <row r="50" spans="3:261" ht="18.5" x14ac:dyDescent="0.45">
      <c r="C50" s="68" t="str">
        <f>$G$44</f>
        <v>Solid Digestate</v>
      </c>
      <c r="D50" s="5" t="s">
        <v>62</v>
      </c>
      <c r="E50" s="90">
        <f>N44</f>
        <v>672727.49164778029</v>
      </c>
      <c r="G50" s="14" t="s">
        <v>88</v>
      </c>
      <c r="H50" s="83">
        <f>[1]Summary!$E$61</f>
        <v>1</v>
      </c>
      <c r="I50" s="84">
        <f>'[1]Liq&amp;BS Mass Balance'!K41</f>
        <v>0</v>
      </c>
      <c r="J50" s="99">
        <v>5.0000000000000001E-3</v>
      </c>
      <c r="K50" s="30">
        <f>IFERROR(J50*I50,0)</f>
        <v>0</v>
      </c>
      <c r="L50" s="89">
        <f>K50/$E$14</f>
        <v>0</v>
      </c>
      <c r="N50" s="95"/>
      <c r="O50" s="95"/>
      <c r="P50" s="5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</row>
    <row r="51" spans="3:261" ht="18.5" x14ac:dyDescent="0.45">
      <c r="C51" s="68" t="s">
        <v>37</v>
      </c>
      <c r="D51" s="5" t="s">
        <v>62</v>
      </c>
      <c r="E51" s="90">
        <f>K51</f>
        <v>0</v>
      </c>
      <c r="G51" s="91"/>
      <c r="H51" s="91"/>
      <c r="I51" s="100">
        <f>SUM(I49:I50)</f>
        <v>0</v>
      </c>
      <c r="J51" s="91"/>
      <c r="K51" s="101">
        <f>SUM(K49:K50)</f>
        <v>0</v>
      </c>
      <c r="L51" s="93">
        <v>0.1</v>
      </c>
      <c r="N51" s="102"/>
      <c r="O51" s="103"/>
      <c r="P51" s="103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4"/>
      <c r="BK51" s="104"/>
      <c r="BL51" s="104"/>
      <c r="BM51" s="104"/>
      <c r="BN51" s="104"/>
      <c r="BO51" s="104"/>
      <c r="BP51" s="104"/>
      <c r="BQ51" s="104"/>
      <c r="BR51" s="104"/>
      <c r="BS51" s="104"/>
      <c r="BT51" s="104"/>
      <c r="BU51" s="104"/>
      <c r="BV51" s="104"/>
      <c r="BW51" s="104"/>
      <c r="BX51" s="104"/>
      <c r="BY51" s="104"/>
      <c r="BZ51" s="104"/>
      <c r="CA51" s="104"/>
      <c r="CB51" s="104"/>
      <c r="CC51" s="104"/>
      <c r="CD51" s="104"/>
      <c r="CE51" s="104"/>
      <c r="CF51" s="104"/>
      <c r="CG51" s="104"/>
      <c r="CH51" s="104"/>
      <c r="CI51" s="104"/>
      <c r="CJ51" s="104"/>
      <c r="CK51" s="104"/>
      <c r="CL51" s="104"/>
      <c r="CM51" s="104"/>
      <c r="CN51" s="104"/>
      <c r="CO51" s="104"/>
      <c r="CP51" s="104"/>
      <c r="CQ51" s="104"/>
      <c r="CR51" s="104"/>
      <c r="CS51" s="104"/>
      <c r="CT51" s="104"/>
      <c r="CU51" s="104"/>
      <c r="CV51" s="104"/>
      <c r="CW51" s="104"/>
      <c r="CX51" s="104"/>
      <c r="CY51" s="104"/>
      <c r="CZ51" s="104"/>
      <c r="DA51" s="104"/>
      <c r="DB51" s="104"/>
      <c r="DC51" s="104"/>
      <c r="DD51" s="104"/>
      <c r="DE51" s="104"/>
      <c r="DF51" s="104"/>
      <c r="DG51" s="104"/>
      <c r="DH51" s="104"/>
      <c r="DI51" s="104"/>
      <c r="DJ51" s="104"/>
      <c r="DK51" s="104"/>
      <c r="DL51" s="104"/>
      <c r="DM51" s="104"/>
      <c r="DN51" s="104"/>
      <c r="DO51" s="104"/>
      <c r="DP51" s="104"/>
      <c r="DQ51" s="104"/>
      <c r="DR51" s="104"/>
      <c r="DS51" s="104"/>
      <c r="DT51" s="104"/>
      <c r="DU51" s="104"/>
      <c r="DV51" s="104"/>
      <c r="DW51" s="104"/>
      <c r="DX51" s="104"/>
      <c r="DY51" s="104"/>
      <c r="DZ51" s="104"/>
      <c r="EA51" s="104"/>
      <c r="EB51" s="104"/>
      <c r="EC51" s="104"/>
      <c r="ED51" s="104"/>
      <c r="EE51" s="104"/>
      <c r="EF51" s="104"/>
      <c r="EG51" s="104"/>
      <c r="EH51" s="104"/>
      <c r="EI51" s="104"/>
      <c r="EJ51" s="104"/>
      <c r="EK51" s="104"/>
      <c r="EL51" s="104"/>
      <c r="EM51" s="104"/>
      <c r="EN51" s="104"/>
      <c r="EO51" s="104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4"/>
      <c r="FO51" s="104"/>
      <c r="FP51" s="104"/>
      <c r="FQ51" s="104"/>
      <c r="FR51" s="104"/>
      <c r="FS51" s="104"/>
      <c r="FT51" s="104"/>
      <c r="FU51" s="104"/>
      <c r="FV51" s="104"/>
      <c r="FW51" s="104"/>
      <c r="FX51" s="104"/>
      <c r="FY51" s="104"/>
      <c r="FZ51" s="104"/>
      <c r="GA51" s="104"/>
      <c r="GB51" s="104"/>
      <c r="GC51" s="104"/>
      <c r="GD51" s="104"/>
      <c r="GE51" s="104"/>
      <c r="GF51" s="104"/>
      <c r="GG51" s="104"/>
      <c r="GH51" s="104"/>
      <c r="GI51" s="104"/>
      <c r="GJ51" s="104"/>
      <c r="GK51" s="104"/>
      <c r="GL51" s="104"/>
      <c r="GM51" s="104"/>
      <c r="GN51" s="104"/>
      <c r="GO51" s="104"/>
      <c r="GP51" s="104"/>
      <c r="GQ51" s="104"/>
      <c r="GR51" s="104"/>
      <c r="GS51" s="104"/>
      <c r="GT51" s="104"/>
      <c r="GU51" s="104"/>
      <c r="GV51" s="104"/>
      <c r="GW51" s="104"/>
      <c r="GX51" s="104"/>
      <c r="GY51" s="104"/>
      <c r="GZ51" s="104"/>
      <c r="HA51" s="104"/>
      <c r="HB51" s="104"/>
      <c r="HC51" s="104"/>
      <c r="HD51" s="104"/>
      <c r="HE51" s="104"/>
      <c r="HF51" s="104"/>
      <c r="HG51" s="104"/>
      <c r="HH51" s="104"/>
      <c r="HI51" s="104"/>
      <c r="HJ51" s="104"/>
      <c r="HK51" s="104"/>
      <c r="HL51" s="104"/>
      <c r="HM51" s="104"/>
      <c r="HN51" s="104"/>
      <c r="HO51" s="104"/>
      <c r="HP51" s="104"/>
      <c r="HQ51" s="104"/>
      <c r="HR51" s="104"/>
      <c r="HS51" s="104"/>
      <c r="HT51" s="104"/>
      <c r="HU51" s="104"/>
      <c r="HV51" s="104"/>
      <c r="HW51" s="104"/>
      <c r="HX51" s="104"/>
      <c r="HY51" s="104"/>
      <c r="HZ51" s="104"/>
      <c r="IA51" s="104"/>
      <c r="IB51" s="104"/>
      <c r="IC51" s="104"/>
      <c r="ID51" s="104"/>
      <c r="IE51" s="104"/>
      <c r="IF51" s="104"/>
      <c r="IG51" s="104"/>
      <c r="IH51" s="104"/>
      <c r="II51" s="104"/>
      <c r="IJ51" s="104"/>
      <c r="IK51" s="104"/>
      <c r="IL51" s="104"/>
      <c r="IM51" s="104"/>
      <c r="IN51" s="104"/>
      <c r="IO51" s="104"/>
      <c r="IP51" s="104"/>
      <c r="IQ51" s="104"/>
      <c r="IR51" s="104"/>
      <c r="IS51" s="104"/>
      <c r="IT51" s="104"/>
      <c r="IU51" s="104"/>
      <c r="IV51" s="104"/>
    </row>
    <row r="52" spans="3:261" ht="18.5" x14ac:dyDescent="0.45">
      <c r="C52" s="75" t="s">
        <v>68</v>
      </c>
      <c r="D52" s="76" t="s">
        <v>62</v>
      </c>
      <c r="E52" s="105">
        <f>SUM(E45:E51)</f>
        <v>1759757.9409700492</v>
      </c>
      <c r="G52" s="103"/>
      <c r="H52" s="103"/>
      <c r="I52" s="106"/>
      <c r="J52" s="103"/>
      <c r="K52" s="107"/>
      <c r="L52" s="108"/>
      <c r="N52" s="102"/>
      <c r="O52" s="103"/>
      <c r="P52" s="103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4"/>
      <c r="BK52" s="104"/>
      <c r="BL52" s="104"/>
      <c r="BM52" s="104"/>
      <c r="BN52" s="104"/>
      <c r="BO52" s="104"/>
      <c r="BP52" s="104"/>
      <c r="BQ52" s="104"/>
      <c r="BR52" s="104"/>
      <c r="BS52" s="104"/>
      <c r="BT52" s="104"/>
      <c r="BU52" s="104"/>
      <c r="BV52" s="104"/>
      <c r="BW52" s="104"/>
      <c r="BX52" s="104"/>
      <c r="BY52" s="104"/>
      <c r="BZ52" s="104"/>
      <c r="CA52" s="104"/>
      <c r="CB52" s="104"/>
      <c r="CC52" s="104"/>
      <c r="CD52" s="104"/>
      <c r="CE52" s="104"/>
      <c r="CF52" s="104"/>
      <c r="CG52" s="104"/>
      <c r="CH52" s="104"/>
      <c r="CI52" s="104"/>
      <c r="CJ52" s="104"/>
      <c r="CK52" s="104"/>
      <c r="CL52" s="104"/>
      <c r="CM52" s="104"/>
      <c r="CN52" s="104"/>
      <c r="CO52" s="104"/>
      <c r="CP52" s="104"/>
      <c r="CQ52" s="104"/>
      <c r="CR52" s="104"/>
      <c r="CS52" s="104"/>
      <c r="CT52" s="104"/>
      <c r="CU52" s="104"/>
      <c r="CV52" s="104"/>
      <c r="CW52" s="104"/>
      <c r="CX52" s="104"/>
      <c r="CY52" s="104"/>
      <c r="CZ52" s="104"/>
      <c r="DA52" s="104"/>
      <c r="DB52" s="104"/>
      <c r="DC52" s="104"/>
      <c r="DD52" s="104"/>
      <c r="DE52" s="104"/>
      <c r="DF52" s="104"/>
      <c r="DG52" s="104"/>
      <c r="DH52" s="104"/>
      <c r="DI52" s="104"/>
      <c r="DJ52" s="104"/>
      <c r="DK52" s="104"/>
      <c r="DL52" s="104"/>
      <c r="DM52" s="104"/>
      <c r="DN52" s="104"/>
      <c r="DO52" s="104"/>
      <c r="DP52" s="104"/>
      <c r="DQ52" s="104"/>
      <c r="DR52" s="104"/>
      <c r="DS52" s="104"/>
      <c r="DT52" s="104"/>
      <c r="DU52" s="104"/>
      <c r="DV52" s="104"/>
      <c r="DW52" s="104"/>
      <c r="DX52" s="104"/>
      <c r="DY52" s="104"/>
      <c r="DZ52" s="104"/>
      <c r="EA52" s="104"/>
      <c r="EB52" s="104"/>
      <c r="EC52" s="104"/>
      <c r="ED52" s="104"/>
      <c r="EE52" s="104"/>
      <c r="EF52" s="104"/>
      <c r="EG52" s="104"/>
      <c r="EH52" s="104"/>
      <c r="EI52" s="104"/>
      <c r="EJ52" s="104"/>
      <c r="EK52" s="104"/>
      <c r="EL52" s="104"/>
      <c r="EM52" s="104"/>
      <c r="EN52" s="104"/>
      <c r="EO52" s="104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4"/>
      <c r="FO52" s="104"/>
      <c r="FP52" s="104"/>
      <c r="FQ52" s="104"/>
      <c r="FR52" s="104"/>
      <c r="FS52" s="104"/>
      <c r="FT52" s="104"/>
      <c r="FU52" s="104"/>
      <c r="FV52" s="104"/>
      <c r="FW52" s="104"/>
      <c r="FX52" s="104"/>
      <c r="FY52" s="104"/>
      <c r="FZ52" s="104"/>
      <c r="GA52" s="104"/>
      <c r="GB52" s="104"/>
      <c r="GC52" s="104"/>
      <c r="GD52" s="104"/>
      <c r="GE52" s="104"/>
      <c r="GF52" s="104"/>
      <c r="GG52" s="104"/>
      <c r="GH52" s="104"/>
      <c r="GI52" s="104"/>
      <c r="GJ52" s="104"/>
      <c r="GK52" s="104"/>
      <c r="GL52" s="104"/>
      <c r="GM52" s="10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104"/>
      <c r="HR52" s="104"/>
      <c r="HS52" s="104"/>
      <c r="HT52" s="104"/>
      <c r="HU52" s="104"/>
      <c r="HV52" s="104"/>
      <c r="HW52" s="104"/>
      <c r="HX52" s="104"/>
      <c r="HY52" s="104"/>
      <c r="HZ52" s="104"/>
      <c r="IA52" s="104"/>
      <c r="IB52" s="104"/>
      <c r="IC52" s="104"/>
      <c r="ID52" s="104"/>
      <c r="IE52" s="104"/>
      <c r="IF52" s="104"/>
      <c r="IG52" s="104"/>
      <c r="IH52" s="104"/>
      <c r="II52" s="104"/>
      <c r="IJ52" s="104"/>
      <c r="IK52" s="104"/>
      <c r="IL52" s="104"/>
      <c r="IM52" s="104"/>
      <c r="IN52" s="104"/>
      <c r="IO52" s="104"/>
      <c r="IP52" s="104"/>
      <c r="IQ52" s="104"/>
      <c r="IR52" s="104"/>
      <c r="IS52" s="104"/>
      <c r="IT52" s="104"/>
      <c r="IU52" s="104"/>
      <c r="IV52" s="104"/>
    </row>
    <row r="53" spans="3:261" ht="18.5" x14ac:dyDescent="0.45">
      <c r="G53" s="1" t="s">
        <v>89</v>
      </c>
      <c r="H53" s="50"/>
      <c r="I53" s="50" t="s">
        <v>76</v>
      </c>
      <c r="J53" s="50" t="s">
        <v>85</v>
      </c>
      <c r="K53" s="50" t="s">
        <v>86</v>
      </c>
      <c r="L53" s="50" t="s">
        <v>58</v>
      </c>
      <c r="N53" s="102"/>
      <c r="O53" s="103"/>
      <c r="P53" s="103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104"/>
      <c r="BX53" s="104"/>
      <c r="BY53" s="104"/>
      <c r="BZ53" s="104"/>
      <c r="CA53" s="104"/>
      <c r="CB53" s="104"/>
      <c r="CC53" s="104"/>
      <c r="CD53" s="104"/>
      <c r="CE53" s="104"/>
      <c r="CF53" s="104"/>
      <c r="CG53" s="104"/>
      <c r="CH53" s="104"/>
      <c r="CI53" s="104"/>
      <c r="CJ53" s="104"/>
      <c r="CK53" s="104"/>
      <c r="CL53" s="104"/>
      <c r="CM53" s="104"/>
      <c r="CN53" s="104"/>
      <c r="CO53" s="104"/>
      <c r="CP53" s="104"/>
      <c r="CQ53" s="104"/>
      <c r="CR53" s="104"/>
      <c r="CS53" s="104"/>
      <c r="CT53" s="104"/>
      <c r="CU53" s="104"/>
      <c r="CV53" s="104"/>
      <c r="CW53" s="104"/>
      <c r="CX53" s="104"/>
      <c r="CY53" s="104"/>
      <c r="CZ53" s="104"/>
      <c r="DA53" s="104"/>
      <c r="DB53" s="104"/>
      <c r="DC53" s="104"/>
      <c r="DD53" s="104"/>
      <c r="DE53" s="104"/>
      <c r="DF53" s="104"/>
      <c r="DG53" s="104"/>
      <c r="DH53" s="104"/>
      <c r="DI53" s="104"/>
      <c r="DJ53" s="104"/>
      <c r="DK53" s="104"/>
      <c r="DL53" s="104"/>
      <c r="DM53" s="104"/>
      <c r="DN53" s="104"/>
      <c r="DO53" s="104"/>
      <c r="DP53" s="104"/>
      <c r="DQ53" s="104"/>
      <c r="DR53" s="104"/>
      <c r="DS53" s="104"/>
      <c r="DT53" s="104"/>
      <c r="DU53" s="104"/>
      <c r="DV53" s="104"/>
      <c r="DW53" s="104"/>
      <c r="DX53" s="104"/>
      <c r="DY53" s="104"/>
      <c r="DZ53" s="104"/>
      <c r="EA53" s="104"/>
      <c r="EB53" s="104"/>
      <c r="EC53" s="104"/>
      <c r="ED53" s="104"/>
      <c r="EE53" s="104"/>
      <c r="EF53" s="104"/>
      <c r="EG53" s="104"/>
      <c r="EH53" s="104"/>
      <c r="EI53" s="104"/>
      <c r="EJ53" s="104"/>
      <c r="EK53" s="104"/>
      <c r="EL53" s="104"/>
      <c r="EM53" s="104"/>
      <c r="EN53" s="104"/>
      <c r="EO53" s="104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4"/>
      <c r="FO53" s="104"/>
      <c r="FP53" s="104"/>
      <c r="FQ53" s="104"/>
      <c r="FR53" s="104"/>
      <c r="FS53" s="104"/>
      <c r="FT53" s="104"/>
      <c r="FU53" s="104"/>
      <c r="FV53" s="104"/>
      <c r="FW53" s="104"/>
      <c r="FX53" s="104"/>
      <c r="FY53" s="104"/>
      <c r="FZ53" s="104"/>
      <c r="GA53" s="104"/>
      <c r="GB53" s="104"/>
      <c r="GC53" s="104"/>
      <c r="GD53" s="104"/>
      <c r="GE53" s="104"/>
      <c r="GF53" s="104"/>
      <c r="GG53" s="104"/>
      <c r="GH53" s="104"/>
      <c r="GI53" s="104"/>
      <c r="GJ53" s="104"/>
      <c r="GK53" s="104"/>
      <c r="GL53" s="104"/>
      <c r="GM53" s="10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104"/>
      <c r="HR53" s="104"/>
      <c r="HS53" s="104"/>
      <c r="HT53" s="104"/>
      <c r="HU53" s="104"/>
      <c r="HV53" s="104"/>
      <c r="HW53" s="104"/>
      <c r="HX53" s="104"/>
      <c r="HY53" s="104"/>
      <c r="HZ53" s="104"/>
      <c r="IA53" s="104"/>
      <c r="IB53" s="104"/>
      <c r="IC53" s="104"/>
      <c r="ID53" s="104"/>
      <c r="IE53" s="104"/>
      <c r="IF53" s="104"/>
      <c r="IG53" s="104"/>
      <c r="IH53" s="104"/>
      <c r="II53" s="104"/>
      <c r="IJ53" s="104"/>
      <c r="IK53" s="104"/>
      <c r="IL53" s="104"/>
      <c r="IM53" s="104"/>
      <c r="IN53" s="104"/>
      <c r="IO53" s="104"/>
      <c r="IP53" s="104"/>
      <c r="IQ53" s="104"/>
      <c r="IR53" s="104"/>
      <c r="IS53" s="104"/>
      <c r="IT53" s="104"/>
      <c r="IU53" s="104"/>
      <c r="IV53" s="104"/>
    </row>
    <row r="54" spans="3:261" ht="18.5" x14ac:dyDescent="0.45">
      <c r="G54" s="14" t="s">
        <v>87</v>
      </c>
      <c r="H54" s="83">
        <f>[1]Summary!$E$60</f>
        <v>0</v>
      </c>
      <c r="I54" s="84">
        <f>'[1]Liq&amp;BS Mass Balance'!W16*(1-'[1]Liq&amp;BS Mass Balance'!$D$34)</f>
        <v>29019842.192032907</v>
      </c>
      <c r="J54" s="99">
        <v>7.0000000000000001E-3</v>
      </c>
      <c r="K54" s="30">
        <f>J54*I54</f>
        <v>203138.89534423035</v>
      </c>
      <c r="L54" s="89">
        <f>K54/$E$14</f>
        <v>0.37167929043036874</v>
      </c>
      <c r="S54" s="95"/>
      <c r="T54" s="95"/>
      <c r="U54" s="5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  <c r="BU54" s="109"/>
      <c r="BV54" s="109"/>
      <c r="BW54" s="109"/>
      <c r="BX54" s="109"/>
      <c r="BY54" s="109"/>
      <c r="BZ54" s="109"/>
      <c r="CA54" s="109"/>
      <c r="CB54" s="109"/>
      <c r="CC54" s="109"/>
      <c r="CD54" s="109"/>
      <c r="CE54" s="109"/>
      <c r="CF54" s="109"/>
      <c r="CG54" s="109"/>
      <c r="CH54" s="109"/>
      <c r="CI54" s="109"/>
      <c r="CJ54" s="109"/>
      <c r="CK54" s="109"/>
      <c r="CL54" s="109"/>
      <c r="CM54" s="109"/>
      <c r="CN54" s="109"/>
      <c r="CO54" s="109"/>
      <c r="CP54" s="109"/>
      <c r="CQ54" s="109"/>
      <c r="CR54" s="109"/>
      <c r="CS54" s="109"/>
      <c r="CT54" s="109"/>
      <c r="CU54" s="109"/>
      <c r="CV54" s="109"/>
      <c r="CW54" s="109"/>
      <c r="CX54" s="109"/>
      <c r="CY54" s="109"/>
      <c r="CZ54" s="109"/>
      <c r="DA54" s="109"/>
      <c r="DB54" s="109"/>
      <c r="DC54" s="109"/>
      <c r="DD54" s="109"/>
      <c r="DE54" s="109"/>
      <c r="DF54" s="109"/>
      <c r="DG54" s="109"/>
      <c r="DH54" s="109"/>
      <c r="DI54" s="109"/>
      <c r="DJ54" s="109"/>
      <c r="DK54" s="109"/>
      <c r="DL54" s="109"/>
      <c r="DM54" s="109"/>
      <c r="DN54" s="109"/>
      <c r="DO54" s="109"/>
      <c r="DP54" s="109"/>
      <c r="DQ54" s="109"/>
      <c r="DR54" s="109"/>
      <c r="DS54" s="109"/>
      <c r="DT54" s="109"/>
      <c r="DU54" s="109"/>
      <c r="DV54" s="109"/>
      <c r="DW54" s="109"/>
      <c r="DX54" s="109"/>
      <c r="DY54" s="109"/>
      <c r="DZ54" s="109"/>
      <c r="EA54" s="109"/>
      <c r="EB54" s="109"/>
      <c r="EC54" s="109"/>
      <c r="ED54" s="109"/>
      <c r="EE54" s="109"/>
      <c r="EF54" s="109"/>
      <c r="EG54" s="109"/>
      <c r="EH54" s="109"/>
      <c r="EI54" s="109"/>
      <c r="EJ54" s="109"/>
      <c r="EK54" s="109"/>
      <c r="EL54" s="109"/>
      <c r="EM54" s="109"/>
      <c r="EN54" s="109"/>
      <c r="EO54" s="109"/>
      <c r="EP54" s="109"/>
      <c r="EQ54" s="109"/>
      <c r="ER54" s="109"/>
      <c r="ES54" s="109"/>
      <c r="ET54" s="109"/>
      <c r="EU54" s="109"/>
      <c r="EV54" s="109"/>
      <c r="EW54" s="109"/>
      <c r="EX54" s="109"/>
      <c r="EY54" s="109"/>
      <c r="EZ54" s="109"/>
      <c r="FA54" s="109"/>
      <c r="FB54" s="109"/>
      <c r="FC54" s="109"/>
      <c r="FD54" s="109"/>
      <c r="FE54" s="109"/>
      <c r="FF54" s="109"/>
      <c r="FG54" s="109"/>
      <c r="FH54" s="109"/>
      <c r="FI54" s="109"/>
      <c r="FJ54" s="109"/>
      <c r="FK54" s="109"/>
      <c r="FL54" s="109"/>
      <c r="FM54" s="109"/>
      <c r="FN54" s="109"/>
      <c r="FO54" s="109"/>
      <c r="FP54" s="109"/>
      <c r="FQ54" s="109"/>
      <c r="FR54" s="109"/>
      <c r="FS54" s="109"/>
      <c r="FT54" s="109"/>
      <c r="FU54" s="109"/>
      <c r="FV54" s="109"/>
      <c r="FW54" s="109"/>
      <c r="FX54" s="109"/>
      <c r="FY54" s="109"/>
      <c r="FZ54" s="109"/>
      <c r="GA54" s="109"/>
      <c r="GB54" s="109"/>
      <c r="GC54" s="109"/>
      <c r="GD54" s="109"/>
      <c r="GE54" s="109"/>
      <c r="GF54" s="109"/>
      <c r="GG54" s="109"/>
      <c r="GH54" s="109"/>
      <c r="GI54" s="109"/>
      <c r="GJ54" s="109"/>
      <c r="GK54" s="109"/>
      <c r="GL54" s="109"/>
      <c r="GM54" s="109"/>
      <c r="GN54" s="109"/>
      <c r="GO54" s="109"/>
      <c r="GP54" s="109"/>
      <c r="GQ54" s="109"/>
      <c r="GR54" s="109"/>
      <c r="GS54" s="109"/>
      <c r="GT54" s="109"/>
      <c r="GU54" s="109"/>
      <c r="GV54" s="109"/>
      <c r="GW54" s="109"/>
      <c r="GX54" s="109"/>
      <c r="GY54" s="109"/>
      <c r="GZ54" s="109"/>
      <c r="HA54" s="109"/>
      <c r="HB54" s="109"/>
      <c r="HC54" s="109"/>
      <c r="HD54" s="109"/>
      <c r="HE54" s="109"/>
      <c r="HF54" s="109"/>
      <c r="HG54" s="109"/>
      <c r="HH54" s="109"/>
      <c r="HI54" s="109"/>
      <c r="HJ54" s="109"/>
      <c r="HK54" s="109"/>
      <c r="HL54" s="109"/>
      <c r="HM54" s="109"/>
      <c r="HN54" s="109"/>
      <c r="HO54" s="109"/>
      <c r="HP54" s="109"/>
      <c r="HQ54" s="109"/>
      <c r="HR54" s="109"/>
      <c r="HS54" s="109"/>
      <c r="HT54" s="109"/>
      <c r="HU54" s="109"/>
      <c r="HV54" s="109"/>
      <c r="HW54" s="109"/>
      <c r="HX54" s="109"/>
      <c r="HY54" s="109"/>
      <c r="HZ54" s="109"/>
      <c r="IA54" s="109"/>
      <c r="IB54" s="109"/>
      <c r="IC54" s="109"/>
      <c r="ID54" s="109"/>
      <c r="IE54" s="109"/>
      <c r="IF54" s="109"/>
      <c r="IG54" s="109"/>
      <c r="IH54" s="109"/>
      <c r="II54" s="109"/>
      <c r="IJ54" s="109"/>
      <c r="IK54" s="109"/>
      <c r="IL54" s="109"/>
      <c r="IM54" s="109"/>
      <c r="IN54" s="109"/>
      <c r="IO54" s="109"/>
      <c r="IP54" s="109"/>
      <c r="IQ54" s="109"/>
      <c r="IR54" s="109"/>
      <c r="IS54" s="109"/>
      <c r="IT54" s="109"/>
      <c r="IU54" s="109"/>
      <c r="IV54" s="109"/>
      <c r="IW54" s="109"/>
      <c r="IX54" s="109"/>
      <c r="IY54" s="109"/>
      <c r="IZ54" s="109"/>
      <c r="JA54" s="109"/>
    </row>
    <row r="55" spans="3:261" ht="18.5" x14ac:dyDescent="0.45">
      <c r="G55" s="14" t="s">
        <v>90</v>
      </c>
      <c r="H55" s="83">
        <f>[1]Summary!$E$62</f>
        <v>0</v>
      </c>
      <c r="I55" s="84">
        <f>$H$55*'[1]Liq&amp;BS Mass Balance'!$E$93</f>
        <v>0</v>
      </c>
      <c r="J55" s="99">
        <f>J54</f>
        <v>7.0000000000000001E-3</v>
      </c>
      <c r="K55" s="30">
        <f>J55*I55*$H$55</f>
        <v>0</v>
      </c>
      <c r="L55" s="89">
        <f>K55/$E$14</f>
        <v>0</v>
      </c>
      <c r="S55" s="95"/>
      <c r="T55" s="95"/>
      <c r="U55" s="5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109"/>
      <c r="BN55" s="109"/>
      <c r="BO55" s="109"/>
      <c r="BP55" s="109"/>
      <c r="BQ55" s="109"/>
      <c r="BR55" s="109"/>
      <c r="BS55" s="109"/>
      <c r="BT55" s="109"/>
      <c r="BU55" s="109"/>
      <c r="BV55" s="109"/>
      <c r="BW55" s="109"/>
      <c r="BX55" s="109"/>
      <c r="BY55" s="109"/>
      <c r="BZ55" s="109"/>
      <c r="CA55" s="109"/>
      <c r="CB55" s="109"/>
      <c r="CC55" s="109"/>
      <c r="CD55" s="109"/>
      <c r="CE55" s="109"/>
      <c r="CF55" s="109"/>
      <c r="CG55" s="109"/>
      <c r="CH55" s="109"/>
      <c r="CI55" s="109"/>
      <c r="CJ55" s="109"/>
      <c r="CK55" s="109"/>
      <c r="CL55" s="109"/>
      <c r="CM55" s="109"/>
      <c r="CN55" s="109"/>
      <c r="CO55" s="109"/>
      <c r="CP55" s="109"/>
      <c r="CQ55" s="109"/>
      <c r="CR55" s="109"/>
      <c r="CS55" s="109"/>
      <c r="CT55" s="109"/>
      <c r="CU55" s="109"/>
      <c r="CV55" s="109"/>
      <c r="CW55" s="109"/>
      <c r="CX55" s="109"/>
      <c r="CY55" s="109"/>
      <c r="CZ55" s="109"/>
      <c r="DA55" s="109"/>
      <c r="DB55" s="109"/>
      <c r="DC55" s="109"/>
      <c r="DD55" s="109"/>
      <c r="DE55" s="109"/>
      <c r="DF55" s="109"/>
      <c r="DG55" s="109"/>
      <c r="DH55" s="109"/>
      <c r="DI55" s="109"/>
      <c r="DJ55" s="109"/>
      <c r="DK55" s="109"/>
      <c r="DL55" s="109"/>
      <c r="DM55" s="109"/>
      <c r="DN55" s="109"/>
      <c r="DO55" s="109"/>
      <c r="DP55" s="109"/>
      <c r="DQ55" s="109"/>
      <c r="DR55" s="109"/>
      <c r="DS55" s="109"/>
      <c r="DT55" s="109"/>
      <c r="DU55" s="109"/>
      <c r="DV55" s="109"/>
      <c r="DW55" s="109"/>
      <c r="DX55" s="109"/>
      <c r="DY55" s="109"/>
      <c r="DZ55" s="109"/>
      <c r="EA55" s="109"/>
      <c r="EB55" s="109"/>
      <c r="EC55" s="109"/>
      <c r="ED55" s="109"/>
      <c r="EE55" s="109"/>
      <c r="EF55" s="109"/>
      <c r="EG55" s="109"/>
      <c r="EH55" s="109"/>
      <c r="EI55" s="109"/>
      <c r="EJ55" s="109"/>
      <c r="EK55" s="109"/>
      <c r="EL55" s="109"/>
      <c r="EM55" s="109"/>
      <c r="EN55" s="109"/>
      <c r="EO55" s="109"/>
      <c r="EP55" s="109"/>
      <c r="EQ55" s="109"/>
      <c r="ER55" s="109"/>
      <c r="ES55" s="109"/>
      <c r="ET55" s="109"/>
      <c r="EU55" s="109"/>
      <c r="EV55" s="109"/>
      <c r="EW55" s="109"/>
      <c r="EX55" s="109"/>
      <c r="EY55" s="109"/>
      <c r="EZ55" s="109"/>
      <c r="FA55" s="109"/>
      <c r="FB55" s="109"/>
      <c r="FC55" s="109"/>
      <c r="FD55" s="109"/>
      <c r="FE55" s="109"/>
      <c r="FF55" s="109"/>
      <c r="FG55" s="109"/>
      <c r="FH55" s="109"/>
      <c r="FI55" s="109"/>
      <c r="FJ55" s="109"/>
      <c r="FK55" s="109"/>
      <c r="FL55" s="109"/>
      <c r="FM55" s="109"/>
      <c r="FN55" s="109"/>
      <c r="FO55" s="109"/>
      <c r="FP55" s="109"/>
      <c r="FQ55" s="109"/>
      <c r="FR55" s="109"/>
      <c r="FS55" s="109"/>
      <c r="FT55" s="109"/>
      <c r="FU55" s="109"/>
      <c r="FV55" s="109"/>
      <c r="FW55" s="109"/>
      <c r="FX55" s="109"/>
      <c r="FY55" s="109"/>
      <c r="FZ55" s="109"/>
      <c r="GA55" s="109"/>
      <c r="GB55" s="109"/>
      <c r="GC55" s="109"/>
      <c r="GD55" s="109"/>
      <c r="GE55" s="109"/>
      <c r="GF55" s="109"/>
      <c r="GG55" s="109"/>
      <c r="GH55" s="109"/>
      <c r="GI55" s="109"/>
      <c r="GJ55" s="109"/>
      <c r="GK55" s="109"/>
      <c r="GL55" s="109"/>
      <c r="GM55" s="109"/>
      <c r="GN55" s="109"/>
      <c r="GO55" s="109"/>
      <c r="GP55" s="109"/>
      <c r="GQ55" s="109"/>
      <c r="GR55" s="109"/>
      <c r="GS55" s="109"/>
      <c r="GT55" s="109"/>
      <c r="GU55" s="109"/>
      <c r="GV55" s="109"/>
      <c r="GW55" s="109"/>
      <c r="GX55" s="109"/>
      <c r="GY55" s="109"/>
      <c r="GZ55" s="109"/>
      <c r="HA55" s="109"/>
      <c r="HB55" s="109"/>
      <c r="HC55" s="109"/>
      <c r="HD55" s="109"/>
      <c r="HE55" s="109"/>
      <c r="HF55" s="109"/>
      <c r="HG55" s="109"/>
      <c r="HH55" s="109"/>
      <c r="HI55" s="109"/>
      <c r="HJ55" s="109"/>
      <c r="HK55" s="109"/>
      <c r="HL55" s="109"/>
      <c r="HM55" s="109"/>
      <c r="HN55" s="109"/>
      <c r="HO55" s="109"/>
      <c r="HP55" s="109"/>
      <c r="HQ55" s="109"/>
      <c r="HR55" s="109"/>
      <c r="HS55" s="109"/>
      <c r="HT55" s="109"/>
      <c r="HU55" s="109"/>
      <c r="HV55" s="109"/>
      <c r="HW55" s="109"/>
      <c r="HX55" s="109"/>
      <c r="HY55" s="109"/>
      <c r="HZ55" s="109"/>
      <c r="IA55" s="109"/>
      <c r="IB55" s="109"/>
      <c r="IC55" s="109"/>
      <c r="ID55" s="109"/>
      <c r="IE55" s="109"/>
      <c r="IF55" s="109"/>
      <c r="IG55" s="109"/>
      <c r="IH55" s="109"/>
      <c r="II55" s="109"/>
      <c r="IJ55" s="109"/>
      <c r="IK55" s="109"/>
      <c r="IL55" s="109"/>
      <c r="IM55" s="109"/>
      <c r="IN55" s="109"/>
      <c r="IO55" s="109"/>
      <c r="IP55" s="109"/>
      <c r="IQ55" s="109"/>
      <c r="IR55" s="109"/>
      <c r="IS55" s="109"/>
      <c r="IT55" s="109"/>
      <c r="IU55" s="109"/>
      <c r="IV55" s="109"/>
      <c r="IW55" s="109"/>
      <c r="IX55" s="109"/>
      <c r="IY55" s="109"/>
      <c r="IZ55" s="109"/>
      <c r="JA55" s="109"/>
    </row>
    <row r="56" spans="3:261" ht="18.5" x14ac:dyDescent="0.45">
      <c r="G56" s="91"/>
      <c r="H56" s="91"/>
      <c r="I56" s="100">
        <f>SUM(I54:I55)</f>
        <v>29019842.192032907</v>
      </c>
      <c r="J56" s="91"/>
      <c r="K56" s="101">
        <f>SUM(K54:K55)</f>
        <v>203138.89534423035</v>
      </c>
      <c r="L56" s="93">
        <f>SUM(L54:L54)</f>
        <v>0.37167929043036874</v>
      </c>
      <c r="S56" s="95"/>
      <c r="T56" s="95"/>
      <c r="U56" s="5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09"/>
      <c r="CG56" s="109"/>
      <c r="CH56" s="109"/>
      <c r="CI56" s="109"/>
      <c r="CJ56" s="109"/>
      <c r="CK56" s="109"/>
      <c r="CL56" s="109"/>
      <c r="CM56" s="109"/>
      <c r="CN56" s="109"/>
      <c r="CO56" s="109"/>
      <c r="CP56" s="109"/>
      <c r="CQ56" s="109"/>
      <c r="CR56" s="109"/>
      <c r="CS56" s="109"/>
      <c r="CT56" s="109"/>
      <c r="CU56" s="109"/>
      <c r="CV56" s="109"/>
      <c r="CW56" s="109"/>
      <c r="CX56" s="109"/>
      <c r="CY56" s="109"/>
      <c r="CZ56" s="109"/>
      <c r="DA56" s="109"/>
      <c r="DB56" s="109"/>
      <c r="DC56" s="109"/>
      <c r="DD56" s="109"/>
      <c r="DE56" s="109"/>
      <c r="DF56" s="109"/>
      <c r="DG56" s="109"/>
      <c r="DH56" s="109"/>
      <c r="DI56" s="109"/>
      <c r="DJ56" s="109"/>
      <c r="DK56" s="109"/>
      <c r="DL56" s="109"/>
      <c r="DM56" s="109"/>
      <c r="DN56" s="109"/>
      <c r="DO56" s="109"/>
      <c r="DP56" s="109"/>
      <c r="DQ56" s="109"/>
      <c r="DR56" s="109"/>
      <c r="DS56" s="109"/>
      <c r="DT56" s="109"/>
      <c r="DU56" s="109"/>
      <c r="DV56" s="109"/>
      <c r="DW56" s="109"/>
      <c r="DX56" s="109"/>
      <c r="DY56" s="109"/>
      <c r="DZ56" s="109"/>
      <c r="EA56" s="109"/>
      <c r="EB56" s="109"/>
      <c r="EC56" s="109"/>
      <c r="ED56" s="109"/>
      <c r="EE56" s="109"/>
      <c r="EF56" s="109"/>
      <c r="EG56" s="109"/>
      <c r="EH56" s="109"/>
      <c r="EI56" s="109"/>
      <c r="EJ56" s="109"/>
      <c r="EK56" s="109"/>
      <c r="EL56" s="109"/>
      <c r="EM56" s="109"/>
      <c r="EN56" s="109"/>
      <c r="EO56" s="109"/>
      <c r="EP56" s="109"/>
      <c r="EQ56" s="109"/>
      <c r="ER56" s="109"/>
      <c r="ES56" s="109"/>
      <c r="ET56" s="109"/>
      <c r="EU56" s="109"/>
      <c r="EV56" s="109"/>
      <c r="EW56" s="109"/>
      <c r="EX56" s="109"/>
      <c r="EY56" s="109"/>
      <c r="EZ56" s="109"/>
      <c r="FA56" s="109"/>
      <c r="FB56" s="109"/>
      <c r="FC56" s="109"/>
      <c r="FD56" s="109"/>
      <c r="FE56" s="109"/>
      <c r="FF56" s="109"/>
      <c r="FG56" s="109"/>
      <c r="FH56" s="109"/>
      <c r="FI56" s="109"/>
      <c r="FJ56" s="109"/>
      <c r="FK56" s="109"/>
      <c r="FL56" s="109"/>
      <c r="FM56" s="109"/>
      <c r="FN56" s="109"/>
      <c r="FO56" s="109"/>
      <c r="FP56" s="109"/>
      <c r="FQ56" s="109"/>
      <c r="FR56" s="109"/>
      <c r="FS56" s="109"/>
      <c r="FT56" s="109"/>
      <c r="FU56" s="109"/>
      <c r="FV56" s="109"/>
      <c r="FW56" s="109"/>
      <c r="FX56" s="109"/>
      <c r="FY56" s="109"/>
      <c r="FZ56" s="109"/>
      <c r="GA56" s="109"/>
      <c r="GB56" s="109"/>
      <c r="GC56" s="109"/>
      <c r="GD56" s="109"/>
      <c r="GE56" s="109"/>
      <c r="GF56" s="109"/>
      <c r="GG56" s="109"/>
      <c r="GH56" s="109"/>
      <c r="GI56" s="109"/>
      <c r="GJ56" s="109"/>
      <c r="GK56" s="109"/>
      <c r="GL56" s="109"/>
      <c r="GM56" s="109"/>
      <c r="GN56" s="109"/>
      <c r="GO56" s="109"/>
      <c r="GP56" s="109"/>
      <c r="GQ56" s="109"/>
      <c r="GR56" s="109"/>
      <c r="GS56" s="109"/>
      <c r="GT56" s="109"/>
      <c r="GU56" s="109"/>
      <c r="GV56" s="109"/>
      <c r="GW56" s="109"/>
      <c r="GX56" s="109"/>
      <c r="GY56" s="109"/>
      <c r="GZ56" s="109"/>
      <c r="HA56" s="109"/>
      <c r="HB56" s="109"/>
      <c r="HC56" s="109"/>
      <c r="HD56" s="109"/>
      <c r="HE56" s="109"/>
      <c r="HF56" s="109"/>
      <c r="HG56" s="109"/>
      <c r="HH56" s="109"/>
      <c r="HI56" s="109"/>
      <c r="HJ56" s="109"/>
      <c r="HK56" s="109"/>
      <c r="HL56" s="109"/>
      <c r="HM56" s="109"/>
      <c r="HN56" s="109"/>
      <c r="HO56" s="109"/>
      <c r="HP56" s="109"/>
      <c r="HQ56" s="109"/>
      <c r="HR56" s="109"/>
      <c r="HS56" s="109"/>
      <c r="HT56" s="109"/>
      <c r="HU56" s="109"/>
      <c r="HV56" s="109"/>
      <c r="HW56" s="109"/>
      <c r="HX56" s="109"/>
      <c r="HY56" s="109"/>
      <c r="HZ56" s="109"/>
      <c r="IA56" s="109"/>
      <c r="IB56" s="109"/>
      <c r="IC56" s="109"/>
      <c r="ID56" s="109"/>
      <c r="IE56" s="109"/>
      <c r="IF56" s="109"/>
      <c r="IG56" s="109"/>
      <c r="IH56" s="109"/>
      <c r="II56" s="109"/>
      <c r="IJ56" s="109"/>
      <c r="IK56" s="109"/>
      <c r="IL56" s="109"/>
      <c r="IM56" s="109"/>
      <c r="IN56" s="109"/>
      <c r="IO56" s="109"/>
      <c r="IP56" s="109"/>
      <c r="IQ56" s="109"/>
      <c r="IR56" s="109"/>
      <c r="IS56" s="109"/>
      <c r="IT56" s="109"/>
      <c r="IU56" s="109"/>
      <c r="IV56" s="109"/>
      <c r="IW56" s="109"/>
      <c r="IX56" s="109"/>
      <c r="IY56" s="109"/>
      <c r="IZ56" s="109"/>
      <c r="JA56" s="109"/>
    </row>
    <row r="57" spans="3:261" ht="18.5" x14ac:dyDescent="0.45">
      <c r="J57" s="110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95"/>
      <c r="CJ57" s="95"/>
      <c r="CK57" s="95"/>
      <c r="CL57" s="95"/>
      <c r="CM57" s="95"/>
      <c r="CN57" s="95"/>
      <c r="CO57" s="95"/>
      <c r="CP57" s="95"/>
      <c r="CQ57" s="95"/>
      <c r="CR57" s="95"/>
      <c r="CS57" s="95"/>
      <c r="CT57" s="95"/>
      <c r="CU57" s="95"/>
      <c r="CV57" s="95"/>
      <c r="CW57" s="95"/>
      <c r="CX57" s="95"/>
      <c r="CY57" s="95"/>
      <c r="CZ57" s="95"/>
      <c r="DA57" s="95"/>
      <c r="DB57" s="95"/>
      <c r="DC57" s="95"/>
      <c r="DD57" s="95"/>
      <c r="DE57" s="95"/>
      <c r="DF57" s="95"/>
      <c r="DG57" s="95"/>
      <c r="DH57" s="95"/>
      <c r="DI57" s="95"/>
      <c r="DJ57" s="95"/>
      <c r="DK57" s="95"/>
      <c r="DL57" s="95"/>
      <c r="DM57" s="95"/>
      <c r="DN57" s="95"/>
      <c r="DO57" s="95"/>
      <c r="DP57" s="95"/>
      <c r="DQ57" s="95"/>
      <c r="DR57" s="95"/>
      <c r="DS57" s="95"/>
      <c r="DT57" s="95"/>
      <c r="DU57" s="95"/>
      <c r="DV57" s="95"/>
      <c r="DW57" s="95"/>
      <c r="DX57" s="95"/>
      <c r="DY57" s="95"/>
      <c r="DZ57" s="95"/>
      <c r="EA57" s="95"/>
      <c r="EB57" s="95"/>
      <c r="EC57" s="95"/>
      <c r="ED57" s="95"/>
      <c r="EE57" s="95"/>
      <c r="EF57" s="95"/>
      <c r="EG57" s="95"/>
      <c r="EH57" s="95"/>
      <c r="EI57" s="95"/>
      <c r="EJ57" s="95"/>
      <c r="EK57" s="95"/>
      <c r="EL57" s="95"/>
      <c r="EM57" s="95"/>
      <c r="EN57" s="95"/>
      <c r="EO57" s="95"/>
      <c r="EP57" s="95"/>
      <c r="EQ57" s="95"/>
      <c r="ER57" s="95"/>
      <c r="ES57" s="95"/>
      <c r="ET57" s="95"/>
      <c r="EU57" s="95"/>
      <c r="EV57" s="95"/>
      <c r="EW57" s="95"/>
      <c r="EX57" s="95"/>
      <c r="EY57" s="95"/>
      <c r="EZ57" s="95"/>
      <c r="FA57" s="95"/>
      <c r="FB57" s="95"/>
      <c r="FC57" s="95"/>
      <c r="FD57" s="95"/>
      <c r="FE57" s="95"/>
      <c r="FF57" s="95"/>
      <c r="FG57" s="95"/>
      <c r="FH57" s="95"/>
      <c r="FI57" s="95"/>
      <c r="FJ57" s="95"/>
      <c r="FK57" s="95"/>
      <c r="FL57" s="95"/>
      <c r="FM57" s="95"/>
      <c r="FN57" s="95"/>
      <c r="FO57" s="95"/>
      <c r="FP57" s="95"/>
      <c r="FQ57" s="95"/>
      <c r="FR57" s="95"/>
      <c r="FS57" s="95"/>
      <c r="FT57" s="95"/>
      <c r="FU57" s="95"/>
      <c r="FV57" s="95"/>
      <c r="FW57" s="95"/>
      <c r="FX57" s="95"/>
      <c r="FY57" s="95"/>
      <c r="FZ57" s="95"/>
      <c r="GA57" s="95"/>
      <c r="GB57" s="95"/>
      <c r="GC57" s="95"/>
      <c r="GD57" s="95"/>
      <c r="GE57" s="95"/>
      <c r="GF57" s="95"/>
      <c r="GG57" s="95"/>
      <c r="GH57" s="95"/>
      <c r="GI57" s="95"/>
      <c r="GJ57" s="95"/>
      <c r="GK57" s="95"/>
      <c r="GL57" s="95"/>
      <c r="GM57" s="95"/>
      <c r="GN57" s="95"/>
      <c r="GO57" s="95"/>
      <c r="GP57" s="95"/>
      <c r="GQ57" s="95"/>
      <c r="GR57" s="95"/>
      <c r="GS57" s="95"/>
      <c r="GT57" s="95"/>
      <c r="GU57" s="95"/>
      <c r="GV57" s="95"/>
      <c r="GW57" s="95"/>
      <c r="GX57" s="95"/>
      <c r="GY57" s="95"/>
      <c r="GZ57" s="95"/>
      <c r="HA57" s="95"/>
      <c r="HB57" s="95"/>
      <c r="HC57" s="95"/>
      <c r="HD57" s="95"/>
      <c r="HE57" s="95"/>
      <c r="HF57" s="95"/>
      <c r="HG57" s="95"/>
      <c r="HH57" s="95"/>
      <c r="HI57" s="95"/>
      <c r="HJ57" s="95"/>
      <c r="HK57" s="95"/>
      <c r="HL57" s="95"/>
      <c r="HM57" s="95"/>
      <c r="HN57" s="95"/>
      <c r="HO57" s="95"/>
      <c r="HP57" s="95"/>
      <c r="HQ57" s="95"/>
      <c r="HR57" s="95"/>
      <c r="HS57" s="95"/>
      <c r="HT57" s="95"/>
      <c r="HU57" s="95"/>
      <c r="HV57" s="95"/>
      <c r="HW57" s="95"/>
      <c r="HX57" s="95"/>
      <c r="HY57" s="95"/>
      <c r="HZ57" s="95"/>
      <c r="IA57" s="95"/>
      <c r="IB57" s="95"/>
      <c r="IC57" s="95"/>
      <c r="ID57" s="95"/>
      <c r="IE57" s="95"/>
      <c r="IF57" s="95"/>
      <c r="IG57" s="95"/>
      <c r="IH57" s="95"/>
      <c r="II57" s="95"/>
      <c r="IJ57" s="95"/>
      <c r="IK57" s="95"/>
      <c r="IL57" s="95"/>
      <c r="IM57" s="95"/>
      <c r="IN57" s="95"/>
      <c r="IO57" s="95"/>
      <c r="IP57" s="95"/>
      <c r="IQ57" s="95"/>
      <c r="IR57" s="95"/>
      <c r="IS57" s="95"/>
      <c r="IT57" s="95"/>
      <c r="IU57" s="95"/>
      <c r="IV57" s="95"/>
      <c r="IW57" s="95"/>
      <c r="IX57" s="95"/>
      <c r="IY57" s="95"/>
      <c r="IZ57" s="95"/>
      <c r="JA57" s="95"/>
    </row>
    <row r="58" spans="3:261" ht="18.5" x14ac:dyDescent="0.45">
      <c r="C58" s="1" t="s">
        <v>91</v>
      </c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3"/>
      <c r="R58" s="2"/>
      <c r="S58" s="2"/>
      <c r="T58" s="2"/>
      <c r="U58" s="2"/>
      <c r="V58" s="2"/>
      <c r="W58" s="2"/>
      <c r="X58" s="2"/>
      <c r="Y58" s="2"/>
      <c r="Z58" s="2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111"/>
      <c r="BG58" s="111"/>
      <c r="BH58" s="111"/>
      <c r="BI58" s="111"/>
      <c r="BJ58" s="111"/>
      <c r="BK58" s="111"/>
      <c r="BL58" s="111"/>
      <c r="BM58" s="111"/>
      <c r="BN58" s="111"/>
      <c r="BO58" s="111"/>
      <c r="BP58" s="111"/>
      <c r="BQ58" s="111"/>
      <c r="BR58" s="111"/>
      <c r="BS58" s="111"/>
      <c r="BT58" s="111"/>
      <c r="BU58" s="111"/>
      <c r="BV58" s="111"/>
      <c r="BW58" s="111"/>
      <c r="BX58" s="111"/>
      <c r="BY58" s="111"/>
      <c r="BZ58" s="111"/>
      <c r="CA58" s="111"/>
      <c r="CB58" s="111"/>
      <c r="CC58" s="111"/>
      <c r="CD58" s="111"/>
      <c r="CE58" s="111"/>
      <c r="CF58" s="111"/>
      <c r="CG58" s="111"/>
      <c r="CH58" s="111"/>
      <c r="CI58" s="111"/>
      <c r="CJ58" s="111"/>
      <c r="CK58" s="111"/>
      <c r="CL58" s="111"/>
      <c r="CM58" s="111"/>
      <c r="CN58" s="111"/>
      <c r="CO58" s="111"/>
      <c r="CP58" s="111"/>
      <c r="CQ58" s="111"/>
      <c r="CR58" s="111"/>
      <c r="CS58" s="111"/>
      <c r="CT58" s="111"/>
      <c r="CU58" s="111"/>
      <c r="CV58" s="111"/>
      <c r="CW58" s="111"/>
      <c r="CX58" s="111"/>
      <c r="CY58" s="111"/>
      <c r="CZ58" s="111"/>
      <c r="DA58" s="111"/>
      <c r="DB58" s="111"/>
      <c r="DC58" s="111"/>
      <c r="DD58" s="111"/>
      <c r="DE58" s="111"/>
      <c r="DF58" s="111"/>
      <c r="DG58" s="111"/>
      <c r="DH58" s="111"/>
      <c r="DI58" s="111"/>
      <c r="DJ58" s="111"/>
      <c r="DK58" s="111"/>
      <c r="DL58" s="111"/>
      <c r="DM58" s="111"/>
      <c r="DN58" s="111"/>
      <c r="DO58" s="111"/>
      <c r="DP58" s="111"/>
      <c r="DQ58" s="111"/>
      <c r="DR58" s="111"/>
      <c r="DS58" s="111"/>
      <c r="DT58" s="111"/>
      <c r="DU58" s="111"/>
      <c r="DV58" s="111"/>
      <c r="DW58" s="111"/>
      <c r="DX58" s="111"/>
      <c r="DY58" s="111"/>
      <c r="DZ58" s="111"/>
      <c r="EA58" s="111"/>
      <c r="EB58" s="111"/>
      <c r="EC58" s="111"/>
      <c r="ED58" s="111"/>
      <c r="EE58" s="111"/>
      <c r="EF58" s="111"/>
      <c r="EG58" s="111"/>
      <c r="EH58" s="111"/>
      <c r="EI58" s="111"/>
      <c r="EJ58" s="111"/>
      <c r="EK58" s="111"/>
      <c r="EL58" s="111"/>
      <c r="EM58" s="111"/>
      <c r="EN58" s="111"/>
      <c r="EO58" s="111"/>
      <c r="EP58" s="111"/>
      <c r="EQ58" s="111"/>
      <c r="ER58" s="111"/>
      <c r="ES58" s="111"/>
      <c r="ET58" s="111"/>
      <c r="EU58" s="111"/>
      <c r="EV58" s="111"/>
      <c r="EW58" s="111"/>
      <c r="EX58" s="111"/>
      <c r="EY58" s="111"/>
      <c r="EZ58" s="111"/>
      <c r="FA58" s="111"/>
      <c r="FB58" s="111"/>
      <c r="FC58" s="111"/>
      <c r="FD58" s="111"/>
      <c r="FE58" s="111"/>
      <c r="FF58" s="111"/>
      <c r="FG58" s="111"/>
      <c r="FH58" s="111"/>
      <c r="FI58" s="111"/>
      <c r="FJ58" s="111"/>
      <c r="FK58" s="111"/>
      <c r="FL58" s="111"/>
      <c r="FM58" s="111"/>
      <c r="FN58" s="111"/>
      <c r="FO58" s="111"/>
      <c r="FP58" s="111"/>
      <c r="FQ58" s="111"/>
      <c r="FR58" s="111"/>
      <c r="FS58" s="111"/>
      <c r="FT58" s="111"/>
      <c r="FU58" s="111"/>
      <c r="FV58" s="111"/>
      <c r="FW58" s="111"/>
      <c r="FX58" s="111"/>
      <c r="FY58" s="111"/>
      <c r="FZ58" s="111"/>
      <c r="GA58" s="111"/>
      <c r="GB58" s="111"/>
      <c r="GC58" s="111"/>
      <c r="GD58" s="111"/>
      <c r="GE58" s="111"/>
      <c r="GF58" s="111"/>
      <c r="GG58" s="111"/>
      <c r="GH58" s="111"/>
      <c r="GI58" s="111"/>
      <c r="GJ58" s="111"/>
      <c r="GK58" s="111"/>
      <c r="GL58" s="111"/>
      <c r="GM58" s="111"/>
      <c r="GN58" s="111"/>
      <c r="GO58" s="111"/>
      <c r="GP58" s="111"/>
      <c r="GQ58" s="111"/>
      <c r="GR58" s="111"/>
      <c r="GS58" s="111"/>
      <c r="GT58" s="111"/>
      <c r="GU58" s="111"/>
      <c r="GV58" s="111"/>
      <c r="GW58" s="111"/>
      <c r="GX58" s="111"/>
      <c r="GY58" s="111"/>
      <c r="GZ58" s="111"/>
      <c r="HA58" s="111"/>
      <c r="HB58" s="111"/>
      <c r="HC58" s="111"/>
      <c r="HD58" s="111"/>
      <c r="HE58" s="111"/>
      <c r="HF58" s="111"/>
      <c r="HG58" s="111"/>
      <c r="HH58" s="111"/>
      <c r="HI58" s="111"/>
      <c r="HJ58" s="111"/>
      <c r="HK58" s="111"/>
      <c r="HL58" s="111"/>
      <c r="HM58" s="111"/>
      <c r="HN58" s="111"/>
      <c r="HO58" s="111"/>
      <c r="HP58" s="111"/>
      <c r="HQ58" s="111"/>
      <c r="HR58" s="111"/>
      <c r="HS58" s="111"/>
      <c r="HT58" s="111"/>
      <c r="HU58" s="111"/>
      <c r="HV58" s="111"/>
      <c r="HW58" s="111"/>
      <c r="HX58" s="111"/>
      <c r="HY58" s="111"/>
      <c r="HZ58" s="111"/>
      <c r="IA58" s="111"/>
      <c r="IB58" s="111"/>
      <c r="IC58" s="111"/>
      <c r="ID58" s="111"/>
      <c r="IE58" s="111"/>
      <c r="IF58" s="111"/>
      <c r="IG58" s="111"/>
      <c r="IH58" s="111"/>
      <c r="II58" s="111"/>
      <c r="IJ58" s="111"/>
      <c r="IK58" s="111"/>
      <c r="IL58" s="111"/>
      <c r="IM58" s="111"/>
      <c r="IN58" s="111"/>
      <c r="IO58" s="111"/>
      <c r="IP58" s="111"/>
      <c r="IQ58" s="111"/>
      <c r="IR58" s="111"/>
      <c r="IS58" s="111"/>
      <c r="IT58" s="111"/>
      <c r="IU58" s="111"/>
      <c r="IV58" s="111"/>
      <c r="IW58" s="111"/>
      <c r="IX58" s="111"/>
      <c r="IY58" s="111"/>
      <c r="IZ58" s="111"/>
      <c r="JA58" s="111"/>
    </row>
    <row r="59" spans="3:261" ht="18.5" x14ac:dyDescent="0.45">
      <c r="C59" s="6"/>
      <c r="D59" s="4"/>
      <c r="E59" s="4"/>
      <c r="F59" s="5"/>
      <c r="G59" s="4"/>
      <c r="H59" s="4"/>
      <c r="I59" s="4"/>
      <c r="J59" s="4"/>
      <c r="K59" s="4"/>
      <c r="L59" s="4"/>
      <c r="M59" s="4"/>
      <c r="N59" s="4"/>
      <c r="O59" s="4"/>
      <c r="P59" s="4"/>
      <c r="Q59" s="5"/>
      <c r="R59" s="4"/>
      <c r="S59" s="4"/>
      <c r="T59" s="4"/>
      <c r="U59" s="4"/>
      <c r="V59" s="4"/>
      <c r="W59" s="4"/>
      <c r="X59" s="4"/>
      <c r="Y59" s="4"/>
      <c r="Z59" s="4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  <c r="BG59" s="111"/>
      <c r="BH59" s="111"/>
      <c r="BI59" s="111"/>
      <c r="BJ59" s="111"/>
      <c r="BK59" s="111"/>
      <c r="BL59" s="111"/>
      <c r="BM59" s="111"/>
      <c r="BN59" s="111"/>
      <c r="BO59" s="111"/>
      <c r="BP59" s="111"/>
      <c r="BQ59" s="111"/>
      <c r="BR59" s="111"/>
      <c r="BS59" s="111"/>
      <c r="BT59" s="111"/>
      <c r="BU59" s="111"/>
      <c r="BV59" s="111"/>
      <c r="BW59" s="111"/>
      <c r="BX59" s="111"/>
      <c r="BY59" s="111"/>
      <c r="BZ59" s="111"/>
      <c r="CA59" s="111"/>
      <c r="CB59" s="111"/>
      <c r="CC59" s="111"/>
      <c r="CD59" s="111"/>
      <c r="CE59" s="111"/>
      <c r="CF59" s="111"/>
      <c r="CG59" s="111"/>
      <c r="CH59" s="111"/>
      <c r="CI59" s="111"/>
      <c r="CJ59" s="111"/>
      <c r="CK59" s="111"/>
      <c r="CL59" s="111"/>
      <c r="CM59" s="111"/>
      <c r="CN59" s="111"/>
      <c r="CO59" s="111"/>
      <c r="CP59" s="111"/>
      <c r="CQ59" s="111"/>
      <c r="CR59" s="111"/>
      <c r="CS59" s="111"/>
      <c r="CT59" s="111"/>
      <c r="CU59" s="111"/>
      <c r="CV59" s="111"/>
      <c r="CW59" s="111"/>
      <c r="CX59" s="111"/>
      <c r="CY59" s="111"/>
      <c r="CZ59" s="111"/>
      <c r="DA59" s="111"/>
      <c r="DB59" s="111"/>
      <c r="DC59" s="111"/>
      <c r="DD59" s="111"/>
      <c r="DE59" s="111"/>
      <c r="DF59" s="111"/>
      <c r="DG59" s="111"/>
      <c r="DH59" s="111"/>
      <c r="DI59" s="111"/>
      <c r="DJ59" s="111"/>
      <c r="DK59" s="111"/>
      <c r="DL59" s="111"/>
      <c r="DM59" s="111"/>
      <c r="DN59" s="111"/>
      <c r="DO59" s="111"/>
      <c r="DP59" s="111"/>
      <c r="DQ59" s="111"/>
      <c r="DR59" s="111"/>
      <c r="DS59" s="111"/>
      <c r="DT59" s="111"/>
      <c r="DU59" s="111"/>
      <c r="DV59" s="111"/>
      <c r="DW59" s="111"/>
      <c r="DX59" s="111"/>
      <c r="DY59" s="111"/>
      <c r="DZ59" s="111"/>
      <c r="EA59" s="111"/>
      <c r="EB59" s="111"/>
      <c r="EC59" s="111"/>
      <c r="ED59" s="111"/>
      <c r="EE59" s="111"/>
      <c r="EF59" s="111"/>
      <c r="EG59" s="111"/>
      <c r="EH59" s="111"/>
      <c r="EI59" s="111"/>
      <c r="EJ59" s="111"/>
      <c r="EK59" s="111"/>
      <c r="EL59" s="111"/>
      <c r="EM59" s="111"/>
      <c r="EN59" s="111"/>
      <c r="EO59" s="111"/>
      <c r="EP59" s="111"/>
      <c r="EQ59" s="111"/>
      <c r="ER59" s="111"/>
      <c r="ES59" s="111"/>
      <c r="ET59" s="111"/>
      <c r="EU59" s="111"/>
      <c r="EV59" s="111"/>
      <c r="EW59" s="111"/>
      <c r="EX59" s="111"/>
      <c r="EY59" s="111"/>
      <c r="EZ59" s="111"/>
      <c r="FA59" s="111"/>
      <c r="FB59" s="111"/>
      <c r="FC59" s="111"/>
      <c r="FD59" s="111"/>
      <c r="FE59" s="111"/>
      <c r="FF59" s="111"/>
      <c r="FG59" s="111"/>
      <c r="FH59" s="111"/>
      <c r="FI59" s="111"/>
      <c r="FJ59" s="111"/>
      <c r="FK59" s="111"/>
      <c r="FL59" s="111"/>
      <c r="FM59" s="111"/>
      <c r="FN59" s="111"/>
      <c r="FO59" s="111"/>
      <c r="FP59" s="111"/>
      <c r="FQ59" s="111"/>
      <c r="FR59" s="111"/>
      <c r="FS59" s="111"/>
      <c r="FT59" s="111"/>
      <c r="FU59" s="111"/>
      <c r="FV59" s="111"/>
      <c r="FW59" s="111"/>
      <c r="FX59" s="111"/>
      <c r="FY59" s="111"/>
      <c r="FZ59" s="111"/>
      <c r="GA59" s="111"/>
      <c r="GB59" s="111"/>
      <c r="GC59" s="111"/>
      <c r="GD59" s="111"/>
      <c r="GE59" s="111"/>
      <c r="GF59" s="111"/>
      <c r="GG59" s="111"/>
      <c r="GH59" s="111"/>
      <c r="GI59" s="111"/>
      <c r="GJ59" s="111"/>
      <c r="GK59" s="111"/>
      <c r="GL59" s="111"/>
      <c r="GM59" s="111"/>
      <c r="GN59" s="111"/>
      <c r="GO59" s="111"/>
      <c r="GP59" s="111"/>
      <c r="GQ59" s="111"/>
      <c r="GR59" s="111"/>
      <c r="GS59" s="111"/>
      <c r="GT59" s="111"/>
      <c r="GU59" s="111"/>
      <c r="GV59" s="111"/>
      <c r="GW59" s="111"/>
      <c r="GX59" s="111"/>
      <c r="GY59" s="111"/>
      <c r="GZ59" s="111"/>
      <c r="HA59" s="111"/>
      <c r="HB59" s="111"/>
      <c r="HC59" s="111"/>
      <c r="HD59" s="111"/>
      <c r="HE59" s="111"/>
      <c r="HF59" s="111"/>
      <c r="HG59" s="111"/>
      <c r="HH59" s="111"/>
      <c r="HI59" s="111"/>
      <c r="HJ59" s="111"/>
      <c r="HK59" s="111"/>
      <c r="HL59" s="111"/>
      <c r="HM59" s="111"/>
      <c r="HN59" s="111"/>
      <c r="HO59" s="111"/>
      <c r="HP59" s="111"/>
      <c r="HQ59" s="111"/>
      <c r="HR59" s="111"/>
      <c r="HS59" s="111"/>
      <c r="HT59" s="111"/>
      <c r="HU59" s="111"/>
      <c r="HV59" s="111"/>
      <c r="HW59" s="111"/>
      <c r="HX59" s="111"/>
      <c r="HY59" s="111"/>
      <c r="HZ59" s="111"/>
      <c r="IA59" s="111"/>
      <c r="IB59" s="111"/>
      <c r="IC59" s="111"/>
      <c r="ID59" s="111"/>
      <c r="IE59" s="111"/>
      <c r="IF59" s="111"/>
      <c r="IG59" s="111"/>
      <c r="IH59" s="111"/>
      <c r="II59" s="111"/>
      <c r="IJ59" s="111"/>
      <c r="IK59" s="111"/>
      <c r="IL59" s="111"/>
      <c r="IM59" s="111"/>
      <c r="IN59" s="111"/>
      <c r="IO59" s="111"/>
      <c r="IP59" s="111"/>
      <c r="IQ59" s="111"/>
      <c r="IR59" s="111"/>
      <c r="IS59" s="111"/>
      <c r="IT59" s="111"/>
      <c r="IU59" s="111"/>
      <c r="IV59" s="111"/>
      <c r="IW59" s="111"/>
      <c r="IX59" s="111"/>
      <c r="IY59" s="111"/>
      <c r="IZ59" s="111"/>
      <c r="JA59" s="111"/>
    </row>
    <row r="60" spans="3:261" ht="18.5" x14ac:dyDescent="0.45">
      <c r="C60" s="112" t="s">
        <v>92</v>
      </c>
      <c r="D60" s="113">
        <v>0</v>
      </c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95"/>
      <c r="CJ60" s="95"/>
      <c r="CK60" s="95"/>
      <c r="CL60" s="95"/>
      <c r="CM60" s="95"/>
      <c r="CN60" s="95"/>
      <c r="CO60" s="95"/>
      <c r="CP60" s="95"/>
      <c r="CQ60" s="95"/>
      <c r="CR60" s="95"/>
      <c r="CS60" s="95"/>
      <c r="CT60" s="95"/>
      <c r="CU60" s="95"/>
      <c r="CV60" s="95"/>
      <c r="CW60" s="95"/>
      <c r="CX60" s="95"/>
      <c r="CY60" s="95"/>
      <c r="CZ60" s="95"/>
      <c r="DA60" s="95"/>
      <c r="DB60" s="95"/>
      <c r="DC60" s="95"/>
      <c r="DD60" s="95"/>
      <c r="DE60" s="95"/>
      <c r="DF60" s="95"/>
      <c r="DG60" s="95"/>
      <c r="DH60" s="95"/>
      <c r="DI60" s="95"/>
      <c r="DJ60" s="95"/>
      <c r="DK60" s="95"/>
      <c r="DL60" s="95"/>
      <c r="DM60" s="95"/>
      <c r="DN60" s="95"/>
      <c r="DO60" s="95"/>
      <c r="DP60" s="95"/>
      <c r="DQ60" s="95"/>
      <c r="DR60" s="95"/>
      <c r="DS60" s="95"/>
      <c r="DT60" s="95"/>
      <c r="DU60" s="95"/>
      <c r="DV60" s="95"/>
      <c r="DW60" s="95"/>
      <c r="DX60" s="95"/>
      <c r="DY60" s="95"/>
      <c r="DZ60" s="95"/>
      <c r="EA60" s="95"/>
      <c r="EB60" s="95"/>
      <c r="EC60" s="95"/>
      <c r="ED60" s="95"/>
      <c r="EE60" s="95"/>
      <c r="EF60" s="95"/>
      <c r="EG60" s="95"/>
      <c r="EH60" s="95"/>
      <c r="EI60" s="95"/>
      <c r="EJ60" s="95"/>
      <c r="EK60" s="95"/>
      <c r="EL60" s="95"/>
      <c r="EM60" s="95"/>
      <c r="EN60" s="95"/>
      <c r="EO60" s="95"/>
      <c r="EP60" s="95"/>
      <c r="EQ60" s="95"/>
      <c r="ER60" s="95"/>
      <c r="ES60" s="95"/>
      <c r="ET60" s="95"/>
      <c r="EU60" s="95"/>
      <c r="EV60" s="95"/>
      <c r="EW60" s="95"/>
      <c r="EX60" s="95"/>
      <c r="EY60" s="95"/>
      <c r="EZ60" s="95"/>
      <c r="FA60" s="95"/>
      <c r="FB60" s="95"/>
      <c r="FC60" s="95"/>
      <c r="FD60" s="95"/>
      <c r="FE60" s="95"/>
      <c r="FF60" s="95"/>
      <c r="FG60" s="95"/>
      <c r="FH60" s="95"/>
      <c r="FI60" s="95"/>
      <c r="FJ60" s="95"/>
      <c r="FK60" s="95"/>
      <c r="FL60" s="95"/>
      <c r="FM60" s="95"/>
      <c r="FN60" s="95"/>
      <c r="FO60" s="95"/>
      <c r="FP60" s="95"/>
      <c r="FQ60" s="95"/>
      <c r="FR60" s="95"/>
      <c r="FS60" s="95"/>
      <c r="FT60" s="95"/>
      <c r="FU60" s="95"/>
      <c r="FV60" s="95"/>
      <c r="FW60" s="95"/>
      <c r="FX60" s="95"/>
      <c r="FY60" s="95"/>
      <c r="FZ60" s="95"/>
      <c r="GA60" s="95"/>
      <c r="GB60" s="95"/>
      <c r="GC60" s="95"/>
      <c r="GD60" s="95"/>
      <c r="GE60" s="95"/>
      <c r="GF60" s="95"/>
      <c r="GG60" s="95"/>
      <c r="GH60" s="95"/>
      <c r="GI60" s="95"/>
      <c r="GJ60" s="95"/>
      <c r="GK60" s="95"/>
      <c r="GL60" s="95"/>
      <c r="GM60" s="95"/>
      <c r="GN60" s="95"/>
      <c r="GO60" s="95"/>
      <c r="GP60" s="95"/>
      <c r="GQ60" s="95"/>
      <c r="GR60" s="95"/>
      <c r="GS60" s="95"/>
      <c r="GT60" s="95"/>
      <c r="GU60" s="95"/>
      <c r="GV60" s="95"/>
      <c r="GW60" s="95"/>
      <c r="GX60" s="95"/>
      <c r="GY60" s="95"/>
      <c r="GZ60" s="95"/>
      <c r="HA60" s="95"/>
      <c r="HB60" s="95"/>
      <c r="HC60" s="95"/>
      <c r="HD60" s="95"/>
      <c r="HE60" s="95"/>
      <c r="HF60" s="95"/>
      <c r="HG60" s="95"/>
      <c r="HH60" s="95"/>
      <c r="HI60" s="95"/>
      <c r="HJ60" s="95"/>
      <c r="HK60" s="95"/>
      <c r="HL60" s="95"/>
      <c r="HM60" s="95"/>
      <c r="HN60" s="95"/>
      <c r="HO60" s="95"/>
      <c r="HP60" s="95"/>
      <c r="HQ60" s="95"/>
      <c r="HR60" s="95"/>
      <c r="HS60" s="95"/>
      <c r="HT60" s="95"/>
      <c r="HU60" s="95"/>
      <c r="HV60" s="95"/>
      <c r="HW60" s="95"/>
      <c r="HX60" s="95"/>
      <c r="HY60" s="95"/>
      <c r="HZ60" s="95"/>
      <c r="IA60" s="95"/>
      <c r="IB60" s="95"/>
      <c r="IC60" s="95"/>
      <c r="ID60" s="95"/>
      <c r="IE60" s="95"/>
      <c r="IF60" s="95"/>
      <c r="IG60" s="95"/>
      <c r="IH60" s="95"/>
      <c r="II60" s="95"/>
      <c r="IJ60" s="95"/>
      <c r="IK60" s="95"/>
      <c r="IL60" s="95"/>
      <c r="IM60" s="95"/>
      <c r="IN60" s="95"/>
      <c r="IO60" s="95"/>
      <c r="IP60" s="95"/>
      <c r="IQ60" s="95"/>
      <c r="IR60" s="95"/>
      <c r="IS60" s="95"/>
      <c r="IT60" s="95"/>
      <c r="IU60" s="95"/>
      <c r="IV60" s="95"/>
      <c r="IW60" s="95"/>
      <c r="IX60" s="95"/>
      <c r="IY60" s="95"/>
      <c r="IZ60" s="95"/>
      <c r="JA60" s="95"/>
    </row>
    <row r="61" spans="3:261" ht="18.5" x14ac:dyDescent="0.45"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95"/>
      <c r="CJ61" s="95"/>
      <c r="CK61" s="95"/>
      <c r="CL61" s="95"/>
      <c r="CM61" s="95"/>
      <c r="CN61" s="95"/>
      <c r="CO61" s="95"/>
      <c r="CP61" s="95"/>
      <c r="CQ61" s="95"/>
      <c r="CR61" s="95"/>
      <c r="CS61" s="95"/>
      <c r="CT61" s="95"/>
      <c r="CU61" s="95"/>
      <c r="CV61" s="95"/>
      <c r="CW61" s="95"/>
      <c r="CX61" s="95"/>
      <c r="CY61" s="95"/>
      <c r="CZ61" s="95"/>
      <c r="DA61" s="95"/>
      <c r="DB61" s="95"/>
      <c r="DC61" s="95"/>
      <c r="DD61" s="95"/>
      <c r="DE61" s="95"/>
      <c r="DF61" s="95"/>
      <c r="DG61" s="95"/>
      <c r="DH61" s="95"/>
      <c r="DI61" s="95"/>
      <c r="DJ61" s="95"/>
      <c r="DK61" s="95"/>
      <c r="DL61" s="95"/>
      <c r="DM61" s="95"/>
      <c r="DN61" s="95"/>
      <c r="DO61" s="95"/>
      <c r="DP61" s="95"/>
      <c r="DQ61" s="95"/>
      <c r="DR61" s="95"/>
      <c r="DS61" s="95"/>
      <c r="DT61" s="95"/>
      <c r="DU61" s="95"/>
      <c r="DV61" s="95"/>
      <c r="DW61" s="95"/>
      <c r="DX61" s="95"/>
      <c r="DY61" s="95"/>
      <c r="DZ61" s="95"/>
      <c r="EA61" s="95"/>
      <c r="EB61" s="95"/>
      <c r="EC61" s="95"/>
      <c r="ED61" s="95"/>
      <c r="EE61" s="95"/>
      <c r="EF61" s="95"/>
      <c r="EG61" s="95"/>
      <c r="EH61" s="95"/>
      <c r="EI61" s="95"/>
      <c r="EJ61" s="95"/>
      <c r="EK61" s="95"/>
      <c r="EL61" s="95"/>
      <c r="EM61" s="95"/>
      <c r="EN61" s="95"/>
      <c r="EO61" s="95"/>
      <c r="EP61" s="95"/>
      <c r="EQ61" s="95"/>
      <c r="ER61" s="95"/>
      <c r="ES61" s="95"/>
      <c r="ET61" s="95"/>
      <c r="EU61" s="95"/>
      <c r="EV61" s="95"/>
      <c r="EW61" s="95"/>
      <c r="EX61" s="95"/>
      <c r="EY61" s="95"/>
      <c r="EZ61" s="95"/>
      <c r="FA61" s="95"/>
      <c r="FB61" s="95"/>
      <c r="FC61" s="95"/>
      <c r="FD61" s="95"/>
      <c r="FE61" s="95"/>
      <c r="FF61" s="95"/>
      <c r="FG61" s="95"/>
      <c r="FH61" s="95"/>
      <c r="FI61" s="95"/>
      <c r="FJ61" s="95"/>
      <c r="FK61" s="95"/>
      <c r="FL61" s="95"/>
      <c r="FM61" s="95"/>
      <c r="FN61" s="95"/>
      <c r="FO61" s="95"/>
      <c r="FP61" s="95"/>
      <c r="FQ61" s="95"/>
      <c r="FR61" s="95"/>
      <c r="FS61" s="95"/>
      <c r="FT61" s="95"/>
      <c r="FU61" s="95"/>
      <c r="FV61" s="95"/>
      <c r="FW61" s="95"/>
      <c r="FX61" s="95"/>
      <c r="FY61" s="95"/>
      <c r="FZ61" s="95"/>
      <c r="GA61" s="95"/>
      <c r="GB61" s="95"/>
      <c r="GC61" s="95"/>
      <c r="GD61" s="95"/>
      <c r="GE61" s="95"/>
      <c r="GF61" s="95"/>
      <c r="GG61" s="95"/>
      <c r="GH61" s="95"/>
      <c r="GI61" s="95"/>
      <c r="GJ61" s="95"/>
      <c r="GK61" s="95"/>
      <c r="GL61" s="95"/>
      <c r="GM61" s="95"/>
      <c r="GN61" s="95"/>
      <c r="GO61" s="95"/>
      <c r="GP61" s="95"/>
      <c r="GQ61" s="95"/>
      <c r="GR61" s="95"/>
      <c r="GS61" s="95"/>
      <c r="GT61" s="95"/>
      <c r="GU61" s="95"/>
      <c r="GV61" s="95"/>
      <c r="GW61" s="95"/>
      <c r="GX61" s="95"/>
      <c r="GY61" s="95"/>
      <c r="GZ61" s="95"/>
      <c r="HA61" s="95"/>
      <c r="HB61" s="95"/>
      <c r="HC61" s="95"/>
      <c r="HD61" s="95"/>
      <c r="HE61" s="95"/>
      <c r="HF61" s="95"/>
      <c r="HG61" s="95"/>
      <c r="HH61" s="95"/>
      <c r="HI61" s="95"/>
      <c r="HJ61" s="95"/>
      <c r="HK61" s="95"/>
      <c r="HL61" s="95"/>
      <c r="HM61" s="95"/>
      <c r="HN61" s="95"/>
      <c r="HO61" s="95"/>
      <c r="HP61" s="95"/>
      <c r="HQ61" s="95"/>
      <c r="HR61" s="95"/>
      <c r="HS61" s="95"/>
      <c r="HT61" s="95"/>
      <c r="HU61" s="95"/>
      <c r="HV61" s="95"/>
      <c r="HW61" s="95"/>
      <c r="HX61" s="95"/>
      <c r="HY61" s="95"/>
      <c r="HZ61" s="95"/>
      <c r="IA61" s="95"/>
      <c r="IB61" s="95"/>
      <c r="IC61" s="95"/>
      <c r="ID61" s="95"/>
      <c r="IE61" s="95"/>
      <c r="IF61" s="95"/>
      <c r="IG61" s="95"/>
      <c r="IH61" s="95"/>
      <c r="II61" s="95"/>
      <c r="IJ61" s="95"/>
      <c r="IK61" s="95"/>
      <c r="IL61" s="95"/>
      <c r="IM61" s="95"/>
      <c r="IN61" s="95"/>
      <c r="IO61" s="95"/>
      <c r="IP61" s="95"/>
      <c r="IQ61" s="95"/>
      <c r="IR61" s="95"/>
      <c r="IS61" s="95"/>
      <c r="IT61" s="95"/>
      <c r="IU61" s="95"/>
      <c r="IV61" s="95"/>
      <c r="IW61" s="95"/>
      <c r="IX61" s="95"/>
      <c r="IY61" s="95"/>
      <c r="IZ61" s="95"/>
      <c r="JA61" s="95"/>
    </row>
    <row r="62" spans="3:261" ht="18.5" x14ac:dyDescent="0.45">
      <c r="C62" s="114"/>
      <c r="D62" s="114"/>
      <c r="E62" s="115"/>
      <c r="F62" s="116"/>
      <c r="G62" s="114"/>
      <c r="H62" s="117" t="s">
        <v>93</v>
      </c>
      <c r="I62" s="117" t="s">
        <v>94</v>
      </c>
      <c r="J62" s="117" t="s">
        <v>95</v>
      </c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  <c r="CP62" s="95"/>
      <c r="CQ62" s="95"/>
      <c r="CR62" s="95"/>
      <c r="CS62" s="95"/>
      <c r="CT62" s="95"/>
      <c r="CU62" s="95"/>
      <c r="CV62" s="95"/>
      <c r="CW62" s="95"/>
      <c r="CX62" s="95"/>
      <c r="CY62" s="95"/>
      <c r="CZ62" s="95"/>
      <c r="DA62" s="95"/>
      <c r="DB62" s="95"/>
      <c r="DC62" s="95"/>
      <c r="DD62" s="95"/>
      <c r="DE62" s="95"/>
      <c r="DF62" s="95"/>
      <c r="DG62" s="95"/>
      <c r="DH62" s="95"/>
      <c r="DI62" s="95"/>
      <c r="DJ62" s="95"/>
      <c r="DK62" s="95"/>
      <c r="DL62" s="95"/>
      <c r="DM62" s="95"/>
      <c r="DN62" s="95"/>
      <c r="DO62" s="95"/>
      <c r="DP62" s="95"/>
      <c r="DQ62" s="95"/>
      <c r="DR62" s="95"/>
      <c r="DS62" s="95"/>
      <c r="DT62" s="95"/>
      <c r="DU62" s="95"/>
      <c r="DV62" s="95"/>
      <c r="DW62" s="95"/>
      <c r="DX62" s="95"/>
      <c r="DY62" s="95"/>
      <c r="DZ62" s="95"/>
      <c r="EA62" s="95"/>
      <c r="EB62" s="95"/>
      <c r="EC62" s="95"/>
      <c r="ED62" s="95"/>
      <c r="EE62" s="95"/>
      <c r="EF62" s="95"/>
      <c r="EG62" s="95"/>
      <c r="EH62" s="95"/>
      <c r="EI62" s="95"/>
      <c r="EJ62" s="95"/>
      <c r="EK62" s="95"/>
      <c r="EL62" s="95"/>
      <c r="EM62" s="95"/>
      <c r="EN62" s="95"/>
      <c r="EO62" s="95"/>
      <c r="EP62" s="95"/>
      <c r="EQ62" s="95"/>
      <c r="ER62" s="95"/>
      <c r="ES62" s="95"/>
      <c r="ET62" s="95"/>
      <c r="EU62" s="95"/>
      <c r="EV62" s="95"/>
      <c r="EW62" s="95"/>
      <c r="EX62" s="95"/>
      <c r="EY62" s="95"/>
      <c r="EZ62" s="95"/>
      <c r="FA62" s="95"/>
      <c r="FB62" s="95"/>
      <c r="FC62" s="95"/>
      <c r="FD62" s="95"/>
      <c r="FE62" s="95"/>
      <c r="FF62" s="95"/>
      <c r="FG62" s="95"/>
      <c r="FH62" s="95"/>
      <c r="FI62" s="95"/>
      <c r="FJ62" s="95"/>
      <c r="FK62" s="95"/>
      <c r="FL62" s="95"/>
      <c r="FM62" s="95"/>
      <c r="FN62" s="95"/>
      <c r="FO62" s="95"/>
      <c r="FP62" s="95"/>
      <c r="FQ62" s="95"/>
      <c r="FR62" s="95"/>
      <c r="FS62" s="95"/>
      <c r="FT62" s="95"/>
      <c r="FU62" s="95"/>
      <c r="FV62" s="95"/>
      <c r="FW62" s="95"/>
      <c r="FX62" s="95"/>
      <c r="FY62" s="95"/>
      <c r="FZ62" s="95"/>
      <c r="GA62" s="95"/>
      <c r="GB62" s="95"/>
      <c r="GC62" s="95"/>
      <c r="GD62" s="95"/>
      <c r="GE62" s="95"/>
      <c r="GF62" s="95"/>
      <c r="GG62" s="95"/>
      <c r="GH62" s="95"/>
      <c r="GI62" s="95"/>
      <c r="GJ62" s="95"/>
      <c r="GK62" s="95"/>
      <c r="GL62" s="95"/>
      <c r="GM62" s="95"/>
      <c r="GN62" s="95"/>
      <c r="GO62" s="95"/>
      <c r="GP62" s="95"/>
      <c r="GQ62" s="95"/>
      <c r="GR62" s="95"/>
      <c r="GS62" s="95"/>
      <c r="GT62" s="95"/>
      <c r="GU62" s="95"/>
      <c r="GV62" s="95"/>
      <c r="GW62" s="95"/>
      <c r="GX62" s="95"/>
      <c r="GY62" s="95"/>
      <c r="GZ62" s="95"/>
      <c r="HA62" s="95"/>
      <c r="HB62" s="95"/>
      <c r="HC62" s="95"/>
      <c r="HD62" s="95"/>
      <c r="HE62" s="95"/>
      <c r="HF62" s="95"/>
      <c r="HG62" s="95"/>
      <c r="HH62" s="95"/>
      <c r="HI62" s="95"/>
      <c r="HJ62" s="95"/>
      <c r="HK62" s="95"/>
      <c r="HL62" s="95"/>
      <c r="HM62" s="95"/>
      <c r="HN62" s="95"/>
      <c r="HO62" s="95"/>
      <c r="HP62" s="95"/>
      <c r="HQ62" s="95"/>
      <c r="HR62" s="95"/>
      <c r="HS62" s="95"/>
      <c r="HT62" s="95"/>
      <c r="HU62" s="95"/>
      <c r="HV62" s="95"/>
      <c r="HW62" s="95"/>
      <c r="HX62" s="95"/>
      <c r="HY62" s="95"/>
      <c r="HZ62" s="95"/>
      <c r="IA62" s="95"/>
      <c r="IB62" s="95"/>
      <c r="IC62" s="95"/>
      <c r="ID62" s="95"/>
      <c r="IE62" s="95"/>
      <c r="IF62" s="95"/>
      <c r="IG62" s="95"/>
      <c r="IH62" s="95"/>
      <c r="II62" s="95"/>
      <c r="IJ62" s="95"/>
      <c r="IK62" s="95"/>
      <c r="IL62" s="95"/>
      <c r="IM62" s="95"/>
      <c r="IN62" s="95"/>
      <c r="IO62" s="95"/>
      <c r="IP62" s="95"/>
      <c r="IQ62" s="95"/>
      <c r="IR62" s="95"/>
      <c r="IS62" s="95"/>
      <c r="IT62" s="95"/>
      <c r="IU62" s="95"/>
      <c r="IV62" s="95"/>
      <c r="IW62" s="95"/>
      <c r="IX62" s="95"/>
      <c r="IY62" s="95"/>
      <c r="IZ62" s="95"/>
      <c r="JA62" s="95"/>
    </row>
    <row r="63" spans="3:261" ht="18.5" x14ac:dyDescent="0.45">
      <c r="C63" s="118" t="s">
        <v>96</v>
      </c>
      <c r="D63" s="119"/>
      <c r="E63" s="119"/>
      <c r="F63" s="120"/>
      <c r="G63" s="120"/>
      <c r="H63" s="121">
        <v>1</v>
      </c>
      <c r="I63" s="121">
        <v>2</v>
      </c>
      <c r="J63" s="121">
        <v>3</v>
      </c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  <c r="CA63" s="95"/>
      <c r="CB63" s="95"/>
      <c r="CC63" s="95"/>
      <c r="CD63" s="95"/>
      <c r="CE63" s="95"/>
      <c r="CF63" s="95"/>
      <c r="CG63" s="95"/>
      <c r="CH63" s="95"/>
      <c r="CI63" s="95"/>
      <c r="CJ63" s="95"/>
      <c r="CK63" s="95"/>
      <c r="CL63" s="95"/>
      <c r="CM63" s="95"/>
      <c r="CN63" s="95"/>
      <c r="CO63" s="95"/>
      <c r="CP63" s="95"/>
      <c r="CQ63" s="95"/>
      <c r="CR63" s="95"/>
      <c r="CS63" s="95"/>
      <c r="CT63" s="95"/>
      <c r="CU63" s="95"/>
      <c r="CV63" s="95"/>
      <c r="CW63" s="95"/>
      <c r="CX63" s="95"/>
      <c r="CY63" s="95"/>
      <c r="CZ63" s="95"/>
      <c r="DA63" s="95"/>
      <c r="DB63" s="95"/>
      <c r="DC63" s="95"/>
      <c r="DD63" s="95"/>
      <c r="DE63" s="95"/>
      <c r="DF63" s="95"/>
      <c r="DG63" s="95"/>
      <c r="DH63" s="95"/>
      <c r="DI63" s="95"/>
      <c r="DJ63" s="95"/>
      <c r="DK63" s="95"/>
      <c r="DL63" s="95"/>
      <c r="DM63" s="95"/>
      <c r="DN63" s="95"/>
      <c r="DO63" s="95"/>
      <c r="DP63" s="95"/>
      <c r="DQ63" s="95"/>
      <c r="DR63" s="95"/>
      <c r="DS63" s="95"/>
      <c r="DT63" s="95"/>
      <c r="DU63" s="95"/>
      <c r="DV63" s="95"/>
      <c r="DW63" s="95"/>
      <c r="DX63" s="95"/>
      <c r="DY63" s="95"/>
      <c r="DZ63" s="95"/>
      <c r="EA63" s="95"/>
      <c r="EB63" s="95"/>
      <c r="EC63" s="95"/>
      <c r="ED63" s="95"/>
      <c r="EE63" s="95"/>
      <c r="EF63" s="95"/>
      <c r="EG63" s="95"/>
      <c r="EH63" s="95"/>
      <c r="EI63" s="95"/>
      <c r="EJ63" s="95"/>
      <c r="EK63" s="95"/>
      <c r="EL63" s="95"/>
      <c r="EM63" s="95"/>
      <c r="EN63" s="95"/>
      <c r="EO63" s="95"/>
      <c r="EP63" s="95"/>
      <c r="EQ63" s="95"/>
      <c r="ER63" s="95"/>
      <c r="ES63" s="95"/>
      <c r="ET63" s="95"/>
      <c r="EU63" s="95"/>
      <c r="EV63" s="95"/>
      <c r="EW63" s="95"/>
      <c r="EX63" s="95"/>
      <c r="EY63" s="95"/>
      <c r="EZ63" s="95"/>
      <c r="FA63" s="95"/>
      <c r="FB63" s="95"/>
      <c r="FC63" s="95"/>
      <c r="FD63" s="95"/>
      <c r="FE63" s="95"/>
      <c r="FF63" s="95"/>
      <c r="FG63" s="95"/>
      <c r="FH63" s="95"/>
      <c r="FI63" s="95"/>
      <c r="FJ63" s="95"/>
      <c r="FK63" s="95"/>
      <c r="FL63" s="95"/>
      <c r="FM63" s="95"/>
      <c r="FN63" s="95"/>
      <c r="FO63" s="95"/>
      <c r="FP63" s="95"/>
      <c r="FQ63" s="95"/>
      <c r="FR63" s="95"/>
      <c r="FS63" s="95"/>
      <c r="FT63" s="95"/>
      <c r="FU63" s="95"/>
      <c r="FV63" s="95"/>
      <c r="FW63" s="95"/>
      <c r="FX63" s="95"/>
      <c r="FY63" s="95"/>
      <c r="FZ63" s="95"/>
      <c r="GA63" s="95"/>
      <c r="GB63" s="95"/>
      <c r="GC63" s="95"/>
      <c r="GD63" s="95"/>
      <c r="GE63" s="95"/>
      <c r="GF63" s="95"/>
      <c r="GG63" s="95"/>
      <c r="GH63" s="95"/>
      <c r="GI63" s="95"/>
      <c r="GJ63" s="95"/>
      <c r="GK63" s="95"/>
      <c r="GL63" s="95"/>
      <c r="GM63" s="95"/>
      <c r="GN63" s="95"/>
      <c r="GO63" s="95"/>
      <c r="GP63" s="95"/>
      <c r="GQ63" s="95"/>
      <c r="GR63" s="95"/>
      <c r="GS63" s="95"/>
      <c r="GT63" s="95"/>
      <c r="GU63" s="95"/>
      <c r="GV63" s="95"/>
      <c r="GW63" s="95"/>
      <c r="GX63" s="95"/>
      <c r="GY63" s="95"/>
      <c r="GZ63" s="95"/>
      <c r="HA63" s="95"/>
      <c r="HB63" s="95"/>
      <c r="HC63" s="95"/>
      <c r="HD63" s="95"/>
      <c r="HE63" s="95"/>
      <c r="HF63" s="95"/>
      <c r="HG63" s="95"/>
      <c r="HH63" s="95"/>
      <c r="HI63" s="95"/>
      <c r="HJ63" s="95"/>
      <c r="HK63" s="95"/>
      <c r="HL63" s="95"/>
      <c r="HM63" s="95"/>
      <c r="HN63" s="95"/>
      <c r="HO63" s="95"/>
      <c r="HP63" s="95"/>
      <c r="HQ63" s="95"/>
      <c r="HR63" s="95"/>
      <c r="HS63" s="95"/>
      <c r="HT63" s="95"/>
      <c r="HU63" s="95"/>
      <c r="HV63" s="95"/>
      <c r="HW63" s="95"/>
      <c r="HX63" s="95"/>
      <c r="HY63" s="95"/>
      <c r="HZ63" s="95"/>
      <c r="IA63" s="95"/>
      <c r="IB63" s="95"/>
      <c r="IC63" s="95"/>
      <c r="ID63" s="95"/>
      <c r="IE63" s="95"/>
      <c r="IF63" s="95"/>
      <c r="IG63" s="95"/>
      <c r="IH63" s="95"/>
      <c r="II63" s="95"/>
      <c r="IJ63" s="95"/>
      <c r="IK63" s="95"/>
      <c r="IL63" s="95"/>
      <c r="IM63" s="95"/>
      <c r="IN63" s="95"/>
      <c r="IO63" s="95"/>
      <c r="IP63" s="95"/>
      <c r="IQ63" s="95"/>
      <c r="IR63" s="95"/>
      <c r="IS63" s="95"/>
      <c r="IT63" s="95"/>
      <c r="IU63" s="95"/>
      <c r="IV63" s="95"/>
      <c r="IW63" s="95"/>
      <c r="IX63" s="95"/>
      <c r="IY63" s="95"/>
      <c r="IZ63" s="95"/>
      <c r="JA63" s="95"/>
    </row>
    <row r="64" spans="3:261" ht="18.5" x14ac:dyDescent="0.45">
      <c r="C64" s="122" t="s">
        <v>97</v>
      </c>
      <c r="D64" s="114"/>
      <c r="E64" s="114"/>
      <c r="G64" s="114"/>
      <c r="H64" s="114"/>
      <c r="I64" s="114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95"/>
      <c r="CJ64" s="95"/>
      <c r="CK64" s="95"/>
      <c r="CL64" s="95"/>
      <c r="CM64" s="95"/>
      <c r="CN64" s="95"/>
      <c r="CO64" s="95"/>
      <c r="CP64" s="95"/>
      <c r="CQ64" s="95"/>
      <c r="CR64" s="95"/>
      <c r="CS64" s="95"/>
      <c r="CT64" s="95"/>
      <c r="CU64" s="95"/>
      <c r="CV64" s="95"/>
      <c r="CW64" s="95"/>
      <c r="CX64" s="95"/>
      <c r="CY64" s="95"/>
      <c r="CZ64" s="95"/>
      <c r="DA64" s="95"/>
      <c r="DB64" s="95"/>
      <c r="DC64" s="95"/>
      <c r="DD64" s="95"/>
      <c r="DE64" s="95"/>
      <c r="DF64" s="95"/>
      <c r="DG64" s="95"/>
      <c r="DH64" s="95"/>
      <c r="DI64" s="95"/>
      <c r="DJ64" s="95"/>
      <c r="DK64" s="95"/>
      <c r="DL64" s="95"/>
      <c r="DM64" s="95"/>
      <c r="DN64" s="95"/>
      <c r="DO64" s="95"/>
      <c r="DP64" s="95"/>
      <c r="DQ64" s="95"/>
      <c r="DR64" s="95"/>
      <c r="DS64" s="95"/>
      <c r="DT64" s="95"/>
      <c r="DU64" s="95"/>
      <c r="DV64" s="95"/>
      <c r="DW64" s="95"/>
      <c r="DX64" s="95"/>
      <c r="DY64" s="95"/>
      <c r="DZ64" s="95"/>
      <c r="EA64" s="95"/>
      <c r="EB64" s="95"/>
      <c r="EC64" s="95"/>
      <c r="ED64" s="95"/>
      <c r="EE64" s="95"/>
      <c r="EF64" s="95"/>
      <c r="EG64" s="95"/>
      <c r="EH64" s="95"/>
      <c r="EI64" s="95"/>
      <c r="EJ64" s="95"/>
      <c r="EK64" s="95"/>
      <c r="EL64" s="95"/>
      <c r="EM64" s="95"/>
      <c r="EN64" s="95"/>
      <c r="EO64" s="95"/>
      <c r="EP64" s="95"/>
      <c r="EQ64" s="95"/>
      <c r="ER64" s="95"/>
      <c r="ES64" s="95"/>
      <c r="ET64" s="95"/>
      <c r="EU64" s="95"/>
      <c r="EV64" s="95"/>
      <c r="EW64" s="95"/>
      <c r="EX64" s="95"/>
      <c r="EY64" s="95"/>
      <c r="EZ64" s="95"/>
      <c r="FA64" s="95"/>
      <c r="FB64" s="95"/>
      <c r="FC64" s="95"/>
      <c r="FD64" s="95"/>
      <c r="FE64" s="95"/>
      <c r="FF64" s="95"/>
      <c r="FG64" s="95"/>
      <c r="FH64" s="95"/>
      <c r="FI64" s="95"/>
      <c r="FJ64" s="95"/>
      <c r="FK64" s="95"/>
      <c r="FL64" s="95"/>
      <c r="FM64" s="95"/>
      <c r="FN64" s="95"/>
      <c r="FO64" s="95"/>
      <c r="FP64" s="95"/>
      <c r="FQ64" s="95"/>
      <c r="FR64" s="95"/>
      <c r="FS64" s="95"/>
      <c r="FT64" s="95"/>
      <c r="FU64" s="95"/>
      <c r="FV64" s="95"/>
      <c r="FW64" s="95"/>
      <c r="FX64" s="95"/>
      <c r="FY64" s="95"/>
      <c r="FZ64" s="95"/>
      <c r="GA64" s="95"/>
      <c r="GB64" s="95"/>
      <c r="GC64" s="95"/>
      <c r="GD64" s="95"/>
      <c r="GE64" s="95"/>
      <c r="GF64" s="95"/>
      <c r="GG64" s="95"/>
      <c r="GH64" s="95"/>
      <c r="GI64" s="95"/>
      <c r="GJ64" s="95"/>
      <c r="GK64" s="95"/>
      <c r="GL64" s="95"/>
      <c r="GM64" s="95"/>
      <c r="GN64" s="95"/>
      <c r="GO64" s="95"/>
      <c r="GP64" s="95"/>
      <c r="GQ64" s="95"/>
      <c r="GR64" s="95"/>
      <c r="GS64" s="95"/>
      <c r="GT64" s="95"/>
      <c r="GU64" s="95"/>
      <c r="GV64" s="95"/>
      <c r="GW64" s="95"/>
      <c r="GX64" s="95"/>
      <c r="GY64" s="95"/>
      <c r="GZ64" s="95"/>
      <c r="HA64" s="95"/>
      <c r="HB64" s="95"/>
      <c r="HC64" s="95"/>
      <c r="HD64" s="95"/>
      <c r="HE64" s="95"/>
      <c r="HF64" s="95"/>
      <c r="HG64" s="95"/>
      <c r="HH64" s="95"/>
      <c r="HI64" s="95"/>
      <c r="HJ64" s="95"/>
      <c r="HK64" s="95"/>
      <c r="HL64" s="95"/>
      <c r="HM64" s="95"/>
      <c r="HN64" s="95"/>
      <c r="HO64" s="95"/>
      <c r="HP64" s="95"/>
      <c r="HQ64" s="95"/>
      <c r="HR64" s="95"/>
      <c r="HS64" s="95"/>
      <c r="HT64" s="95"/>
      <c r="HU64" s="95"/>
      <c r="HV64" s="95"/>
      <c r="HW64" s="95"/>
      <c r="HX64" s="95"/>
      <c r="HY64" s="95"/>
      <c r="HZ64" s="95"/>
      <c r="IA64" s="95"/>
      <c r="IB64" s="95"/>
      <c r="IC64" s="95"/>
      <c r="ID64" s="95"/>
      <c r="IE64" s="95"/>
      <c r="IF64" s="95"/>
      <c r="IG64" s="95"/>
      <c r="IH64" s="95"/>
      <c r="II64" s="95"/>
      <c r="IJ64" s="95"/>
      <c r="IK64" s="95"/>
      <c r="IL64" s="95"/>
      <c r="IM64" s="95"/>
      <c r="IN64" s="95"/>
      <c r="IO64" s="95"/>
      <c r="IP64" s="95"/>
      <c r="IQ64" s="95"/>
      <c r="IR64" s="95"/>
      <c r="IS64" s="95"/>
      <c r="IT64" s="95"/>
      <c r="IU64" s="95"/>
      <c r="IV64" s="95"/>
      <c r="IW64" s="95"/>
      <c r="IX64" s="95"/>
      <c r="IY64" s="95"/>
      <c r="IZ64" s="95"/>
      <c r="JA64" s="95"/>
    </row>
    <row r="65" spans="3:261" ht="18.5" x14ac:dyDescent="0.45">
      <c r="C65" s="123" t="s">
        <v>98</v>
      </c>
      <c r="E65" s="124">
        <v>0.9</v>
      </c>
      <c r="G65" s="125" t="s">
        <v>26</v>
      </c>
      <c r="H65" s="114"/>
      <c r="I65" s="114"/>
      <c r="K65" s="126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95"/>
      <c r="CJ65" s="95"/>
      <c r="CK65" s="95"/>
      <c r="CL65" s="95"/>
      <c r="CM65" s="95"/>
      <c r="CN65" s="95"/>
      <c r="CO65" s="95"/>
      <c r="CP65" s="95"/>
      <c r="CQ65" s="95"/>
      <c r="CR65" s="95"/>
      <c r="CS65" s="95"/>
      <c r="CT65" s="95"/>
      <c r="CU65" s="95"/>
      <c r="CV65" s="95"/>
      <c r="CW65" s="95"/>
      <c r="CX65" s="95"/>
      <c r="CY65" s="95"/>
      <c r="CZ65" s="95"/>
      <c r="DA65" s="95"/>
      <c r="DB65" s="95"/>
      <c r="DC65" s="95"/>
      <c r="DD65" s="95"/>
      <c r="DE65" s="95"/>
      <c r="DF65" s="95"/>
      <c r="DG65" s="95"/>
      <c r="DH65" s="95"/>
      <c r="DI65" s="95"/>
      <c r="DJ65" s="95"/>
      <c r="DK65" s="95"/>
      <c r="DL65" s="95"/>
      <c r="DM65" s="95"/>
      <c r="DN65" s="95"/>
      <c r="DO65" s="95"/>
      <c r="DP65" s="95"/>
      <c r="DQ65" s="95"/>
      <c r="DR65" s="95"/>
      <c r="DS65" s="95"/>
      <c r="DT65" s="95"/>
      <c r="DU65" s="95"/>
      <c r="DV65" s="95"/>
      <c r="DW65" s="95"/>
      <c r="DX65" s="95"/>
      <c r="DY65" s="95"/>
      <c r="DZ65" s="95"/>
      <c r="EA65" s="95"/>
      <c r="EB65" s="95"/>
      <c r="EC65" s="95"/>
      <c r="ED65" s="95"/>
      <c r="EE65" s="95"/>
      <c r="EF65" s="95"/>
      <c r="EG65" s="95"/>
      <c r="EH65" s="95"/>
      <c r="EI65" s="95"/>
      <c r="EJ65" s="95"/>
      <c r="EK65" s="95"/>
      <c r="EL65" s="95"/>
      <c r="EM65" s="95"/>
      <c r="EN65" s="95"/>
      <c r="EO65" s="95"/>
      <c r="EP65" s="95"/>
      <c r="EQ65" s="95"/>
      <c r="ER65" s="95"/>
      <c r="ES65" s="95"/>
      <c r="ET65" s="95"/>
      <c r="EU65" s="95"/>
      <c r="EV65" s="95"/>
      <c r="EW65" s="95"/>
      <c r="EX65" s="95"/>
      <c r="EY65" s="95"/>
      <c r="EZ65" s="95"/>
      <c r="FA65" s="95"/>
      <c r="FB65" s="95"/>
      <c r="FC65" s="95"/>
      <c r="FD65" s="95"/>
      <c r="FE65" s="95"/>
      <c r="FF65" s="95"/>
      <c r="FG65" s="95"/>
      <c r="FH65" s="95"/>
      <c r="FI65" s="95"/>
      <c r="FJ65" s="95"/>
      <c r="FK65" s="95"/>
      <c r="FL65" s="95"/>
      <c r="FM65" s="95"/>
      <c r="FN65" s="95"/>
      <c r="FO65" s="95"/>
      <c r="FP65" s="95"/>
      <c r="FQ65" s="95"/>
      <c r="FR65" s="95"/>
      <c r="FS65" s="95"/>
      <c r="FT65" s="95"/>
      <c r="FU65" s="95"/>
      <c r="FV65" s="95"/>
      <c r="FW65" s="95"/>
      <c r="FX65" s="95"/>
      <c r="FY65" s="95"/>
      <c r="FZ65" s="95"/>
      <c r="GA65" s="95"/>
      <c r="GB65" s="95"/>
      <c r="GC65" s="95"/>
      <c r="GD65" s="95"/>
      <c r="GE65" s="95"/>
      <c r="GF65" s="95"/>
      <c r="GG65" s="95"/>
      <c r="GH65" s="95"/>
      <c r="GI65" s="95"/>
      <c r="GJ65" s="95"/>
      <c r="GK65" s="95"/>
      <c r="GL65" s="95"/>
      <c r="GM65" s="95"/>
      <c r="GN65" s="95"/>
      <c r="GO65" s="95"/>
      <c r="GP65" s="95"/>
      <c r="GQ65" s="95"/>
      <c r="GR65" s="95"/>
      <c r="GS65" s="95"/>
      <c r="GT65" s="95"/>
      <c r="GU65" s="95"/>
      <c r="GV65" s="95"/>
      <c r="GW65" s="95"/>
      <c r="GX65" s="95"/>
      <c r="GY65" s="95"/>
      <c r="GZ65" s="95"/>
      <c r="HA65" s="95"/>
      <c r="HB65" s="95"/>
      <c r="HC65" s="95"/>
      <c r="HD65" s="95"/>
      <c r="HE65" s="95"/>
      <c r="HF65" s="95"/>
      <c r="HG65" s="95"/>
      <c r="HH65" s="95"/>
      <c r="HI65" s="95"/>
      <c r="HJ65" s="95"/>
      <c r="HK65" s="95"/>
      <c r="HL65" s="95"/>
      <c r="HM65" s="95"/>
      <c r="HN65" s="95"/>
      <c r="HO65" s="95"/>
      <c r="HP65" s="95"/>
      <c r="HQ65" s="95"/>
      <c r="HR65" s="95"/>
      <c r="HS65" s="95"/>
      <c r="HT65" s="95"/>
      <c r="HU65" s="95"/>
      <c r="HV65" s="95"/>
      <c r="HW65" s="95"/>
      <c r="HX65" s="95"/>
      <c r="HY65" s="95"/>
      <c r="HZ65" s="95"/>
      <c r="IA65" s="95"/>
      <c r="IB65" s="95"/>
      <c r="IC65" s="95"/>
      <c r="ID65" s="95"/>
      <c r="IE65" s="95"/>
      <c r="IF65" s="95"/>
      <c r="IG65" s="95"/>
      <c r="IH65" s="95"/>
      <c r="II65" s="95"/>
      <c r="IJ65" s="95"/>
      <c r="IK65" s="95"/>
      <c r="IL65" s="95"/>
      <c r="IM65" s="95"/>
      <c r="IN65" s="95"/>
      <c r="IO65" s="95"/>
      <c r="IP65" s="95"/>
      <c r="IQ65" s="95"/>
      <c r="IR65" s="95"/>
      <c r="IS65" s="95"/>
      <c r="IT65" s="95"/>
      <c r="IU65" s="95"/>
      <c r="IV65" s="95"/>
      <c r="IW65" s="95"/>
      <c r="IX65" s="95"/>
      <c r="IY65" s="95"/>
      <c r="IZ65" s="95"/>
      <c r="JA65" s="95"/>
    </row>
    <row r="66" spans="3:261" ht="18.5" x14ac:dyDescent="0.45">
      <c r="C66" s="127" t="s">
        <v>99</v>
      </c>
      <c r="E66" s="124">
        <v>0.98</v>
      </c>
      <c r="G66" s="125" t="s">
        <v>26</v>
      </c>
      <c r="H66" s="114"/>
      <c r="I66" s="114"/>
      <c r="K66" s="126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  <c r="CA66" s="95"/>
      <c r="CB66" s="95"/>
      <c r="CC66" s="95"/>
      <c r="CD66" s="95"/>
      <c r="CE66" s="95"/>
      <c r="CF66" s="95"/>
      <c r="CG66" s="95"/>
      <c r="CH66" s="95"/>
      <c r="CI66" s="95"/>
      <c r="CJ66" s="95"/>
      <c r="CK66" s="95"/>
      <c r="CL66" s="95"/>
      <c r="CM66" s="95"/>
      <c r="CN66" s="95"/>
      <c r="CO66" s="95"/>
      <c r="CP66" s="95"/>
      <c r="CQ66" s="95"/>
      <c r="CR66" s="95"/>
      <c r="CS66" s="95"/>
      <c r="CT66" s="95"/>
      <c r="CU66" s="95"/>
      <c r="CV66" s="95"/>
      <c r="CW66" s="95"/>
      <c r="CX66" s="95"/>
      <c r="CY66" s="95"/>
      <c r="CZ66" s="95"/>
      <c r="DA66" s="95"/>
      <c r="DB66" s="95"/>
      <c r="DC66" s="95"/>
      <c r="DD66" s="95"/>
      <c r="DE66" s="95"/>
      <c r="DF66" s="95"/>
      <c r="DG66" s="95"/>
      <c r="DH66" s="95"/>
      <c r="DI66" s="95"/>
      <c r="DJ66" s="95"/>
      <c r="DK66" s="95"/>
      <c r="DL66" s="95"/>
      <c r="DM66" s="95"/>
      <c r="DN66" s="95"/>
      <c r="DO66" s="95"/>
      <c r="DP66" s="95"/>
      <c r="DQ66" s="95"/>
      <c r="DR66" s="95"/>
      <c r="DS66" s="95"/>
      <c r="DT66" s="95"/>
      <c r="DU66" s="95"/>
      <c r="DV66" s="95"/>
      <c r="DW66" s="95"/>
      <c r="DX66" s="95"/>
      <c r="DY66" s="95"/>
      <c r="DZ66" s="95"/>
      <c r="EA66" s="95"/>
      <c r="EB66" s="95"/>
      <c r="EC66" s="95"/>
      <c r="ED66" s="95"/>
      <c r="EE66" s="95"/>
      <c r="EF66" s="95"/>
      <c r="EG66" s="95"/>
      <c r="EH66" s="95"/>
      <c r="EI66" s="95"/>
      <c r="EJ66" s="95"/>
      <c r="EK66" s="95"/>
      <c r="EL66" s="95"/>
      <c r="EM66" s="95"/>
      <c r="EN66" s="95"/>
      <c r="EO66" s="95"/>
      <c r="EP66" s="95"/>
      <c r="EQ66" s="95"/>
      <c r="ER66" s="95"/>
      <c r="ES66" s="95"/>
      <c r="ET66" s="95"/>
      <c r="EU66" s="95"/>
      <c r="EV66" s="95"/>
      <c r="EW66" s="95"/>
      <c r="EX66" s="95"/>
      <c r="EY66" s="95"/>
      <c r="EZ66" s="95"/>
      <c r="FA66" s="95"/>
      <c r="FB66" s="95"/>
      <c r="FC66" s="95"/>
      <c r="FD66" s="95"/>
      <c r="FE66" s="95"/>
      <c r="FF66" s="95"/>
      <c r="FG66" s="95"/>
      <c r="FH66" s="95"/>
      <c r="FI66" s="95"/>
      <c r="FJ66" s="95"/>
      <c r="FK66" s="95"/>
      <c r="FL66" s="95"/>
      <c r="FM66" s="95"/>
      <c r="FN66" s="95"/>
      <c r="FO66" s="95"/>
      <c r="FP66" s="95"/>
      <c r="FQ66" s="95"/>
      <c r="FR66" s="95"/>
      <c r="FS66" s="95"/>
      <c r="FT66" s="95"/>
      <c r="FU66" s="95"/>
      <c r="FV66" s="95"/>
      <c r="FW66" s="95"/>
      <c r="FX66" s="95"/>
      <c r="FY66" s="95"/>
      <c r="FZ66" s="95"/>
      <c r="GA66" s="95"/>
      <c r="GB66" s="95"/>
      <c r="GC66" s="95"/>
      <c r="GD66" s="95"/>
      <c r="GE66" s="95"/>
      <c r="GF66" s="95"/>
      <c r="GG66" s="95"/>
      <c r="GH66" s="95"/>
      <c r="GI66" s="95"/>
      <c r="GJ66" s="95"/>
      <c r="GK66" s="95"/>
      <c r="GL66" s="95"/>
      <c r="GM66" s="95"/>
      <c r="GN66" s="95"/>
      <c r="GO66" s="95"/>
      <c r="GP66" s="95"/>
      <c r="GQ66" s="95"/>
      <c r="GR66" s="95"/>
      <c r="GS66" s="95"/>
      <c r="GT66" s="95"/>
      <c r="GU66" s="95"/>
      <c r="GV66" s="95"/>
      <c r="GW66" s="95"/>
      <c r="GX66" s="95"/>
      <c r="GY66" s="95"/>
      <c r="GZ66" s="95"/>
      <c r="HA66" s="95"/>
      <c r="HB66" s="95"/>
      <c r="HC66" s="95"/>
      <c r="HD66" s="95"/>
      <c r="HE66" s="95"/>
      <c r="HF66" s="95"/>
      <c r="HG66" s="95"/>
      <c r="HH66" s="95"/>
      <c r="HI66" s="95"/>
      <c r="HJ66" s="95"/>
      <c r="HK66" s="95"/>
      <c r="HL66" s="95"/>
      <c r="HM66" s="95"/>
      <c r="HN66" s="95"/>
      <c r="HO66" s="95"/>
      <c r="HP66" s="95"/>
      <c r="HQ66" s="95"/>
      <c r="HR66" s="95"/>
      <c r="HS66" s="95"/>
      <c r="HT66" s="95"/>
      <c r="HU66" s="95"/>
      <c r="HV66" s="95"/>
      <c r="HW66" s="95"/>
      <c r="HX66" s="95"/>
      <c r="HY66" s="95"/>
      <c r="HZ66" s="95"/>
      <c r="IA66" s="95"/>
      <c r="IB66" s="95"/>
      <c r="IC66" s="95"/>
      <c r="ID66" s="95"/>
      <c r="IE66" s="95"/>
      <c r="IF66" s="95"/>
      <c r="IG66" s="95"/>
      <c r="IH66" s="95"/>
      <c r="II66" s="95"/>
      <c r="IJ66" s="95"/>
      <c r="IK66" s="95"/>
      <c r="IL66" s="95"/>
      <c r="IM66" s="95"/>
      <c r="IN66" s="95"/>
      <c r="IO66" s="95"/>
      <c r="IP66" s="95"/>
      <c r="IQ66" s="95"/>
      <c r="IR66" s="95"/>
      <c r="IS66" s="95"/>
      <c r="IT66" s="95"/>
      <c r="IU66" s="95"/>
      <c r="IV66" s="95"/>
      <c r="IW66" s="95"/>
      <c r="IX66" s="95"/>
      <c r="IY66" s="95"/>
      <c r="IZ66" s="95"/>
      <c r="JA66" s="95"/>
    </row>
    <row r="67" spans="3:261" ht="18.5" x14ac:dyDescent="0.45">
      <c r="C67" s="114"/>
      <c r="D67" s="114"/>
      <c r="E67" s="114"/>
      <c r="G67" s="125"/>
      <c r="H67" s="114"/>
      <c r="I67" s="114"/>
      <c r="S67" s="95"/>
      <c r="T67" s="95"/>
      <c r="U67" s="95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/>
      <c r="BZ67" s="95"/>
      <c r="CA67" s="95"/>
      <c r="CB67" s="95"/>
      <c r="CC67" s="95"/>
      <c r="CD67" s="95"/>
      <c r="CE67" s="95"/>
      <c r="CF67" s="95"/>
      <c r="CG67" s="95"/>
      <c r="CH67" s="95"/>
      <c r="CI67" s="95"/>
      <c r="CJ67" s="95"/>
      <c r="CK67" s="95"/>
      <c r="CL67" s="95"/>
      <c r="CM67" s="95"/>
      <c r="CN67" s="95"/>
      <c r="CO67" s="95"/>
      <c r="CP67" s="95"/>
      <c r="CQ67" s="95"/>
      <c r="CR67" s="95"/>
      <c r="CS67" s="95"/>
      <c r="CT67" s="95"/>
      <c r="CU67" s="95"/>
      <c r="CV67" s="95"/>
      <c r="CW67" s="95"/>
      <c r="CX67" s="95"/>
      <c r="CY67" s="95"/>
      <c r="CZ67" s="95"/>
      <c r="DA67" s="95"/>
      <c r="DB67" s="95"/>
      <c r="DC67" s="95"/>
      <c r="DD67" s="95"/>
      <c r="DE67" s="95"/>
      <c r="DF67" s="95"/>
      <c r="DG67" s="95"/>
      <c r="DH67" s="95"/>
      <c r="DI67" s="95"/>
      <c r="DJ67" s="95"/>
      <c r="DK67" s="95"/>
      <c r="DL67" s="95"/>
      <c r="DM67" s="95"/>
      <c r="DN67" s="95"/>
      <c r="DO67" s="95"/>
      <c r="DP67" s="95"/>
      <c r="DQ67" s="95"/>
      <c r="DR67" s="95"/>
      <c r="DS67" s="95"/>
      <c r="DT67" s="95"/>
      <c r="DU67" s="95"/>
      <c r="DV67" s="95"/>
      <c r="DW67" s="95"/>
      <c r="DX67" s="95"/>
      <c r="DY67" s="95"/>
      <c r="DZ67" s="95"/>
      <c r="EA67" s="95"/>
      <c r="EB67" s="95"/>
      <c r="EC67" s="95"/>
      <c r="ED67" s="95"/>
      <c r="EE67" s="95"/>
      <c r="EF67" s="95"/>
      <c r="EG67" s="95"/>
      <c r="EH67" s="95"/>
      <c r="EI67" s="95"/>
      <c r="EJ67" s="95"/>
      <c r="EK67" s="95"/>
      <c r="EL67" s="95"/>
      <c r="EM67" s="95"/>
      <c r="EN67" s="95"/>
      <c r="EO67" s="95"/>
      <c r="EP67" s="95"/>
      <c r="EQ67" s="95"/>
      <c r="ER67" s="95"/>
      <c r="ES67" s="95"/>
      <c r="ET67" s="95"/>
      <c r="EU67" s="95"/>
      <c r="EV67" s="95"/>
      <c r="EW67" s="95"/>
      <c r="EX67" s="95"/>
      <c r="EY67" s="95"/>
      <c r="EZ67" s="95"/>
      <c r="FA67" s="95"/>
      <c r="FB67" s="95"/>
      <c r="FC67" s="95"/>
      <c r="FD67" s="95"/>
      <c r="FE67" s="95"/>
      <c r="FF67" s="95"/>
      <c r="FG67" s="95"/>
      <c r="FH67" s="95"/>
      <c r="FI67" s="95"/>
      <c r="FJ67" s="95"/>
      <c r="FK67" s="95"/>
      <c r="FL67" s="95"/>
      <c r="FM67" s="95"/>
      <c r="FN67" s="95"/>
      <c r="FO67" s="95"/>
      <c r="FP67" s="95"/>
      <c r="FQ67" s="95"/>
      <c r="FR67" s="95"/>
      <c r="FS67" s="95"/>
      <c r="FT67" s="95"/>
      <c r="FU67" s="95"/>
      <c r="FV67" s="95"/>
      <c r="FW67" s="95"/>
      <c r="FX67" s="95"/>
      <c r="FY67" s="95"/>
      <c r="FZ67" s="95"/>
      <c r="GA67" s="95"/>
      <c r="GB67" s="95"/>
      <c r="GC67" s="95"/>
      <c r="GD67" s="95"/>
      <c r="GE67" s="95"/>
      <c r="GF67" s="95"/>
      <c r="GG67" s="95"/>
      <c r="GH67" s="95"/>
      <c r="GI67" s="95"/>
      <c r="GJ67" s="95"/>
      <c r="GK67" s="95"/>
      <c r="GL67" s="95"/>
      <c r="GM67" s="95"/>
      <c r="GN67" s="95"/>
      <c r="GO67" s="95"/>
      <c r="GP67" s="95"/>
      <c r="GQ67" s="95"/>
      <c r="GR67" s="95"/>
      <c r="GS67" s="95"/>
      <c r="GT67" s="95"/>
      <c r="GU67" s="95"/>
      <c r="GV67" s="95"/>
      <c r="GW67" s="95"/>
      <c r="GX67" s="95"/>
      <c r="GY67" s="95"/>
      <c r="GZ67" s="95"/>
      <c r="HA67" s="95"/>
      <c r="HB67" s="95"/>
      <c r="HC67" s="95"/>
      <c r="HD67" s="95"/>
      <c r="HE67" s="95"/>
      <c r="HF67" s="95"/>
      <c r="HG67" s="95"/>
      <c r="HH67" s="95"/>
      <c r="HI67" s="95"/>
      <c r="HJ67" s="95"/>
      <c r="HK67" s="95"/>
      <c r="HL67" s="95"/>
      <c r="HM67" s="95"/>
      <c r="HN67" s="95"/>
      <c r="HO67" s="95"/>
      <c r="HP67" s="95"/>
      <c r="HQ67" s="95"/>
      <c r="HR67" s="95"/>
      <c r="HS67" s="95"/>
      <c r="HT67" s="95"/>
      <c r="HU67" s="95"/>
      <c r="HV67" s="95"/>
      <c r="HW67" s="95"/>
      <c r="HX67" s="95"/>
      <c r="HY67" s="95"/>
      <c r="HZ67" s="95"/>
      <c r="IA67" s="95"/>
      <c r="IB67" s="95"/>
      <c r="IC67" s="95"/>
      <c r="ID67" s="95"/>
      <c r="IE67" s="95"/>
      <c r="IF67" s="95"/>
      <c r="IG67" s="95"/>
      <c r="IH67" s="95"/>
      <c r="II67" s="95"/>
      <c r="IJ67" s="95"/>
      <c r="IK67" s="95"/>
      <c r="IL67" s="95"/>
      <c r="IM67" s="95"/>
      <c r="IN67" s="95"/>
      <c r="IO67" s="95"/>
      <c r="IP67" s="95"/>
      <c r="IQ67" s="95"/>
      <c r="IR67" s="95"/>
      <c r="IS67" s="95"/>
      <c r="IT67" s="95"/>
      <c r="IU67" s="95"/>
      <c r="IV67" s="95"/>
      <c r="IW67" s="95"/>
      <c r="IX67" s="95"/>
      <c r="IY67" s="95"/>
      <c r="IZ67" s="95"/>
      <c r="JA67" s="95"/>
    </row>
    <row r="68" spans="3:261" ht="18.5" x14ac:dyDescent="0.45">
      <c r="C68" s="122" t="s">
        <v>32</v>
      </c>
      <c r="D68" s="114"/>
      <c r="E68" s="114"/>
      <c r="G68" s="114"/>
      <c r="H68" s="114"/>
      <c r="I68" s="114"/>
      <c r="S68" s="95"/>
      <c r="T68" s="95"/>
      <c r="U68" s="95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95"/>
      <c r="AQ68" s="95"/>
      <c r="AR68" s="95"/>
      <c r="AS68" s="95"/>
      <c r="AT68" s="95"/>
      <c r="AU68" s="95"/>
      <c r="AV68" s="95"/>
      <c r="AW68" s="95"/>
      <c r="AX68" s="95"/>
      <c r="AY68" s="95"/>
      <c r="AZ68" s="9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  <c r="CA68" s="95"/>
      <c r="CB68" s="95"/>
      <c r="CC68" s="95"/>
      <c r="CD68" s="95"/>
      <c r="CE68" s="95"/>
      <c r="CF68" s="95"/>
      <c r="CG68" s="95"/>
      <c r="CH68" s="95"/>
      <c r="CI68" s="95"/>
      <c r="CJ68" s="95"/>
      <c r="CK68" s="95"/>
      <c r="CL68" s="95"/>
      <c r="CM68" s="95"/>
      <c r="CN68" s="95"/>
      <c r="CO68" s="95"/>
      <c r="CP68" s="95"/>
      <c r="CQ68" s="95"/>
      <c r="CR68" s="95"/>
      <c r="CS68" s="95"/>
      <c r="CT68" s="95"/>
      <c r="CU68" s="95"/>
      <c r="CV68" s="95"/>
      <c r="CW68" s="95"/>
      <c r="CX68" s="95"/>
      <c r="CY68" s="95"/>
      <c r="CZ68" s="95"/>
      <c r="DA68" s="95"/>
      <c r="DB68" s="95"/>
      <c r="DC68" s="95"/>
      <c r="DD68" s="95"/>
      <c r="DE68" s="95"/>
      <c r="DF68" s="95"/>
      <c r="DG68" s="95"/>
      <c r="DH68" s="95"/>
      <c r="DI68" s="95"/>
      <c r="DJ68" s="95"/>
      <c r="DK68" s="95"/>
      <c r="DL68" s="95"/>
      <c r="DM68" s="95"/>
      <c r="DN68" s="95"/>
      <c r="DO68" s="95"/>
      <c r="DP68" s="95"/>
      <c r="DQ68" s="95"/>
      <c r="DR68" s="95"/>
      <c r="DS68" s="95"/>
      <c r="DT68" s="95"/>
      <c r="DU68" s="95"/>
      <c r="DV68" s="95"/>
      <c r="DW68" s="95"/>
      <c r="DX68" s="95"/>
      <c r="DY68" s="95"/>
      <c r="DZ68" s="95"/>
      <c r="EA68" s="95"/>
      <c r="EB68" s="95"/>
      <c r="EC68" s="95"/>
      <c r="ED68" s="95"/>
      <c r="EE68" s="95"/>
      <c r="EF68" s="95"/>
      <c r="EG68" s="95"/>
      <c r="EH68" s="95"/>
      <c r="EI68" s="95"/>
      <c r="EJ68" s="95"/>
      <c r="EK68" s="95"/>
      <c r="EL68" s="95"/>
      <c r="EM68" s="95"/>
      <c r="EN68" s="95"/>
      <c r="EO68" s="95"/>
      <c r="EP68" s="95"/>
      <c r="EQ68" s="95"/>
      <c r="ER68" s="95"/>
      <c r="ES68" s="95"/>
      <c r="ET68" s="95"/>
      <c r="EU68" s="95"/>
      <c r="EV68" s="95"/>
      <c r="EW68" s="95"/>
      <c r="EX68" s="95"/>
      <c r="EY68" s="95"/>
      <c r="EZ68" s="95"/>
      <c r="FA68" s="95"/>
      <c r="FB68" s="95"/>
      <c r="FC68" s="95"/>
      <c r="FD68" s="95"/>
      <c r="FE68" s="95"/>
      <c r="FF68" s="95"/>
      <c r="FG68" s="95"/>
      <c r="FH68" s="95"/>
      <c r="FI68" s="95"/>
      <c r="FJ68" s="95"/>
      <c r="FK68" s="95"/>
      <c r="FL68" s="95"/>
      <c r="FM68" s="95"/>
      <c r="FN68" s="95"/>
      <c r="FO68" s="95"/>
      <c r="FP68" s="95"/>
      <c r="FQ68" s="95"/>
      <c r="FR68" s="95"/>
      <c r="FS68" s="95"/>
      <c r="FT68" s="95"/>
      <c r="FU68" s="95"/>
      <c r="FV68" s="95"/>
      <c r="FW68" s="95"/>
      <c r="FX68" s="95"/>
      <c r="FY68" s="95"/>
      <c r="FZ68" s="95"/>
      <c r="GA68" s="95"/>
      <c r="GB68" s="95"/>
      <c r="GC68" s="95"/>
      <c r="GD68" s="95"/>
      <c r="GE68" s="95"/>
      <c r="GF68" s="95"/>
      <c r="GG68" s="95"/>
      <c r="GH68" s="95"/>
      <c r="GI68" s="95"/>
      <c r="GJ68" s="95"/>
      <c r="GK68" s="95"/>
      <c r="GL68" s="95"/>
      <c r="GM68" s="95"/>
      <c r="GN68" s="95"/>
      <c r="GO68" s="95"/>
      <c r="GP68" s="95"/>
      <c r="GQ68" s="95"/>
      <c r="GR68" s="95"/>
      <c r="GS68" s="95"/>
      <c r="GT68" s="95"/>
      <c r="GU68" s="95"/>
      <c r="GV68" s="95"/>
      <c r="GW68" s="95"/>
      <c r="GX68" s="95"/>
      <c r="GY68" s="95"/>
      <c r="GZ68" s="95"/>
      <c r="HA68" s="95"/>
      <c r="HB68" s="95"/>
      <c r="HC68" s="95"/>
      <c r="HD68" s="95"/>
      <c r="HE68" s="95"/>
      <c r="HF68" s="95"/>
      <c r="HG68" s="95"/>
      <c r="HH68" s="95"/>
      <c r="HI68" s="95"/>
      <c r="HJ68" s="95"/>
      <c r="HK68" s="95"/>
      <c r="HL68" s="95"/>
      <c r="HM68" s="95"/>
      <c r="HN68" s="95"/>
      <c r="HO68" s="95"/>
      <c r="HP68" s="95"/>
      <c r="HQ68" s="95"/>
      <c r="HR68" s="95"/>
      <c r="HS68" s="95"/>
      <c r="HT68" s="95"/>
      <c r="HU68" s="95"/>
      <c r="HV68" s="95"/>
      <c r="HW68" s="95"/>
      <c r="HX68" s="95"/>
      <c r="HY68" s="95"/>
      <c r="HZ68" s="95"/>
      <c r="IA68" s="95"/>
      <c r="IB68" s="95"/>
      <c r="IC68" s="95"/>
      <c r="ID68" s="95"/>
      <c r="IE68" s="95"/>
      <c r="IF68" s="95"/>
      <c r="IG68" s="95"/>
      <c r="IH68" s="95"/>
      <c r="II68" s="95"/>
      <c r="IJ68" s="95"/>
      <c r="IK68" s="95"/>
      <c r="IL68" s="95"/>
      <c r="IM68" s="95"/>
      <c r="IN68" s="95"/>
      <c r="IO68" s="95"/>
      <c r="IP68" s="95"/>
      <c r="IQ68" s="95"/>
      <c r="IR68" s="95"/>
      <c r="IS68" s="95"/>
      <c r="IT68" s="95"/>
      <c r="IU68" s="95"/>
      <c r="IV68" s="95"/>
      <c r="IW68" s="95"/>
      <c r="IX68" s="95"/>
      <c r="IY68" s="95"/>
      <c r="IZ68" s="95"/>
      <c r="JA68" s="95"/>
    </row>
    <row r="69" spans="3:261" ht="18.5" x14ac:dyDescent="0.45">
      <c r="C69" s="130" t="s">
        <v>100</v>
      </c>
      <c r="D69" s="131"/>
      <c r="E69" s="132">
        <f>SUMIFS($H69:$J69,H$63:J$63,$D$60)</f>
        <v>0</v>
      </c>
      <c r="F69" s="131"/>
      <c r="G69" s="133" t="s">
        <v>101</v>
      </c>
      <c r="H69" s="134">
        <v>15</v>
      </c>
      <c r="I69" s="134">
        <v>15</v>
      </c>
      <c r="J69" s="134">
        <v>15</v>
      </c>
      <c r="S69" s="95"/>
      <c r="T69" s="95"/>
      <c r="U69" s="9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5"/>
      <c r="AO69" s="13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95"/>
      <c r="CJ69" s="95"/>
      <c r="CK69" s="95"/>
      <c r="CL69" s="95"/>
      <c r="CM69" s="95"/>
      <c r="CN69" s="95"/>
      <c r="CO69" s="95"/>
      <c r="CP69" s="95"/>
      <c r="CQ69" s="95"/>
      <c r="CR69" s="95"/>
      <c r="CS69" s="95"/>
      <c r="CT69" s="95"/>
      <c r="CU69" s="95"/>
      <c r="CV69" s="95"/>
      <c r="CW69" s="95"/>
      <c r="CX69" s="95"/>
      <c r="CY69" s="95"/>
      <c r="CZ69" s="95"/>
      <c r="DA69" s="95"/>
      <c r="DB69" s="95"/>
      <c r="DC69" s="95"/>
      <c r="DD69" s="95"/>
      <c r="DE69" s="95"/>
      <c r="DF69" s="95"/>
      <c r="DG69" s="95"/>
      <c r="DH69" s="95"/>
      <c r="DI69" s="95"/>
      <c r="DJ69" s="95"/>
      <c r="DK69" s="95"/>
      <c r="DL69" s="95"/>
      <c r="DM69" s="95"/>
      <c r="DN69" s="95"/>
      <c r="DO69" s="95"/>
      <c r="DP69" s="95"/>
      <c r="DQ69" s="95"/>
      <c r="DR69" s="95"/>
      <c r="DS69" s="95"/>
      <c r="DT69" s="95"/>
      <c r="DU69" s="95"/>
      <c r="DV69" s="95"/>
      <c r="DW69" s="95"/>
      <c r="DX69" s="95"/>
      <c r="DY69" s="95"/>
      <c r="DZ69" s="95"/>
      <c r="EA69" s="95"/>
      <c r="EB69" s="95"/>
      <c r="EC69" s="95"/>
      <c r="ED69" s="95"/>
      <c r="EE69" s="95"/>
      <c r="EF69" s="95"/>
      <c r="EG69" s="95"/>
      <c r="EH69" s="95"/>
      <c r="EI69" s="95"/>
      <c r="EJ69" s="95"/>
      <c r="EK69" s="95"/>
      <c r="EL69" s="95"/>
      <c r="EM69" s="95"/>
      <c r="EN69" s="95"/>
      <c r="EO69" s="95"/>
      <c r="EP69" s="95"/>
      <c r="EQ69" s="95"/>
      <c r="ER69" s="95"/>
      <c r="ES69" s="95"/>
      <c r="ET69" s="95"/>
      <c r="EU69" s="95"/>
      <c r="EV69" s="95"/>
      <c r="EW69" s="95"/>
      <c r="EX69" s="95"/>
      <c r="EY69" s="95"/>
      <c r="EZ69" s="95"/>
      <c r="FA69" s="95"/>
      <c r="FB69" s="95"/>
      <c r="FC69" s="95"/>
      <c r="FD69" s="95"/>
      <c r="FE69" s="95"/>
      <c r="FF69" s="95"/>
      <c r="FG69" s="95"/>
      <c r="FH69" s="95"/>
      <c r="FI69" s="95"/>
      <c r="FJ69" s="95"/>
      <c r="FK69" s="95"/>
      <c r="FL69" s="95"/>
      <c r="FM69" s="95"/>
      <c r="FN69" s="95"/>
      <c r="FO69" s="95"/>
      <c r="FP69" s="95"/>
      <c r="FQ69" s="95"/>
      <c r="FR69" s="95"/>
      <c r="FS69" s="95"/>
      <c r="FT69" s="95"/>
      <c r="FU69" s="95"/>
      <c r="FV69" s="95"/>
      <c r="FW69" s="95"/>
      <c r="FX69" s="95"/>
      <c r="FY69" s="95"/>
      <c r="FZ69" s="95"/>
      <c r="GA69" s="95"/>
      <c r="GB69" s="95"/>
      <c r="GC69" s="95"/>
      <c r="GD69" s="95"/>
      <c r="GE69" s="95"/>
      <c r="GF69" s="95"/>
      <c r="GG69" s="95"/>
      <c r="GH69" s="95"/>
      <c r="GI69" s="95"/>
      <c r="GJ69" s="95"/>
      <c r="GK69" s="95"/>
      <c r="GL69" s="95"/>
      <c r="GM69" s="95"/>
      <c r="GN69" s="95"/>
      <c r="GO69" s="95"/>
      <c r="GP69" s="95"/>
      <c r="GQ69" s="95"/>
      <c r="GR69" s="95"/>
      <c r="GS69" s="95"/>
      <c r="GT69" s="95"/>
      <c r="GU69" s="95"/>
      <c r="GV69" s="95"/>
      <c r="GW69" s="95"/>
      <c r="GX69" s="95"/>
      <c r="GY69" s="95"/>
      <c r="GZ69" s="95"/>
      <c r="HA69" s="95"/>
      <c r="HB69" s="95"/>
      <c r="HC69" s="95"/>
      <c r="HD69" s="95"/>
      <c r="HE69" s="95"/>
      <c r="HF69" s="95"/>
      <c r="HG69" s="95"/>
      <c r="HH69" s="95"/>
      <c r="HI69" s="95"/>
      <c r="HJ69" s="95"/>
      <c r="HK69" s="95"/>
      <c r="HL69" s="95"/>
      <c r="HM69" s="95"/>
      <c r="HN69" s="95"/>
      <c r="HO69" s="95"/>
      <c r="HP69" s="95"/>
      <c r="HQ69" s="95"/>
      <c r="HR69" s="95"/>
      <c r="HS69" s="95"/>
      <c r="HT69" s="95"/>
      <c r="HU69" s="95"/>
      <c r="HV69" s="95"/>
      <c r="HW69" s="95"/>
      <c r="HX69" s="95"/>
      <c r="HY69" s="95"/>
      <c r="HZ69" s="95"/>
      <c r="IA69" s="95"/>
      <c r="IB69" s="95"/>
      <c r="IC69" s="95"/>
      <c r="ID69" s="95"/>
      <c r="IE69" s="95"/>
      <c r="IF69" s="95"/>
      <c r="IG69" s="95"/>
      <c r="IH69" s="95"/>
      <c r="II69" s="95"/>
      <c r="IJ69" s="95"/>
      <c r="IK69" s="95"/>
      <c r="IL69" s="95"/>
      <c r="IM69" s="95"/>
      <c r="IN69" s="95"/>
      <c r="IO69" s="95"/>
      <c r="IP69" s="95"/>
      <c r="IQ69" s="95"/>
      <c r="IR69" s="95"/>
      <c r="IS69" s="95"/>
      <c r="IT69" s="95"/>
      <c r="IU69" s="95"/>
      <c r="IV69" s="95"/>
      <c r="IW69" s="95"/>
      <c r="IX69" s="95"/>
      <c r="IY69" s="95"/>
      <c r="IZ69" s="95"/>
      <c r="JA69" s="95"/>
    </row>
    <row r="70" spans="3:261" ht="18.5" x14ac:dyDescent="0.45">
      <c r="C70" s="114"/>
      <c r="D70" s="114"/>
      <c r="E70" s="114"/>
      <c r="G70" s="114"/>
      <c r="H70" s="114"/>
      <c r="I70" s="114"/>
      <c r="J70" s="114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95"/>
      <c r="BZ70" s="95"/>
      <c r="CA70" s="95"/>
      <c r="CB70" s="95"/>
      <c r="CC70" s="95"/>
      <c r="CD70" s="95"/>
      <c r="CE70" s="95"/>
      <c r="CF70" s="95"/>
      <c r="CG70" s="95"/>
      <c r="CH70" s="95"/>
      <c r="CI70" s="95"/>
      <c r="CJ70" s="95"/>
      <c r="CK70" s="95"/>
      <c r="CL70" s="95"/>
      <c r="CM70" s="95"/>
      <c r="CN70" s="95"/>
      <c r="CO70" s="95"/>
      <c r="CP70" s="95"/>
      <c r="CQ70" s="95"/>
      <c r="CR70" s="95"/>
      <c r="CS70" s="95"/>
      <c r="CT70" s="95"/>
      <c r="CU70" s="95"/>
      <c r="CV70" s="95"/>
      <c r="CW70" s="95"/>
      <c r="CX70" s="95"/>
      <c r="CY70" s="95"/>
      <c r="CZ70" s="95"/>
      <c r="DA70" s="95"/>
      <c r="DB70" s="95"/>
      <c r="DC70" s="95"/>
      <c r="DD70" s="95"/>
      <c r="DE70" s="95"/>
      <c r="DF70" s="95"/>
      <c r="DG70" s="95"/>
      <c r="DH70" s="95"/>
      <c r="DI70" s="95"/>
      <c r="DJ70" s="95"/>
      <c r="DK70" s="95"/>
      <c r="DL70" s="95"/>
      <c r="DM70" s="95"/>
      <c r="DN70" s="95"/>
      <c r="DO70" s="95"/>
      <c r="DP70" s="95"/>
      <c r="DQ70" s="95"/>
      <c r="DR70" s="95"/>
      <c r="DS70" s="95"/>
      <c r="DT70" s="95"/>
      <c r="DU70" s="95"/>
      <c r="DV70" s="95"/>
      <c r="DW70" s="95"/>
      <c r="DX70" s="95"/>
      <c r="DY70" s="95"/>
      <c r="DZ70" s="95"/>
      <c r="EA70" s="95"/>
      <c r="EB70" s="95"/>
      <c r="EC70" s="95"/>
      <c r="ED70" s="95"/>
      <c r="EE70" s="95"/>
      <c r="EF70" s="95"/>
      <c r="EG70" s="95"/>
      <c r="EH70" s="95"/>
      <c r="EI70" s="95"/>
      <c r="EJ70" s="95"/>
      <c r="EK70" s="95"/>
      <c r="EL70" s="95"/>
      <c r="EM70" s="95"/>
      <c r="EN70" s="95"/>
      <c r="EO70" s="95"/>
      <c r="EP70" s="95"/>
      <c r="EQ70" s="95"/>
      <c r="ER70" s="95"/>
      <c r="ES70" s="95"/>
      <c r="ET70" s="95"/>
      <c r="EU70" s="95"/>
      <c r="EV70" s="95"/>
      <c r="EW70" s="95"/>
      <c r="EX70" s="95"/>
      <c r="EY70" s="95"/>
      <c r="EZ70" s="95"/>
      <c r="FA70" s="95"/>
      <c r="FB70" s="95"/>
      <c r="FC70" s="95"/>
      <c r="FD70" s="95"/>
      <c r="FE70" s="95"/>
      <c r="FF70" s="95"/>
      <c r="FG70" s="95"/>
      <c r="FH70" s="95"/>
      <c r="FI70" s="95"/>
      <c r="FJ70" s="95"/>
      <c r="FK70" s="95"/>
      <c r="FL70" s="95"/>
      <c r="FM70" s="95"/>
      <c r="FN70" s="95"/>
      <c r="FO70" s="95"/>
      <c r="FP70" s="95"/>
      <c r="FQ70" s="95"/>
      <c r="FR70" s="95"/>
      <c r="FS70" s="95"/>
      <c r="FT70" s="95"/>
      <c r="FU70" s="95"/>
      <c r="FV70" s="95"/>
      <c r="FW70" s="95"/>
      <c r="FX70" s="95"/>
      <c r="FY70" s="95"/>
      <c r="FZ70" s="95"/>
      <c r="GA70" s="95"/>
      <c r="GB70" s="95"/>
      <c r="GC70" s="95"/>
      <c r="GD70" s="95"/>
      <c r="GE70" s="95"/>
      <c r="GF70" s="95"/>
      <c r="GG70" s="95"/>
      <c r="GH70" s="95"/>
      <c r="GI70" s="95"/>
      <c r="GJ70" s="95"/>
      <c r="GK70" s="95"/>
      <c r="GL70" s="95"/>
      <c r="GM70" s="95"/>
      <c r="GN70" s="95"/>
      <c r="GO70" s="95"/>
      <c r="GP70" s="95"/>
      <c r="GQ70" s="95"/>
      <c r="GR70" s="95"/>
      <c r="GS70" s="95"/>
      <c r="GT70" s="95"/>
      <c r="GU70" s="95"/>
      <c r="GV70" s="95"/>
      <c r="GW70" s="95"/>
      <c r="GX70" s="95"/>
      <c r="GY70" s="95"/>
      <c r="GZ70" s="95"/>
      <c r="HA70" s="95"/>
      <c r="HB70" s="95"/>
      <c r="HC70" s="95"/>
      <c r="HD70" s="95"/>
      <c r="HE70" s="95"/>
      <c r="HF70" s="95"/>
      <c r="HG70" s="95"/>
      <c r="HH70" s="95"/>
      <c r="HI70" s="95"/>
      <c r="HJ70" s="95"/>
      <c r="HK70" s="95"/>
      <c r="HL70" s="95"/>
      <c r="HM70" s="95"/>
      <c r="HN70" s="95"/>
      <c r="HO70" s="95"/>
      <c r="HP70" s="95"/>
      <c r="HQ70" s="95"/>
      <c r="HR70" s="95"/>
      <c r="HS70" s="95"/>
      <c r="HT70" s="95"/>
      <c r="HU70" s="95"/>
      <c r="HV70" s="95"/>
      <c r="HW70" s="95"/>
      <c r="HX70" s="95"/>
      <c r="HY70" s="95"/>
      <c r="HZ70" s="95"/>
      <c r="IA70" s="95"/>
      <c r="IB70" s="95"/>
      <c r="IC70" s="95"/>
      <c r="ID70" s="95"/>
      <c r="IE70" s="95"/>
      <c r="IF70" s="95"/>
      <c r="IG70" s="95"/>
      <c r="IH70" s="95"/>
      <c r="II70" s="95"/>
      <c r="IJ70" s="95"/>
      <c r="IK70" s="95"/>
      <c r="IL70" s="95"/>
      <c r="IM70" s="95"/>
      <c r="IN70" s="95"/>
      <c r="IO70" s="95"/>
      <c r="IP70" s="95"/>
      <c r="IQ70" s="95"/>
      <c r="IR70" s="95"/>
      <c r="IS70" s="95"/>
      <c r="IT70" s="95"/>
      <c r="IU70" s="95"/>
      <c r="IV70" s="95"/>
      <c r="IW70" s="95"/>
      <c r="IX70" s="95"/>
      <c r="IY70" s="95"/>
      <c r="IZ70" s="95"/>
      <c r="JA70" s="95"/>
    </row>
    <row r="71" spans="3:261" ht="18.5" x14ac:dyDescent="0.45">
      <c r="C71" s="122" t="s">
        <v>102</v>
      </c>
      <c r="D71" s="114"/>
      <c r="E71" s="114"/>
      <c r="G71" s="114"/>
      <c r="H71" s="114"/>
      <c r="I71" s="114"/>
      <c r="J71" s="114"/>
      <c r="S71" s="95"/>
      <c r="T71" s="95"/>
      <c r="U71" s="95"/>
      <c r="V71" s="136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  <c r="CA71" s="95"/>
      <c r="CB71" s="95"/>
      <c r="CC71" s="95"/>
      <c r="CD71" s="95"/>
      <c r="CE71" s="95"/>
      <c r="CF71" s="95"/>
      <c r="CG71" s="95"/>
      <c r="CH71" s="95"/>
      <c r="CI71" s="95"/>
      <c r="CJ71" s="95"/>
      <c r="CK71" s="95"/>
      <c r="CL71" s="95"/>
      <c r="CM71" s="95"/>
      <c r="CN71" s="95"/>
      <c r="CO71" s="95"/>
      <c r="CP71" s="95"/>
      <c r="CQ71" s="95"/>
      <c r="CR71" s="95"/>
      <c r="CS71" s="95"/>
      <c r="CT71" s="95"/>
      <c r="CU71" s="95"/>
      <c r="CV71" s="95"/>
      <c r="CW71" s="95"/>
      <c r="CX71" s="95"/>
      <c r="CY71" s="95"/>
      <c r="CZ71" s="95"/>
      <c r="DA71" s="95"/>
      <c r="DB71" s="95"/>
      <c r="DC71" s="95"/>
      <c r="DD71" s="95"/>
      <c r="DE71" s="95"/>
      <c r="DF71" s="95"/>
      <c r="DG71" s="95"/>
      <c r="DH71" s="95"/>
      <c r="DI71" s="95"/>
      <c r="DJ71" s="95"/>
      <c r="DK71" s="95"/>
      <c r="DL71" s="95"/>
      <c r="DM71" s="95"/>
      <c r="DN71" s="95"/>
      <c r="DO71" s="95"/>
      <c r="DP71" s="95"/>
      <c r="DQ71" s="95"/>
      <c r="DR71" s="95"/>
      <c r="DS71" s="95"/>
      <c r="DT71" s="95"/>
      <c r="DU71" s="95"/>
      <c r="DV71" s="95"/>
      <c r="DW71" s="95"/>
      <c r="DX71" s="95"/>
      <c r="DY71" s="95"/>
      <c r="DZ71" s="95"/>
      <c r="EA71" s="95"/>
      <c r="EB71" s="95"/>
      <c r="EC71" s="95"/>
      <c r="ED71" s="95"/>
      <c r="EE71" s="95"/>
      <c r="EF71" s="95"/>
      <c r="EG71" s="95"/>
      <c r="EH71" s="95"/>
      <c r="EI71" s="95"/>
      <c r="EJ71" s="95"/>
      <c r="EK71" s="95"/>
      <c r="EL71" s="95"/>
      <c r="EM71" s="95"/>
      <c r="EN71" s="95"/>
      <c r="EO71" s="95"/>
      <c r="EP71" s="95"/>
      <c r="EQ71" s="95"/>
      <c r="ER71" s="95"/>
      <c r="ES71" s="95"/>
      <c r="ET71" s="95"/>
      <c r="EU71" s="95"/>
      <c r="EV71" s="95"/>
      <c r="EW71" s="95"/>
      <c r="EX71" s="95"/>
      <c r="EY71" s="95"/>
      <c r="EZ71" s="95"/>
      <c r="FA71" s="95"/>
      <c r="FB71" s="95"/>
      <c r="FC71" s="95"/>
      <c r="FD71" s="95"/>
      <c r="FE71" s="95"/>
      <c r="FF71" s="95"/>
      <c r="FG71" s="95"/>
      <c r="FH71" s="95"/>
      <c r="FI71" s="95"/>
      <c r="FJ71" s="95"/>
      <c r="FK71" s="95"/>
      <c r="FL71" s="95"/>
      <c r="FM71" s="95"/>
      <c r="FN71" s="95"/>
      <c r="FO71" s="95"/>
      <c r="FP71" s="95"/>
      <c r="FQ71" s="95"/>
      <c r="FR71" s="95"/>
      <c r="FS71" s="95"/>
      <c r="FT71" s="95"/>
      <c r="FU71" s="95"/>
      <c r="FV71" s="95"/>
      <c r="FW71" s="95"/>
      <c r="FX71" s="95"/>
      <c r="FY71" s="95"/>
      <c r="FZ71" s="95"/>
      <c r="GA71" s="95"/>
      <c r="GB71" s="95"/>
      <c r="GC71" s="95"/>
      <c r="GD71" s="95"/>
      <c r="GE71" s="95"/>
      <c r="GF71" s="95"/>
      <c r="GG71" s="95"/>
      <c r="GH71" s="95"/>
      <c r="GI71" s="95"/>
      <c r="GJ71" s="95"/>
      <c r="GK71" s="95"/>
      <c r="GL71" s="95"/>
      <c r="GM71" s="95"/>
      <c r="GN71" s="95"/>
      <c r="GO71" s="95"/>
      <c r="GP71" s="95"/>
      <c r="GQ71" s="95"/>
      <c r="GR71" s="95"/>
      <c r="GS71" s="95"/>
      <c r="GT71" s="95"/>
      <c r="GU71" s="95"/>
      <c r="GV71" s="95"/>
      <c r="GW71" s="95"/>
      <c r="GX71" s="95"/>
      <c r="GY71" s="95"/>
      <c r="GZ71" s="95"/>
      <c r="HA71" s="95"/>
      <c r="HB71" s="95"/>
      <c r="HC71" s="95"/>
      <c r="HD71" s="95"/>
      <c r="HE71" s="95"/>
      <c r="HF71" s="95"/>
      <c r="HG71" s="95"/>
      <c r="HH71" s="95"/>
      <c r="HI71" s="95"/>
      <c r="HJ71" s="95"/>
      <c r="HK71" s="95"/>
      <c r="HL71" s="95"/>
      <c r="HM71" s="95"/>
      <c r="HN71" s="95"/>
      <c r="HO71" s="95"/>
      <c r="HP71" s="95"/>
      <c r="HQ71" s="95"/>
      <c r="HR71" s="95"/>
      <c r="HS71" s="95"/>
      <c r="HT71" s="95"/>
      <c r="HU71" s="95"/>
      <c r="HV71" s="95"/>
      <c r="HW71" s="95"/>
      <c r="HX71" s="95"/>
      <c r="HY71" s="95"/>
      <c r="HZ71" s="95"/>
      <c r="IA71" s="95"/>
      <c r="IB71" s="95"/>
      <c r="IC71" s="95"/>
      <c r="ID71" s="95"/>
      <c r="IE71" s="95"/>
      <c r="IF71" s="95"/>
      <c r="IG71" s="95"/>
      <c r="IH71" s="95"/>
      <c r="II71" s="95"/>
      <c r="IJ71" s="95"/>
      <c r="IK71" s="95"/>
      <c r="IL71" s="95"/>
      <c r="IM71" s="95"/>
      <c r="IN71" s="95"/>
      <c r="IO71" s="95"/>
      <c r="IP71" s="95"/>
      <c r="IQ71" s="95"/>
      <c r="IR71" s="95"/>
      <c r="IS71" s="95"/>
      <c r="IT71" s="95"/>
      <c r="IU71" s="95"/>
      <c r="IV71" s="95"/>
      <c r="IW71" s="95"/>
      <c r="IX71" s="95"/>
      <c r="IY71" s="95"/>
      <c r="IZ71" s="95"/>
      <c r="JA71" s="95"/>
    </row>
    <row r="72" spans="3:261" ht="18.5" x14ac:dyDescent="0.45">
      <c r="C72" s="127" t="s">
        <v>103</v>
      </c>
      <c r="E72" s="114"/>
      <c r="G72" s="114"/>
      <c r="H72" s="137"/>
      <c r="I72" s="114"/>
      <c r="J72" s="114"/>
      <c r="S72" s="95"/>
      <c r="T72" s="95"/>
      <c r="U72" s="95"/>
      <c r="V72" s="128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95"/>
      <c r="CJ72" s="95"/>
      <c r="CK72" s="95"/>
      <c r="CL72" s="95"/>
      <c r="CM72" s="95"/>
      <c r="CN72" s="95"/>
      <c r="CO72" s="95"/>
      <c r="CP72" s="95"/>
      <c r="CQ72" s="95"/>
      <c r="CR72" s="95"/>
      <c r="CS72" s="95"/>
      <c r="CT72" s="95"/>
      <c r="CU72" s="95"/>
      <c r="CV72" s="95"/>
      <c r="CW72" s="95"/>
      <c r="CX72" s="95"/>
      <c r="CY72" s="95"/>
      <c r="CZ72" s="95"/>
      <c r="DA72" s="95"/>
      <c r="DB72" s="95"/>
      <c r="DC72" s="95"/>
      <c r="DD72" s="95"/>
      <c r="DE72" s="95"/>
      <c r="DF72" s="95"/>
      <c r="DG72" s="95"/>
      <c r="DH72" s="95"/>
      <c r="DI72" s="95"/>
      <c r="DJ72" s="95"/>
      <c r="DK72" s="95"/>
      <c r="DL72" s="95"/>
      <c r="DM72" s="95"/>
      <c r="DN72" s="95"/>
      <c r="DO72" s="95"/>
      <c r="DP72" s="95"/>
      <c r="DQ72" s="95"/>
      <c r="DR72" s="95"/>
      <c r="DS72" s="95"/>
      <c r="DT72" s="95"/>
      <c r="DU72" s="95"/>
      <c r="DV72" s="95"/>
      <c r="DW72" s="95"/>
      <c r="DX72" s="95"/>
      <c r="DY72" s="95"/>
      <c r="DZ72" s="95"/>
      <c r="EA72" s="95"/>
      <c r="EB72" s="95"/>
      <c r="EC72" s="95"/>
      <c r="ED72" s="95"/>
      <c r="EE72" s="95"/>
      <c r="EF72" s="95"/>
      <c r="EG72" s="95"/>
      <c r="EH72" s="95"/>
      <c r="EI72" s="95"/>
      <c r="EJ72" s="95"/>
      <c r="EK72" s="95"/>
      <c r="EL72" s="95"/>
      <c r="EM72" s="95"/>
      <c r="EN72" s="95"/>
      <c r="EO72" s="95"/>
      <c r="EP72" s="95"/>
      <c r="EQ72" s="95"/>
      <c r="ER72" s="95"/>
      <c r="ES72" s="95"/>
      <c r="ET72" s="95"/>
      <c r="EU72" s="95"/>
      <c r="EV72" s="95"/>
      <c r="EW72" s="95"/>
      <c r="EX72" s="95"/>
      <c r="EY72" s="95"/>
      <c r="EZ72" s="95"/>
      <c r="FA72" s="95"/>
      <c r="FB72" s="95"/>
      <c r="FC72" s="95"/>
      <c r="FD72" s="95"/>
      <c r="FE72" s="95"/>
      <c r="FF72" s="95"/>
      <c r="FG72" s="95"/>
      <c r="FH72" s="95"/>
      <c r="FI72" s="95"/>
      <c r="FJ72" s="95"/>
      <c r="FK72" s="95"/>
      <c r="FL72" s="95"/>
      <c r="FM72" s="95"/>
      <c r="FN72" s="95"/>
      <c r="FO72" s="95"/>
      <c r="FP72" s="95"/>
      <c r="FQ72" s="95"/>
      <c r="FR72" s="95"/>
      <c r="FS72" s="95"/>
      <c r="FT72" s="95"/>
      <c r="FU72" s="95"/>
      <c r="FV72" s="95"/>
      <c r="FW72" s="95"/>
      <c r="FX72" s="95"/>
      <c r="FY72" s="95"/>
      <c r="FZ72" s="95"/>
      <c r="GA72" s="95"/>
      <c r="GB72" s="95"/>
      <c r="GC72" s="95"/>
      <c r="GD72" s="95"/>
      <c r="GE72" s="95"/>
      <c r="GF72" s="95"/>
      <c r="GG72" s="95"/>
      <c r="GH72" s="95"/>
      <c r="GI72" s="95"/>
      <c r="GJ72" s="95"/>
      <c r="GK72" s="95"/>
      <c r="GL72" s="95"/>
      <c r="GM72" s="95"/>
      <c r="GN72" s="95"/>
      <c r="GO72" s="95"/>
      <c r="GP72" s="95"/>
      <c r="GQ72" s="95"/>
      <c r="GR72" s="95"/>
      <c r="GS72" s="95"/>
      <c r="GT72" s="95"/>
      <c r="GU72" s="95"/>
      <c r="GV72" s="95"/>
      <c r="GW72" s="95"/>
      <c r="GX72" s="95"/>
      <c r="GY72" s="95"/>
      <c r="GZ72" s="95"/>
      <c r="HA72" s="95"/>
      <c r="HB72" s="95"/>
      <c r="HC72" s="95"/>
      <c r="HD72" s="95"/>
      <c r="HE72" s="95"/>
      <c r="HF72" s="95"/>
      <c r="HG72" s="95"/>
      <c r="HH72" s="95"/>
      <c r="HI72" s="95"/>
      <c r="HJ72" s="95"/>
      <c r="HK72" s="95"/>
      <c r="HL72" s="95"/>
      <c r="HM72" s="95"/>
      <c r="HN72" s="95"/>
      <c r="HO72" s="95"/>
      <c r="HP72" s="95"/>
      <c r="HQ72" s="95"/>
      <c r="HR72" s="95"/>
      <c r="HS72" s="95"/>
      <c r="HT72" s="95"/>
      <c r="HU72" s="95"/>
      <c r="HV72" s="95"/>
      <c r="HW72" s="95"/>
      <c r="HX72" s="95"/>
      <c r="HY72" s="95"/>
      <c r="HZ72" s="95"/>
      <c r="IA72" s="95"/>
      <c r="IB72" s="95"/>
      <c r="IC72" s="95"/>
      <c r="ID72" s="95"/>
      <c r="IE72" s="95"/>
      <c r="IF72" s="95"/>
      <c r="IG72" s="95"/>
      <c r="IH72" s="95"/>
      <c r="II72" s="95"/>
      <c r="IJ72" s="95"/>
      <c r="IK72" s="95"/>
      <c r="IL72" s="95"/>
      <c r="IM72" s="95"/>
      <c r="IN72" s="95"/>
      <c r="IO72" s="95"/>
      <c r="IP72" s="95"/>
      <c r="IQ72" s="95"/>
      <c r="IR72" s="95"/>
      <c r="IS72" s="95"/>
      <c r="IT72" s="95"/>
      <c r="IU72" s="95"/>
      <c r="IV72" s="95"/>
      <c r="IW72" s="95"/>
      <c r="IX72" s="95"/>
      <c r="IY72" s="95"/>
      <c r="IZ72" s="95"/>
      <c r="JA72" s="95"/>
    </row>
    <row r="73" spans="3:261" ht="18.5" x14ac:dyDescent="0.45">
      <c r="C73" s="127" t="s">
        <v>104</v>
      </c>
      <c r="E73" s="114"/>
      <c r="G73" s="114"/>
      <c r="H73" s="138"/>
      <c r="I73" s="114"/>
      <c r="J73" s="114"/>
      <c r="S73" s="95"/>
      <c r="T73" s="95"/>
      <c r="U73" s="95"/>
      <c r="V73" s="139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5"/>
      <c r="BP73" s="95"/>
      <c r="BQ73" s="95"/>
      <c r="BR73" s="95"/>
      <c r="BS73" s="95"/>
      <c r="BT73" s="95"/>
      <c r="BU73" s="95"/>
      <c r="BV73" s="95"/>
      <c r="BW73" s="95"/>
      <c r="BX73" s="95"/>
      <c r="BY73" s="95"/>
      <c r="BZ73" s="95"/>
      <c r="CA73" s="95"/>
      <c r="CB73" s="95"/>
      <c r="CC73" s="95"/>
      <c r="CD73" s="95"/>
      <c r="CE73" s="95"/>
      <c r="CF73" s="95"/>
      <c r="CG73" s="95"/>
      <c r="CH73" s="95"/>
      <c r="CI73" s="95"/>
      <c r="CJ73" s="95"/>
      <c r="CK73" s="95"/>
      <c r="CL73" s="95"/>
      <c r="CM73" s="95"/>
      <c r="CN73" s="95"/>
      <c r="CO73" s="95"/>
      <c r="CP73" s="95"/>
      <c r="CQ73" s="95"/>
      <c r="CR73" s="95"/>
      <c r="CS73" s="95"/>
      <c r="CT73" s="95"/>
      <c r="CU73" s="95"/>
      <c r="CV73" s="95"/>
      <c r="CW73" s="95"/>
      <c r="CX73" s="95"/>
      <c r="CY73" s="95"/>
      <c r="CZ73" s="95"/>
      <c r="DA73" s="95"/>
      <c r="DB73" s="95"/>
      <c r="DC73" s="95"/>
      <c r="DD73" s="95"/>
      <c r="DE73" s="95"/>
      <c r="DF73" s="95"/>
      <c r="DG73" s="95"/>
      <c r="DH73" s="95"/>
      <c r="DI73" s="95"/>
      <c r="DJ73" s="95"/>
      <c r="DK73" s="95"/>
      <c r="DL73" s="95"/>
      <c r="DM73" s="95"/>
      <c r="DN73" s="95"/>
      <c r="DO73" s="95"/>
      <c r="DP73" s="95"/>
      <c r="DQ73" s="95"/>
      <c r="DR73" s="95"/>
      <c r="DS73" s="95"/>
      <c r="DT73" s="95"/>
      <c r="DU73" s="95"/>
      <c r="DV73" s="95"/>
      <c r="DW73" s="95"/>
      <c r="DX73" s="95"/>
      <c r="DY73" s="95"/>
      <c r="DZ73" s="95"/>
      <c r="EA73" s="95"/>
      <c r="EB73" s="95"/>
      <c r="EC73" s="95"/>
      <c r="ED73" s="95"/>
      <c r="EE73" s="95"/>
      <c r="EF73" s="95"/>
      <c r="EG73" s="95"/>
      <c r="EH73" s="95"/>
      <c r="EI73" s="95"/>
      <c r="EJ73" s="95"/>
      <c r="EK73" s="95"/>
      <c r="EL73" s="95"/>
      <c r="EM73" s="95"/>
      <c r="EN73" s="95"/>
      <c r="EO73" s="95"/>
      <c r="EP73" s="95"/>
      <c r="EQ73" s="95"/>
      <c r="ER73" s="95"/>
      <c r="ES73" s="95"/>
      <c r="ET73" s="95"/>
      <c r="EU73" s="95"/>
      <c r="EV73" s="95"/>
      <c r="EW73" s="95"/>
      <c r="EX73" s="95"/>
      <c r="EY73" s="95"/>
      <c r="EZ73" s="95"/>
      <c r="FA73" s="95"/>
      <c r="FB73" s="95"/>
      <c r="FC73" s="95"/>
      <c r="FD73" s="95"/>
      <c r="FE73" s="95"/>
      <c r="FF73" s="95"/>
      <c r="FG73" s="95"/>
      <c r="FH73" s="95"/>
      <c r="FI73" s="95"/>
      <c r="FJ73" s="95"/>
      <c r="FK73" s="95"/>
      <c r="FL73" s="95"/>
      <c r="FM73" s="95"/>
      <c r="FN73" s="95"/>
      <c r="FO73" s="95"/>
      <c r="FP73" s="95"/>
      <c r="FQ73" s="95"/>
      <c r="FR73" s="95"/>
      <c r="FS73" s="95"/>
      <c r="FT73" s="95"/>
      <c r="FU73" s="95"/>
      <c r="FV73" s="95"/>
      <c r="FW73" s="95"/>
      <c r="FX73" s="95"/>
      <c r="FY73" s="95"/>
      <c r="FZ73" s="95"/>
      <c r="GA73" s="95"/>
      <c r="GB73" s="95"/>
      <c r="GC73" s="95"/>
      <c r="GD73" s="95"/>
      <c r="GE73" s="95"/>
      <c r="GF73" s="95"/>
      <c r="GG73" s="95"/>
      <c r="GH73" s="95"/>
      <c r="GI73" s="95"/>
      <c r="GJ73" s="95"/>
      <c r="GK73" s="95"/>
      <c r="GL73" s="95"/>
      <c r="GM73" s="95"/>
      <c r="GN73" s="95"/>
      <c r="GO73" s="95"/>
      <c r="GP73" s="95"/>
      <c r="GQ73" s="95"/>
      <c r="GR73" s="95"/>
      <c r="GS73" s="95"/>
      <c r="GT73" s="95"/>
      <c r="GU73" s="95"/>
      <c r="GV73" s="95"/>
      <c r="GW73" s="95"/>
      <c r="GX73" s="95"/>
      <c r="GY73" s="95"/>
      <c r="GZ73" s="95"/>
      <c r="HA73" s="95"/>
      <c r="HB73" s="95"/>
      <c r="HC73" s="95"/>
      <c r="HD73" s="95"/>
      <c r="HE73" s="95"/>
      <c r="HF73" s="95"/>
      <c r="HG73" s="95"/>
      <c r="HH73" s="95"/>
      <c r="HI73" s="95"/>
      <c r="HJ73" s="95"/>
      <c r="HK73" s="95"/>
      <c r="HL73" s="95"/>
      <c r="HM73" s="95"/>
      <c r="HN73" s="95"/>
      <c r="HO73" s="95"/>
      <c r="HP73" s="95"/>
      <c r="HQ73" s="95"/>
      <c r="HR73" s="95"/>
      <c r="HS73" s="95"/>
      <c r="HT73" s="95"/>
      <c r="HU73" s="95"/>
      <c r="HV73" s="95"/>
      <c r="HW73" s="95"/>
      <c r="HX73" s="95"/>
      <c r="HY73" s="95"/>
      <c r="HZ73" s="95"/>
      <c r="IA73" s="95"/>
      <c r="IB73" s="95"/>
      <c r="IC73" s="95"/>
      <c r="ID73" s="95"/>
      <c r="IE73" s="95"/>
      <c r="IF73" s="95"/>
      <c r="IG73" s="95"/>
      <c r="IH73" s="95"/>
      <c r="II73" s="95"/>
      <c r="IJ73" s="95"/>
      <c r="IK73" s="95"/>
      <c r="IL73" s="95"/>
      <c r="IM73" s="95"/>
      <c r="IN73" s="95"/>
      <c r="IO73" s="95"/>
      <c r="IP73" s="95"/>
      <c r="IQ73" s="95"/>
      <c r="IR73" s="95"/>
      <c r="IS73" s="95"/>
      <c r="IT73" s="95"/>
      <c r="IU73" s="95"/>
      <c r="IV73" s="95"/>
      <c r="IW73" s="95"/>
      <c r="IX73" s="95"/>
      <c r="IY73" s="95"/>
      <c r="IZ73" s="95"/>
      <c r="JA73" s="95"/>
    </row>
    <row r="74" spans="3:261" ht="18.5" x14ac:dyDescent="0.45">
      <c r="C74" s="127"/>
      <c r="E74" s="114"/>
      <c r="G74" s="114"/>
      <c r="H74" s="114"/>
      <c r="I74" s="114"/>
      <c r="J74" s="114"/>
      <c r="S74" s="95"/>
      <c r="T74" s="95"/>
      <c r="U74" s="95"/>
      <c r="V74" s="141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5"/>
      <c r="BP74" s="95"/>
      <c r="BQ74" s="95"/>
      <c r="BR74" s="95"/>
      <c r="BS74" s="95"/>
      <c r="BT74" s="95"/>
      <c r="BU74" s="95"/>
      <c r="BV74" s="95"/>
      <c r="BW74" s="95"/>
      <c r="BX74" s="9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95"/>
      <c r="CJ74" s="95"/>
      <c r="CK74" s="95"/>
      <c r="CL74" s="95"/>
      <c r="CM74" s="95"/>
      <c r="CN74" s="95"/>
      <c r="CO74" s="95"/>
      <c r="CP74" s="95"/>
      <c r="CQ74" s="95"/>
      <c r="CR74" s="95"/>
      <c r="CS74" s="95"/>
      <c r="CT74" s="95"/>
      <c r="CU74" s="95"/>
      <c r="CV74" s="95"/>
      <c r="CW74" s="95"/>
      <c r="CX74" s="95"/>
      <c r="CY74" s="95"/>
      <c r="CZ74" s="95"/>
      <c r="DA74" s="95"/>
      <c r="DB74" s="95"/>
      <c r="DC74" s="95"/>
      <c r="DD74" s="95"/>
      <c r="DE74" s="95"/>
      <c r="DF74" s="95"/>
      <c r="DG74" s="95"/>
      <c r="DH74" s="95"/>
      <c r="DI74" s="95"/>
      <c r="DJ74" s="95"/>
      <c r="DK74" s="95"/>
      <c r="DL74" s="95"/>
      <c r="DM74" s="95"/>
      <c r="DN74" s="95"/>
      <c r="DO74" s="95"/>
      <c r="DP74" s="95"/>
      <c r="DQ74" s="95"/>
      <c r="DR74" s="95"/>
      <c r="DS74" s="95"/>
      <c r="DT74" s="95"/>
      <c r="DU74" s="95"/>
      <c r="DV74" s="95"/>
      <c r="DW74" s="95"/>
      <c r="DX74" s="95"/>
      <c r="DY74" s="95"/>
      <c r="DZ74" s="95"/>
      <c r="EA74" s="95"/>
      <c r="EB74" s="95"/>
      <c r="EC74" s="95"/>
      <c r="ED74" s="95"/>
      <c r="EE74" s="95"/>
      <c r="EF74" s="95"/>
      <c r="EG74" s="95"/>
      <c r="EH74" s="95"/>
      <c r="EI74" s="95"/>
      <c r="EJ74" s="95"/>
      <c r="EK74" s="95"/>
      <c r="EL74" s="95"/>
      <c r="EM74" s="95"/>
      <c r="EN74" s="95"/>
      <c r="EO74" s="95"/>
      <c r="EP74" s="95"/>
      <c r="EQ74" s="95"/>
      <c r="ER74" s="95"/>
      <c r="ES74" s="95"/>
      <c r="ET74" s="95"/>
      <c r="EU74" s="95"/>
      <c r="EV74" s="95"/>
      <c r="EW74" s="95"/>
      <c r="EX74" s="95"/>
      <c r="EY74" s="95"/>
      <c r="EZ74" s="95"/>
      <c r="FA74" s="95"/>
      <c r="FB74" s="95"/>
      <c r="FC74" s="95"/>
      <c r="FD74" s="95"/>
      <c r="FE74" s="95"/>
      <c r="FF74" s="95"/>
      <c r="FG74" s="95"/>
      <c r="FH74" s="95"/>
      <c r="FI74" s="95"/>
      <c r="FJ74" s="95"/>
      <c r="FK74" s="95"/>
      <c r="FL74" s="95"/>
      <c r="FM74" s="95"/>
      <c r="FN74" s="95"/>
      <c r="FO74" s="95"/>
      <c r="FP74" s="95"/>
      <c r="FQ74" s="95"/>
      <c r="FR74" s="95"/>
      <c r="FS74" s="95"/>
      <c r="FT74" s="95"/>
      <c r="FU74" s="95"/>
      <c r="FV74" s="95"/>
      <c r="FW74" s="95"/>
      <c r="FX74" s="95"/>
      <c r="FY74" s="95"/>
      <c r="FZ74" s="95"/>
      <c r="GA74" s="95"/>
      <c r="GB74" s="95"/>
      <c r="GC74" s="95"/>
      <c r="GD74" s="95"/>
      <c r="GE74" s="95"/>
      <c r="GF74" s="95"/>
      <c r="GG74" s="95"/>
      <c r="GH74" s="95"/>
      <c r="GI74" s="95"/>
      <c r="GJ74" s="95"/>
      <c r="GK74" s="95"/>
      <c r="GL74" s="95"/>
      <c r="GM74" s="95"/>
      <c r="GN74" s="95"/>
      <c r="GO74" s="95"/>
      <c r="GP74" s="95"/>
      <c r="GQ74" s="95"/>
      <c r="GR74" s="95"/>
      <c r="GS74" s="95"/>
      <c r="GT74" s="95"/>
      <c r="GU74" s="95"/>
      <c r="GV74" s="95"/>
      <c r="GW74" s="95"/>
      <c r="GX74" s="95"/>
      <c r="GY74" s="95"/>
      <c r="GZ74" s="95"/>
      <c r="HA74" s="95"/>
      <c r="HB74" s="95"/>
      <c r="HC74" s="95"/>
      <c r="HD74" s="95"/>
      <c r="HE74" s="95"/>
      <c r="HF74" s="95"/>
      <c r="HG74" s="95"/>
      <c r="HH74" s="95"/>
      <c r="HI74" s="95"/>
      <c r="HJ74" s="95"/>
      <c r="HK74" s="95"/>
      <c r="HL74" s="95"/>
      <c r="HM74" s="95"/>
      <c r="HN74" s="95"/>
      <c r="HO74" s="95"/>
      <c r="HP74" s="95"/>
      <c r="HQ74" s="95"/>
      <c r="HR74" s="95"/>
      <c r="HS74" s="95"/>
      <c r="HT74" s="95"/>
      <c r="HU74" s="95"/>
      <c r="HV74" s="95"/>
      <c r="HW74" s="95"/>
      <c r="HX74" s="95"/>
      <c r="HY74" s="95"/>
      <c r="HZ74" s="95"/>
      <c r="IA74" s="95"/>
      <c r="IB74" s="95"/>
      <c r="IC74" s="95"/>
      <c r="ID74" s="95"/>
      <c r="IE74" s="95"/>
      <c r="IF74" s="95"/>
      <c r="IG74" s="95"/>
      <c r="IH74" s="95"/>
      <c r="II74" s="95"/>
      <c r="IJ74" s="95"/>
      <c r="IK74" s="95"/>
      <c r="IL74" s="95"/>
      <c r="IM74" s="95"/>
      <c r="IN74" s="95"/>
      <c r="IO74" s="95"/>
      <c r="IP74" s="95"/>
      <c r="IQ74" s="95"/>
      <c r="IR74" s="95"/>
      <c r="IS74" s="95"/>
      <c r="IT74" s="95"/>
      <c r="IU74" s="95"/>
      <c r="IV74" s="95"/>
      <c r="IW74" s="95"/>
      <c r="IX74" s="95"/>
      <c r="IY74" s="95"/>
      <c r="IZ74" s="95"/>
      <c r="JA74" s="95"/>
    </row>
    <row r="75" spans="3:261" ht="18.5" x14ac:dyDescent="0.45">
      <c r="C75" s="127" t="s">
        <v>105</v>
      </c>
      <c r="E75" s="138">
        <f t="shared" ref="E75:E76" si="5">SUMIFS($H75:$J75,H$63:J$63,$D$60)</f>
        <v>0</v>
      </c>
      <c r="G75" s="114" t="s">
        <v>66</v>
      </c>
      <c r="H75" s="134">
        <v>0.15</v>
      </c>
      <c r="I75" s="134">
        <v>0.15</v>
      </c>
      <c r="J75" s="134">
        <v>0.15</v>
      </c>
      <c r="S75" s="95"/>
      <c r="T75" s="95"/>
      <c r="U75" s="95"/>
      <c r="V75" s="143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5"/>
      <c r="BP75" s="95"/>
      <c r="BQ75" s="95"/>
      <c r="BR75" s="95"/>
      <c r="BS75" s="95"/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95"/>
      <c r="CJ75" s="95"/>
      <c r="CK75" s="95"/>
      <c r="CL75" s="95"/>
      <c r="CM75" s="95"/>
      <c r="CN75" s="95"/>
      <c r="CO75" s="95"/>
      <c r="CP75" s="95"/>
      <c r="CQ75" s="95"/>
      <c r="CR75" s="95"/>
      <c r="CS75" s="95"/>
      <c r="CT75" s="95"/>
      <c r="CU75" s="95"/>
      <c r="CV75" s="95"/>
      <c r="CW75" s="95"/>
      <c r="CX75" s="95"/>
      <c r="CY75" s="95"/>
      <c r="CZ75" s="95"/>
      <c r="DA75" s="95"/>
      <c r="DB75" s="95"/>
      <c r="DC75" s="95"/>
      <c r="DD75" s="95"/>
      <c r="DE75" s="95"/>
      <c r="DF75" s="95"/>
      <c r="DG75" s="95"/>
      <c r="DH75" s="95"/>
      <c r="DI75" s="95"/>
      <c r="DJ75" s="95"/>
      <c r="DK75" s="95"/>
      <c r="DL75" s="95"/>
      <c r="DM75" s="95"/>
      <c r="DN75" s="95"/>
      <c r="DO75" s="95"/>
      <c r="DP75" s="95"/>
      <c r="DQ75" s="95"/>
      <c r="DR75" s="95"/>
      <c r="DS75" s="95"/>
      <c r="DT75" s="95"/>
      <c r="DU75" s="95"/>
      <c r="DV75" s="95"/>
      <c r="DW75" s="95"/>
      <c r="DX75" s="95"/>
      <c r="DY75" s="95"/>
      <c r="DZ75" s="95"/>
      <c r="EA75" s="95"/>
      <c r="EB75" s="95"/>
      <c r="EC75" s="95"/>
      <c r="ED75" s="95"/>
      <c r="EE75" s="95"/>
      <c r="EF75" s="95"/>
      <c r="EG75" s="95"/>
      <c r="EH75" s="95"/>
      <c r="EI75" s="95"/>
      <c r="EJ75" s="95"/>
      <c r="EK75" s="95"/>
      <c r="EL75" s="95"/>
      <c r="EM75" s="95"/>
      <c r="EN75" s="95"/>
      <c r="EO75" s="95"/>
      <c r="EP75" s="95"/>
      <c r="EQ75" s="95"/>
      <c r="ER75" s="95"/>
      <c r="ES75" s="95"/>
      <c r="ET75" s="95"/>
      <c r="EU75" s="95"/>
      <c r="EV75" s="95"/>
      <c r="EW75" s="95"/>
      <c r="EX75" s="95"/>
      <c r="EY75" s="95"/>
      <c r="EZ75" s="95"/>
      <c r="FA75" s="95"/>
      <c r="FB75" s="95"/>
      <c r="FC75" s="95"/>
      <c r="FD75" s="95"/>
      <c r="FE75" s="95"/>
      <c r="FF75" s="95"/>
      <c r="FG75" s="95"/>
      <c r="FH75" s="95"/>
      <c r="FI75" s="95"/>
      <c r="FJ75" s="95"/>
      <c r="FK75" s="95"/>
      <c r="FL75" s="95"/>
      <c r="FM75" s="95"/>
      <c r="FN75" s="95"/>
      <c r="FO75" s="95"/>
      <c r="FP75" s="95"/>
      <c r="FQ75" s="95"/>
      <c r="FR75" s="95"/>
      <c r="FS75" s="95"/>
      <c r="FT75" s="95"/>
      <c r="FU75" s="95"/>
      <c r="FV75" s="95"/>
      <c r="FW75" s="95"/>
      <c r="FX75" s="95"/>
      <c r="FY75" s="95"/>
      <c r="FZ75" s="95"/>
      <c r="GA75" s="95"/>
      <c r="GB75" s="95"/>
      <c r="GC75" s="95"/>
      <c r="GD75" s="95"/>
      <c r="GE75" s="95"/>
      <c r="GF75" s="95"/>
      <c r="GG75" s="95"/>
      <c r="GH75" s="95"/>
      <c r="GI75" s="95"/>
      <c r="GJ75" s="95"/>
      <c r="GK75" s="95"/>
      <c r="GL75" s="95"/>
      <c r="GM75" s="95"/>
      <c r="GN75" s="95"/>
      <c r="GO75" s="95"/>
      <c r="GP75" s="95"/>
      <c r="GQ75" s="95"/>
      <c r="GR75" s="95"/>
      <c r="GS75" s="95"/>
      <c r="GT75" s="95"/>
      <c r="GU75" s="95"/>
      <c r="GV75" s="95"/>
      <c r="GW75" s="95"/>
      <c r="GX75" s="95"/>
      <c r="GY75" s="95"/>
      <c r="GZ75" s="95"/>
      <c r="HA75" s="95"/>
      <c r="HB75" s="95"/>
      <c r="HC75" s="95"/>
      <c r="HD75" s="95"/>
      <c r="HE75" s="95"/>
      <c r="HF75" s="95"/>
      <c r="HG75" s="95"/>
      <c r="HH75" s="95"/>
      <c r="HI75" s="95"/>
      <c r="HJ75" s="95"/>
      <c r="HK75" s="95"/>
      <c r="HL75" s="95"/>
      <c r="HM75" s="95"/>
      <c r="HN75" s="95"/>
      <c r="HO75" s="95"/>
      <c r="HP75" s="95"/>
      <c r="HQ75" s="95"/>
      <c r="HR75" s="95"/>
      <c r="HS75" s="95"/>
      <c r="HT75" s="95"/>
      <c r="HU75" s="95"/>
      <c r="HV75" s="95"/>
      <c r="HW75" s="95"/>
      <c r="HX75" s="95"/>
      <c r="HY75" s="95"/>
      <c r="HZ75" s="95"/>
      <c r="IA75" s="95"/>
      <c r="IB75" s="95"/>
      <c r="IC75" s="95"/>
      <c r="ID75" s="95"/>
      <c r="IE75" s="95"/>
      <c r="IF75" s="95"/>
      <c r="IG75" s="95"/>
      <c r="IH75" s="95"/>
      <c r="II75" s="95"/>
      <c r="IJ75" s="95"/>
      <c r="IK75" s="95"/>
      <c r="IL75" s="95"/>
      <c r="IM75" s="95"/>
      <c r="IN75" s="95"/>
      <c r="IO75" s="95"/>
      <c r="IP75" s="95"/>
      <c r="IQ75" s="95"/>
      <c r="IR75" s="95"/>
      <c r="IS75" s="95"/>
      <c r="IT75" s="95"/>
      <c r="IU75" s="95"/>
      <c r="IV75" s="95"/>
      <c r="IW75" s="95"/>
      <c r="IX75" s="95"/>
      <c r="IY75" s="95"/>
      <c r="IZ75" s="95"/>
      <c r="JA75" s="95"/>
    </row>
    <row r="76" spans="3:261" ht="18.5" x14ac:dyDescent="0.45">
      <c r="C76" s="127" t="s">
        <v>106</v>
      </c>
      <c r="E76" s="144">
        <f t="shared" si="5"/>
        <v>0</v>
      </c>
      <c r="G76" s="114" t="s">
        <v>107</v>
      </c>
      <c r="H76" s="145">
        <v>80</v>
      </c>
      <c r="I76" s="145">
        <v>80</v>
      </c>
      <c r="J76" s="145">
        <v>80</v>
      </c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  <c r="BH76" s="95"/>
      <c r="BI76" s="95"/>
      <c r="BJ76" s="95"/>
      <c r="BK76" s="95"/>
      <c r="BL76" s="95"/>
      <c r="BM76" s="95"/>
      <c r="BN76" s="95"/>
      <c r="BO76" s="95"/>
      <c r="BP76" s="95"/>
      <c r="BQ76" s="95"/>
      <c r="BR76" s="95"/>
      <c r="BS76" s="95"/>
      <c r="BT76" s="95"/>
      <c r="BU76" s="95"/>
      <c r="BV76" s="95"/>
      <c r="BW76" s="95"/>
      <c r="BX76" s="95"/>
      <c r="BY76" s="95"/>
      <c r="BZ76" s="95"/>
      <c r="CA76" s="95"/>
      <c r="CB76" s="95"/>
      <c r="CC76" s="95"/>
      <c r="CD76" s="95"/>
      <c r="CE76" s="95"/>
      <c r="CF76" s="95"/>
      <c r="CG76" s="95"/>
      <c r="CH76" s="95"/>
      <c r="CI76" s="95"/>
      <c r="CJ76" s="95"/>
      <c r="CK76" s="95"/>
      <c r="CL76" s="95"/>
      <c r="CM76" s="95"/>
      <c r="CN76" s="95"/>
      <c r="CO76" s="95"/>
      <c r="CP76" s="95"/>
      <c r="CQ76" s="95"/>
      <c r="CR76" s="95"/>
      <c r="CS76" s="95"/>
      <c r="CT76" s="95"/>
      <c r="CU76" s="95"/>
      <c r="CV76" s="95"/>
      <c r="CW76" s="95"/>
      <c r="CX76" s="95"/>
      <c r="CY76" s="95"/>
      <c r="CZ76" s="95"/>
      <c r="DA76" s="95"/>
      <c r="DB76" s="95"/>
      <c r="DC76" s="95"/>
      <c r="DD76" s="95"/>
      <c r="DE76" s="95"/>
      <c r="DF76" s="95"/>
      <c r="DG76" s="95"/>
      <c r="DH76" s="95"/>
      <c r="DI76" s="95"/>
      <c r="DJ76" s="95"/>
      <c r="DK76" s="95"/>
      <c r="DL76" s="95"/>
      <c r="DM76" s="95"/>
      <c r="DN76" s="95"/>
      <c r="DO76" s="95"/>
      <c r="DP76" s="95"/>
      <c r="DQ76" s="95"/>
      <c r="DR76" s="95"/>
      <c r="DS76" s="95"/>
      <c r="DT76" s="95"/>
      <c r="DU76" s="95"/>
      <c r="DV76" s="95"/>
      <c r="DW76" s="95"/>
      <c r="DX76" s="95"/>
      <c r="DY76" s="95"/>
      <c r="DZ76" s="95"/>
      <c r="EA76" s="95"/>
      <c r="EB76" s="95"/>
      <c r="EC76" s="95"/>
      <c r="ED76" s="95"/>
      <c r="EE76" s="95"/>
      <c r="EF76" s="95"/>
      <c r="EG76" s="95"/>
      <c r="EH76" s="95"/>
      <c r="EI76" s="95"/>
      <c r="EJ76" s="95"/>
      <c r="EK76" s="95"/>
      <c r="EL76" s="95"/>
      <c r="EM76" s="95"/>
      <c r="EN76" s="95"/>
      <c r="EO76" s="95"/>
      <c r="EP76" s="95"/>
      <c r="EQ76" s="95"/>
      <c r="ER76" s="95"/>
      <c r="ES76" s="95"/>
      <c r="ET76" s="95"/>
      <c r="EU76" s="95"/>
      <c r="EV76" s="95"/>
      <c r="EW76" s="95"/>
      <c r="EX76" s="95"/>
      <c r="EY76" s="95"/>
      <c r="EZ76" s="95"/>
      <c r="FA76" s="95"/>
      <c r="FB76" s="95"/>
      <c r="FC76" s="95"/>
      <c r="FD76" s="95"/>
      <c r="FE76" s="95"/>
      <c r="FF76" s="95"/>
      <c r="FG76" s="95"/>
      <c r="FH76" s="95"/>
      <c r="FI76" s="95"/>
      <c r="FJ76" s="95"/>
      <c r="FK76" s="95"/>
      <c r="FL76" s="95"/>
      <c r="FM76" s="95"/>
      <c r="FN76" s="95"/>
      <c r="FO76" s="95"/>
      <c r="FP76" s="95"/>
      <c r="FQ76" s="95"/>
      <c r="FR76" s="95"/>
      <c r="FS76" s="95"/>
      <c r="FT76" s="95"/>
      <c r="FU76" s="95"/>
      <c r="FV76" s="95"/>
      <c r="FW76" s="95"/>
      <c r="FX76" s="95"/>
      <c r="FY76" s="95"/>
      <c r="FZ76" s="95"/>
      <c r="GA76" s="95"/>
      <c r="GB76" s="95"/>
      <c r="GC76" s="95"/>
      <c r="GD76" s="95"/>
      <c r="GE76" s="95"/>
      <c r="GF76" s="95"/>
      <c r="GG76" s="95"/>
      <c r="GH76" s="95"/>
      <c r="GI76" s="95"/>
      <c r="GJ76" s="95"/>
      <c r="GK76" s="95"/>
      <c r="GL76" s="95"/>
      <c r="GM76" s="95"/>
      <c r="GN76" s="95"/>
      <c r="GO76" s="95"/>
      <c r="GP76" s="95"/>
      <c r="GQ76" s="95"/>
      <c r="GR76" s="95"/>
      <c r="GS76" s="95"/>
      <c r="GT76" s="95"/>
      <c r="GU76" s="95"/>
      <c r="GV76" s="95"/>
      <c r="GW76" s="95"/>
      <c r="GX76" s="95"/>
      <c r="GY76" s="95"/>
      <c r="GZ76" s="95"/>
      <c r="HA76" s="95"/>
      <c r="HB76" s="95"/>
      <c r="HC76" s="95"/>
      <c r="HD76" s="95"/>
      <c r="HE76" s="95"/>
      <c r="HF76" s="95"/>
      <c r="HG76" s="95"/>
      <c r="HH76" s="95"/>
      <c r="HI76" s="95"/>
      <c r="HJ76" s="95"/>
      <c r="HK76" s="95"/>
      <c r="HL76" s="95"/>
      <c r="HM76" s="95"/>
      <c r="HN76" s="95"/>
      <c r="HO76" s="95"/>
      <c r="HP76" s="95"/>
      <c r="HQ76" s="95"/>
      <c r="HR76" s="95"/>
      <c r="HS76" s="95"/>
      <c r="HT76" s="95"/>
      <c r="HU76" s="95"/>
      <c r="HV76" s="95"/>
      <c r="HW76" s="95"/>
      <c r="HX76" s="95"/>
      <c r="HY76" s="95"/>
      <c r="HZ76" s="95"/>
      <c r="IA76" s="95"/>
      <c r="IB76" s="95"/>
      <c r="IC76" s="95"/>
      <c r="ID76" s="95"/>
      <c r="IE76" s="95"/>
      <c r="IF76" s="95"/>
      <c r="IG76" s="95"/>
      <c r="IH76" s="95"/>
      <c r="II76" s="95"/>
      <c r="IJ76" s="95"/>
      <c r="IK76" s="95"/>
      <c r="IL76" s="95"/>
      <c r="IM76" s="95"/>
      <c r="IN76" s="95"/>
      <c r="IO76" s="95"/>
      <c r="IP76" s="95"/>
      <c r="IQ76" s="95"/>
      <c r="IR76" s="95"/>
      <c r="IS76" s="95"/>
      <c r="IT76" s="95"/>
      <c r="IU76" s="95"/>
      <c r="IV76" s="95"/>
      <c r="IW76" s="95"/>
      <c r="IX76" s="95"/>
      <c r="IY76" s="95"/>
      <c r="IZ76" s="95"/>
      <c r="JA76" s="95"/>
    </row>
    <row r="77" spans="3:261" ht="18.5" x14ac:dyDescent="0.45">
      <c r="C77" s="127" t="s">
        <v>108</v>
      </c>
      <c r="E77" s="137">
        <v>552.92602739726033</v>
      </c>
      <c r="G77" s="114" t="s">
        <v>109</v>
      </c>
      <c r="H77" s="146">
        <f>0.5*$E$77</f>
        <v>276.46301369863016</v>
      </c>
      <c r="I77" s="146">
        <f>$E$77</f>
        <v>552.92602739726033</v>
      </c>
      <c r="J77" s="146">
        <f>$E$77</f>
        <v>552.92602739726033</v>
      </c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  <c r="BY77" s="95"/>
      <c r="BZ77" s="95"/>
      <c r="CA77" s="95"/>
      <c r="CB77" s="95"/>
      <c r="CC77" s="95"/>
      <c r="CD77" s="95"/>
      <c r="CE77" s="95"/>
      <c r="CF77" s="95"/>
      <c r="CG77" s="95"/>
      <c r="CH77" s="95"/>
      <c r="CI77" s="95"/>
      <c r="CJ77" s="95"/>
      <c r="CK77" s="95"/>
      <c r="CL77" s="95"/>
      <c r="CM77" s="95"/>
      <c r="CN77" s="95"/>
      <c r="CO77" s="95"/>
      <c r="CP77" s="95"/>
      <c r="CQ77" s="95"/>
      <c r="CR77" s="95"/>
      <c r="CS77" s="95"/>
      <c r="CT77" s="95"/>
      <c r="CU77" s="95"/>
      <c r="CV77" s="95"/>
      <c r="CW77" s="95"/>
      <c r="CX77" s="95"/>
      <c r="CY77" s="95"/>
      <c r="CZ77" s="95"/>
      <c r="DA77" s="95"/>
      <c r="DB77" s="95"/>
      <c r="DC77" s="95"/>
      <c r="DD77" s="95"/>
      <c r="DE77" s="95"/>
      <c r="DF77" s="95"/>
      <c r="DG77" s="95"/>
      <c r="DH77" s="95"/>
      <c r="DI77" s="95"/>
      <c r="DJ77" s="95"/>
      <c r="DK77" s="95"/>
      <c r="DL77" s="95"/>
      <c r="DM77" s="95"/>
      <c r="DN77" s="95"/>
      <c r="DO77" s="95"/>
      <c r="DP77" s="95"/>
      <c r="DQ77" s="95"/>
      <c r="DR77" s="95"/>
      <c r="DS77" s="95"/>
      <c r="DT77" s="95"/>
      <c r="DU77" s="95"/>
      <c r="DV77" s="95"/>
      <c r="DW77" s="95"/>
      <c r="DX77" s="95"/>
      <c r="DY77" s="95"/>
      <c r="DZ77" s="95"/>
      <c r="EA77" s="95"/>
      <c r="EB77" s="95"/>
      <c r="EC77" s="95"/>
      <c r="ED77" s="95"/>
      <c r="EE77" s="95"/>
      <c r="EF77" s="95"/>
      <c r="EG77" s="95"/>
      <c r="EH77" s="95"/>
      <c r="EI77" s="95"/>
      <c r="EJ77" s="95"/>
      <c r="EK77" s="95"/>
      <c r="EL77" s="95"/>
      <c r="EM77" s="95"/>
      <c r="EN77" s="95"/>
      <c r="EO77" s="95"/>
      <c r="EP77" s="95"/>
      <c r="EQ77" s="95"/>
      <c r="ER77" s="95"/>
      <c r="ES77" s="95"/>
      <c r="ET77" s="95"/>
      <c r="EU77" s="95"/>
      <c r="EV77" s="95"/>
      <c r="EW77" s="95"/>
      <c r="EX77" s="95"/>
      <c r="EY77" s="95"/>
      <c r="EZ77" s="95"/>
      <c r="FA77" s="95"/>
      <c r="FB77" s="95"/>
      <c r="FC77" s="95"/>
      <c r="FD77" s="95"/>
      <c r="FE77" s="95"/>
      <c r="FF77" s="95"/>
      <c r="FG77" s="95"/>
      <c r="FH77" s="95"/>
      <c r="FI77" s="95"/>
      <c r="FJ77" s="95"/>
      <c r="FK77" s="95"/>
      <c r="FL77" s="95"/>
      <c r="FM77" s="95"/>
      <c r="FN77" s="95"/>
      <c r="FO77" s="95"/>
      <c r="FP77" s="95"/>
      <c r="FQ77" s="95"/>
      <c r="FR77" s="95"/>
      <c r="FS77" s="95"/>
      <c r="FT77" s="95"/>
      <c r="FU77" s="95"/>
      <c r="FV77" s="95"/>
      <c r="FW77" s="95"/>
      <c r="FX77" s="95"/>
      <c r="FY77" s="95"/>
      <c r="FZ77" s="95"/>
      <c r="GA77" s="95"/>
      <c r="GB77" s="95"/>
      <c r="GC77" s="95"/>
      <c r="GD77" s="95"/>
      <c r="GE77" s="95"/>
      <c r="GF77" s="95"/>
      <c r="GG77" s="95"/>
      <c r="GH77" s="95"/>
      <c r="GI77" s="95"/>
      <c r="GJ77" s="95"/>
      <c r="GK77" s="95"/>
      <c r="GL77" s="95"/>
      <c r="GM77" s="95"/>
      <c r="GN77" s="95"/>
      <c r="GO77" s="95"/>
      <c r="GP77" s="95"/>
      <c r="GQ77" s="95"/>
      <c r="GR77" s="95"/>
      <c r="GS77" s="95"/>
      <c r="GT77" s="95"/>
      <c r="GU77" s="95"/>
      <c r="GV77" s="95"/>
      <c r="GW77" s="95"/>
      <c r="GX77" s="95"/>
      <c r="GY77" s="95"/>
      <c r="GZ77" s="95"/>
      <c r="HA77" s="95"/>
      <c r="HB77" s="95"/>
      <c r="HC77" s="95"/>
      <c r="HD77" s="95"/>
      <c r="HE77" s="95"/>
      <c r="HF77" s="95"/>
      <c r="HG77" s="95"/>
      <c r="HH77" s="95"/>
      <c r="HI77" s="95"/>
      <c r="HJ77" s="95"/>
      <c r="HK77" s="95"/>
      <c r="HL77" s="95"/>
      <c r="HM77" s="95"/>
      <c r="HN77" s="95"/>
      <c r="HO77" s="95"/>
      <c r="HP77" s="95"/>
      <c r="HQ77" s="95"/>
      <c r="HR77" s="95"/>
      <c r="HS77" s="95"/>
      <c r="HT77" s="95"/>
      <c r="HU77" s="95"/>
      <c r="HV77" s="95"/>
      <c r="HW77" s="95"/>
      <c r="HX77" s="95"/>
      <c r="HY77" s="95"/>
      <c r="HZ77" s="95"/>
      <c r="IA77" s="95"/>
      <c r="IB77" s="95"/>
      <c r="IC77" s="95"/>
      <c r="ID77" s="95"/>
      <c r="IE77" s="95"/>
      <c r="IF77" s="95"/>
      <c r="IG77" s="95"/>
      <c r="IH77" s="95"/>
      <c r="II77" s="95"/>
      <c r="IJ77" s="95"/>
      <c r="IK77" s="95"/>
      <c r="IL77" s="95"/>
      <c r="IM77" s="95"/>
      <c r="IN77" s="95"/>
      <c r="IO77" s="95"/>
      <c r="IP77" s="95"/>
      <c r="IQ77" s="95"/>
      <c r="IR77" s="95"/>
      <c r="IS77" s="95"/>
      <c r="IT77" s="95"/>
      <c r="IU77" s="95"/>
      <c r="IV77" s="95"/>
      <c r="IW77" s="95"/>
      <c r="IX77" s="95"/>
      <c r="IY77" s="95"/>
      <c r="IZ77" s="95"/>
      <c r="JA77" s="95"/>
    </row>
    <row r="78" spans="3:261" ht="18.5" x14ac:dyDescent="0.45">
      <c r="C78" s="127"/>
      <c r="E78" s="138"/>
      <c r="G78" s="114"/>
      <c r="H78" s="114"/>
      <c r="I78" s="114"/>
      <c r="J78" s="114"/>
      <c r="S78" s="147"/>
      <c r="T78" s="147"/>
      <c r="U78" s="95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5"/>
      <c r="BP78" s="95"/>
      <c r="BQ78" s="95"/>
      <c r="BR78" s="95"/>
      <c r="BS78" s="95"/>
      <c r="BT78" s="95"/>
      <c r="BU78" s="95"/>
      <c r="BV78" s="95"/>
      <c r="BW78" s="95"/>
      <c r="BX78" s="95"/>
      <c r="BY78" s="95"/>
      <c r="BZ78" s="95"/>
      <c r="CA78" s="95"/>
      <c r="CB78" s="95"/>
      <c r="CC78" s="95"/>
      <c r="CD78" s="95"/>
      <c r="CE78" s="95"/>
      <c r="CF78" s="95"/>
      <c r="CG78" s="95"/>
      <c r="CH78" s="95"/>
      <c r="CI78" s="95"/>
      <c r="CJ78" s="95"/>
      <c r="CK78" s="95"/>
      <c r="CL78" s="95"/>
      <c r="CM78" s="95"/>
      <c r="CN78" s="95"/>
      <c r="CO78" s="95"/>
      <c r="CP78" s="95"/>
      <c r="CQ78" s="95"/>
      <c r="CR78" s="95"/>
      <c r="CS78" s="95"/>
      <c r="CT78" s="95"/>
      <c r="CU78" s="95"/>
      <c r="CV78" s="95"/>
      <c r="CW78" s="95"/>
      <c r="CX78" s="95"/>
      <c r="CY78" s="95"/>
      <c r="CZ78" s="95"/>
      <c r="DA78" s="95"/>
      <c r="DB78" s="95"/>
      <c r="DC78" s="95"/>
      <c r="DD78" s="95"/>
      <c r="DE78" s="95"/>
      <c r="DF78" s="95"/>
      <c r="DG78" s="95"/>
      <c r="DH78" s="95"/>
      <c r="DI78" s="95"/>
      <c r="DJ78" s="95"/>
      <c r="DK78" s="95"/>
      <c r="DL78" s="95"/>
      <c r="DM78" s="95"/>
      <c r="DN78" s="95"/>
      <c r="DO78" s="95"/>
      <c r="DP78" s="95"/>
      <c r="DQ78" s="95"/>
      <c r="DR78" s="95"/>
      <c r="DS78" s="95"/>
      <c r="DT78" s="95"/>
      <c r="DU78" s="95"/>
      <c r="DV78" s="95"/>
      <c r="DW78" s="95"/>
      <c r="DX78" s="95"/>
      <c r="DY78" s="95"/>
      <c r="DZ78" s="95"/>
      <c r="EA78" s="95"/>
      <c r="EB78" s="95"/>
      <c r="EC78" s="95"/>
      <c r="ED78" s="95"/>
      <c r="EE78" s="95"/>
      <c r="EF78" s="95"/>
      <c r="EG78" s="95"/>
      <c r="EH78" s="95"/>
      <c r="EI78" s="95"/>
      <c r="EJ78" s="95"/>
      <c r="EK78" s="95"/>
      <c r="EL78" s="95"/>
      <c r="EM78" s="95"/>
      <c r="EN78" s="95"/>
      <c r="EO78" s="95"/>
      <c r="EP78" s="95"/>
      <c r="EQ78" s="95"/>
      <c r="ER78" s="95"/>
      <c r="ES78" s="95"/>
      <c r="ET78" s="95"/>
      <c r="EU78" s="95"/>
      <c r="EV78" s="95"/>
      <c r="EW78" s="95"/>
      <c r="EX78" s="95"/>
      <c r="EY78" s="95"/>
      <c r="EZ78" s="95"/>
      <c r="FA78" s="95"/>
      <c r="FB78" s="95"/>
      <c r="FC78" s="95"/>
      <c r="FD78" s="95"/>
      <c r="FE78" s="95"/>
      <c r="FF78" s="95"/>
      <c r="FG78" s="95"/>
      <c r="FH78" s="95"/>
      <c r="FI78" s="95"/>
      <c r="FJ78" s="95"/>
      <c r="FK78" s="95"/>
      <c r="FL78" s="95"/>
      <c r="FM78" s="95"/>
      <c r="FN78" s="95"/>
      <c r="FO78" s="95"/>
      <c r="FP78" s="95"/>
      <c r="FQ78" s="95"/>
      <c r="FR78" s="95"/>
      <c r="FS78" s="95"/>
      <c r="FT78" s="95"/>
      <c r="FU78" s="95"/>
      <c r="FV78" s="95"/>
      <c r="FW78" s="95"/>
      <c r="FX78" s="95"/>
      <c r="FY78" s="95"/>
      <c r="FZ78" s="95"/>
      <c r="GA78" s="95"/>
      <c r="GB78" s="95"/>
      <c r="GC78" s="95"/>
      <c r="GD78" s="95"/>
      <c r="GE78" s="95"/>
      <c r="GF78" s="95"/>
      <c r="GG78" s="95"/>
      <c r="GH78" s="95"/>
      <c r="GI78" s="95"/>
      <c r="GJ78" s="95"/>
      <c r="GK78" s="95"/>
      <c r="GL78" s="95"/>
      <c r="GM78" s="95"/>
      <c r="GN78" s="95"/>
      <c r="GO78" s="95"/>
      <c r="GP78" s="95"/>
      <c r="GQ78" s="95"/>
      <c r="GR78" s="95"/>
      <c r="GS78" s="95"/>
      <c r="GT78" s="95"/>
      <c r="GU78" s="95"/>
      <c r="GV78" s="95"/>
      <c r="GW78" s="95"/>
      <c r="GX78" s="95"/>
      <c r="GY78" s="95"/>
      <c r="GZ78" s="95"/>
      <c r="HA78" s="95"/>
      <c r="HB78" s="95"/>
      <c r="HC78" s="95"/>
      <c r="HD78" s="95"/>
      <c r="HE78" s="95"/>
      <c r="HF78" s="95"/>
      <c r="HG78" s="95"/>
      <c r="HH78" s="95"/>
      <c r="HI78" s="95"/>
      <c r="HJ78" s="95"/>
      <c r="HK78" s="95"/>
      <c r="HL78" s="95"/>
      <c r="HM78" s="95"/>
      <c r="HN78" s="95"/>
      <c r="HO78" s="95"/>
      <c r="HP78" s="95"/>
      <c r="HQ78" s="95"/>
      <c r="HR78" s="95"/>
      <c r="HS78" s="95"/>
      <c r="HT78" s="95"/>
      <c r="HU78" s="95"/>
      <c r="HV78" s="95"/>
      <c r="HW78" s="95"/>
      <c r="HX78" s="95"/>
      <c r="HY78" s="95"/>
      <c r="HZ78" s="95"/>
      <c r="IA78" s="95"/>
      <c r="IB78" s="95"/>
      <c r="IC78" s="95"/>
      <c r="ID78" s="95"/>
      <c r="IE78" s="95"/>
      <c r="IF78" s="95"/>
      <c r="IG78" s="95"/>
      <c r="IH78" s="95"/>
      <c r="II78" s="95"/>
      <c r="IJ78" s="95"/>
      <c r="IK78" s="95"/>
      <c r="IL78" s="95"/>
      <c r="IM78" s="95"/>
      <c r="IN78" s="95"/>
      <c r="IO78" s="95"/>
      <c r="IP78" s="95"/>
      <c r="IQ78" s="95"/>
      <c r="IR78" s="95"/>
      <c r="IS78" s="95"/>
      <c r="IT78" s="95"/>
      <c r="IU78" s="95"/>
      <c r="IV78" s="95"/>
      <c r="IW78" s="95"/>
      <c r="IX78" s="95"/>
      <c r="IY78" s="95"/>
      <c r="IZ78" s="95"/>
      <c r="JA78" s="95"/>
    </row>
    <row r="79" spans="3:261" ht="18.5" x14ac:dyDescent="0.45">
      <c r="C79" s="123" t="s">
        <v>110</v>
      </c>
      <c r="E79" s="148" t="e">
        <f>E80/E75</f>
        <v>#DIV/0!</v>
      </c>
      <c r="G79" s="125" t="s">
        <v>111</v>
      </c>
      <c r="H79" s="149"/>
      <c r="I79" s="114"/>
      <c r="J79" s="114"/>
      <c r="S79" s="147"/>
      <c r="T79" s="147"/>
      <c r="U79" s="9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5"/>
      <c r="AO79" s="13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5"/>
      <c r="BP79" s="95"/>
      <c r="BQ79" s="95"/>
      <c r="BR79" s="95"/>
      <c r="BS79" s="95"/>
      <c r="BT79" s="95"/>
      <c r="BU79" s="95"/>
      <c r="BV79" s="95"/>
      <c r="BW79" s="95"/>
      <c r="BX79" s="95"/>
      <c r="BY79" s="95"/>
      <c r="BZ79" s="95"/>
      <c r="CA79" s="95"/>
      <c r="CB79" s="95"/>
      <c r="CC79" s="95"/>
      <c r="CD79" s="95"/>
      <c r="CE79" s="95"/>
      <c r="CF79" s="95"/>
      <c r="CG79" s="95"/>
      <c r="CH79" s="95"/>
      <c r="CI79" s="95"/>
      <c r="CJ79" s="95"/>
      <c r="CK79" s="95"/>
      <c r="CL79" s="95"/>
      <c r="CM79" s="95"/>
      <c r="CN79" s="95"/>
      <c r="CO79" s="95"/>
      <c r="CP79" s="95"/>
      <c r="CQ79" s="95"/>
      <c r="CR79" s="95"/>
      <c r="CS79" s="95"/>
      <c r="CT79" s="95"/>
      <c r="CU79" s="95"/>
      <c r="CV79" s="95"/>
      <c r="CW79" s="95"/>
      <c r="CX79" s="95"/>
      <c r="CY79" s="95"/>
      <c r="CZ79" s="95"/>
      <c r="DA79" s="95"/>
      <c r="DB79" s="95"/>
      <c r="DC79" s="95"/>
      <c r="DD79" s="95"/>
      <c r="DE79" s="95"/>
      <c r="DF79" s="95"/>
      <c r="DG79" s="95"/>
      <c r="DH79" s="95"/>
      <c r="DI79" s="95"/>
      <c r="DJ79" s="95"/>
      <c r="DK79" s="95"/>
      <c r="DL79" s="95"/>
      <c r="DM79" s="95"/>
      <c r="DN79" s="95"/>
      <c r="DO79" s="95"/>
      <c r="DP79" s="95"/>
      <c r="DQ79" s="95"/>
      <c r="DR79" s="95"/>
      <c r="DS79" s="95"/>
      <c r="DT79" s="95"/>
      <c r="DU79" s="95"/>
      <c r="DV79" s="95"/>
      <c r="DW79" s="95"/>
      <c r="DX79" s="95"/>
      <c r="DY79" s="95"/>
      <c r="DZ79" s="95"/>
      <c r="EA79" s="95"/>
      <c r="EB79" s="95"/>
      <c r="EC79" s="95"/>
      <c r="ED79" s="95"/>
      <c r="EE79" s="95"/>
      <c r="EF79" s="95"/>
      <c r="EG79" s="95"/>
      <c r="EH79" s="95"/>
      <c r="EI79" s="95"/>
      <c r="EJ79" s="95"/>
      <c r="EK79" s="95"/>
      <c r="EL79" s="95"/>
      <c r="EM79" s="95"/>
      <c r="EN79" s="95"/>
      <c r="EO79" s="95"/>
      <c r="EP79" s="95"/>
      <c r="EQ79" s="95"/>
      <c r="ER79" s="95"/>
      <c r="ES79" s="95"/>
      <c r="ET79" s="95"/>
      <c r="EU79" s="95"/>
      <c r="EV79" s="95"/>
      <c r="EW79" s="95"/>
      <c r="EX79" s="95"/>
      <c r="EY79" s="95"/>
      <c r="EZ79" s="95"/>
      <c r="FA79" s="95"/>
      <c r="FB79" s="95"/>
      <c r="FC79" s="95"/>
      <c r="FD79" s="95"/>
      <c r="FE79" s="95"/>
      <c r="FF79" s="95"/>
      <c r="FG79" s="95"/>
      <c r="FH79" s="95"/>
      <c r="FI79" s="95"/>
      <c r="FJ79" s="95"/>
      <c r="FK79" s="95"/>
      <c r="FL79" s="95"/>
      <c r="FM79" s="95"/>
      <c r="FN79" s="95"/>
      <c r="FO79" s="95"/>
      <c r="FP79" s="95"/>
      <c r="FQ79" s="95"/>
      <c r="FR79" s="95"/>
      <c r="FS79" s="95"/>
      <c r="FT79" s="95"/>
      <c r="FU79" s="95"/>
      <c r="FV79" s="95"/>
      <c r="FW79" s="95"/>
      <c r="FX79" s="95"/>
      <c r="FY79" s="95"/>
      <c r="FZ79" s="95"/>
      <c r="GA79" s="95"/>
      <c r="GB79" s="95"/>
      <c r="GC79" s="95"/>
      <c r="GD79" s="95"/>
      <c r="GE79" s="95"/>
      <c r="GF79" s="95"/>
      <c r="GG79" s="95"/>
      <c r="GH79" s="95"/>
      <c r="GI79" s="95"/>
      <c r="GJ79" s="95"/>
      <c r="GK79" s="95"/>
      <c r="GL79" s="95"/>
      <c r="GM79" s="95"/>
      <c r="GN79" s="95"/>
      <c r="GO79" s="95"/>
      <c r="GP79" s="95"/>
      <c r="GQ79" s="95"/>
      <c r="GR79" s="95"/>
      <c r="GS79" s="95"/>
      <c r="GT79" s="95"/>
      <c r="GU79" s="95"/>
      <c r="GV79" s="95"/>
      <c r="GW79" s="95"/>
      <c r="GX79" s="95"/>
      <c r="GY79" s="95"/>
      <c r="GZ79" s="95"/>
      <c r="HA79" s="95"/>
      <c r="HB79" s="95"/>
      <c r="HC79" s="95"/>
      <c r="HD79" s="95"/>
      <c r="HE79" s="95"/>
      <c r="HF79" s="95"/>
      <c r="HG79" s="95"/>
      <c r="HH79" s="95"/>
      <c r="HI79" s="95"/>
      <c r="HJ79" s="95"/>
      <c r="HK79" s="95"/>
      <c r="HL79" s="95"/>
      <c r="HM79" s="95"/>
      <c r="HN79" s="95"/>
      <c r="HO79" s="95"/>
      <c r="HP79" s="95"/>
      <c r="HQ79" s="95"/>
      <c r="HR79" s="95"/>
      <c r="HS79" s="95"/>
      <c r="HT79" s="95"/>
      <c r="HU79" s="95"/>
      <c r="HV79" s="95"/>
      <c r="HW79" s="95"/>
      <c r="HX79" s="95"/>
      <c r="HY79" s="95"/>
      <c r="HZ79" s="95"/>
      <c r="IA79" s="95"/>
      <c r="IB79" s="95"/>
      <c r="IC79" s="95"/>
      <c r="ID79" s="95"/>
      <c r="IE79" s="95"/>
      <c r="IF79" s="95"/>
      <c r="IG79" s="95"/>
      <c r="IH79" s="95"/>
      <c r="II79" s="95"/>
      <c r="IJ79" s="95"/>
      <c r="IK79" s="95"/>
      <c r="IL79" s="95"/>
      <c r="IM79" s="95"/>
      <c r="IN79" s="95"/>
      <c r="IO79" s="95"/>
      <c r="IP79" s="95"/>
      <c r="IQ79" s="95"/>
      <c r="IR79" s="95"/>
      <c r="IS79" s="95"/>
      <c r="IT79" s="95"/>
      <c r="IU79" s="95"/>
      <c r="IV79" s="95"/>
      <c r="IW79" s="95"/>
      <c r="IX79" s="95"/>
      <c r="IY79" s="95"/>
      <c r="IZ79" s="95"/>
      <c r="JA79" s="95"/>
    </row>
    <row r="80" spans="3:261" ht="18.5" x14ac:dyDescent="0.45">
      <c r="C80" s="130" t="s">
        <v>112</v>
      </c>
      <c r="D80" s="131"/>
      <c r="E80" s="132">
        <f>SUMIFS($H80:$J80,H$63:J$63,$D$60)</f>
        <v>0</v>
      </c>
      <c r="F80" s="131"/>
      <c r="G80" s="133" t="s">
        <v>101</v>
      </c>
      <c r="H80" s="134">
        <v>12</v>
      </c>
      <c r="I80" s="134">
        <v>12</v>
      </c>
      <c r="J80" s="134">
        <v>12</v>
      </c>
      <c r="S80" s="147"/>
      <c r="T80" s="147"/>
      <c r="U80" s="9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/>
      <c r="AN80" s="135"/>
      <c r="AO80" s="13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5"/>
      <c r="BP80" s="95"/>
      <c r="BQ80" s="95"/>
      <c r="BR80" s="95"/>
      <c r="BS80" s="95"/>
      <c r="BT80" s="95"/>
      <c r="BU80" s="95"/>
      <c r="BV80" s="95"/>
      <c r="BW80" s="95"/>
      <c r="BX80" s="95"/>
      <c r="BY80" s="95"/>
      <c r="BZ80" s="95"/>
      <c r="CA80" s="95"/>
      <c r="CB80" s="95"/>
      <c r="CC80" s="95"/>
      <c r="CD80" s="95"/>
      <c r="CE80" s="95"/>
      <c r="CF80" s="95"/>
      <c r="CG80" s="95"/>
      <c r="CH80" s="95"/>
      <c r="CI80" s="95"/>
      <c r="CJ80" s="95"/>
      <c r="CK80" s="95"/>
      <c r="CL80" s="95"/>
      <c r="CM80" s="95"/>
      <c r="CN80" s="95"/>
      <c r="CO80" s="95"/>
      <c r="CP80" s="95"/>
      <c r="CQ80" s="95"/>
      <c r="CR80" s="95"/>
      <c r="CS80" s="95"/>
      <c r="CT80" s="95"/>
      <c r="CU80" s="95"/>
      <c r="CV80" s="95"/>
      <c r="CW80" s="95"/>
      <c r="CX80" s="95"/>
      <c r="CY80" s="95"/>
      <c r="CZ80" s="95"/>
      <c r="DA80" s="95"/>
      <c r="DB80" s="95"/>
      <c r="DC80" s="95"/>
      <c r="DD80" s="95"/>
      <c r="DE80" s="95"/>
      <c r="DF80" s="95"/>
      <c r="DG80" s="95"/>
      <c r="DH80" s="95"/>
      <c r="DI80" s="95"/>
      <c r="DJ80" s="95"/>
      <c r="DK80" s="95"/>
      <c r="DL80" s="95"/>
      <c r="DM80" s="95"/>
      <c r="DN80" s="95"/>
      <c r="DO80" s="95"/>
      <c r="DP80" s="95"/>
      <c r="DQ80" s="95"/>
      <c r="DR80" s="95"/>
      <c r="DS80" s="95"/>
      <c r="DT80" s="95"/>
      <c r="DU80" s="95"/>
      <c r="DV80" s="95"/>
      <c r="DW80" s="95"/>
      <c r="DX80" s="95"/>
      <c r="DY80" s="95"/>
      <c r="DZ80" s="95"/>
      <c r="EA80" s="95"/>
      <c r="EB80" s="95"/>
      <c r="EC80" s="95"/>
      <c r="ED80" s="95"/>
      <c r="EE80" s="95"/>
      <c r="EF80" s="95"/>
      <c r="EG80" s="95"/>
      <c r="EH80" s="95"/>
      <c r="EI80" s="95"/>
      <c r="EJ80" s="95"/>
      <c r="EK80" s="95"/>
      <c r="EL80" s="95"/>
      <c r="EM80" s="95"/>
      <c r="EN80" s="95"/>
      <c r="EO80" s="95"/>
      <c r="EP80" s="95"/>
      <c r="EQ80" s="95"/>
      <c r="ER80" s="95"/>
      <c r="ES80" s="95"/>
      <c r="ET80" s="95"/>
      <c r="EU80" s="95"/>
      <c r="EV80" s="95"/>
      <c r="EW80" s="95"/>
      <c r="EX80" s="95"/>
      <c r="EY80" s="95"/>
      <c r="EZ80" s="95"/>
      <c r="FA80" s="95"/>
      <c r="FB80" s="95"/>
      <c r="FC80" s="95"/>
      <c r="FD80" s="95"/>
      <c r="FE80" s="95"/>
      <c r="FF80" s="95"/>
      <c r="FG80" s="95"/>
      <c r="FH80" s="95"/>
      <c r="FI80" s="95"/>
      <c r="FJ80" s="95"/>
      <c r="FK80" s="95"/>
      <c r="FL80" s="95"/>
      <c r="FM80" s="95"/>
      <c r="FN80" s="95"/>
      <c r="FO80" s="95"/>
      <c r="FP80" s="95"/>
      <c r="FQ80" s="95"/>
      <c r="FR80" s="95"/>
      <c r="FS80" s="95"/>
      <c r="FT80" s="95"/>
      <c r="FU80" s="95"/>
      <c r="FV80" s="95"/>
      <c r="FW80" s="95"/>
      <c r="FX80" s="95"/>
      <c r="FY80" s="95"/>
      <c r="FZ80" s="95"/>
      <c r="GA80" s="95"/>
      <c r="GB80" s="95"/>
      <c r="GC80" s="95"/>
      <c r="GD80" s="95"/>
      <c r="GE80" s="95"/>
      <c r="GF80" s="95"/>
      <c r="GG80" s="95"/>
      <c r="GH80" s="95"/>
      <c r="GI80" s="95"/>
      <c r="GJ80" s="95"/>
      <c r="GK80" s="95"/>
      <c r="GL80" s="95"/>
      <c r="GM80" s="95"/>
      <c r="GN80" s="95"/>
      <c r="GO80" s="95"/>
      <c r="GP80" s="95"/>
      <c r="GQ80" s="95"/>
      <c r="GR80" s="95"/>
      <c r="GS80" s="95"/>
      <c r="GT80" s="95"/>
      <c r="GU80" s="95"/>
      <c r="GV80" s="95"/>
      <c r="GW80" s="95"/>
      <c r="GX80" s="95"/>
      <c r="GY80" s="95"/>
      <c r="GZ80" s="95"/>
      <c r="HA80" s="95"/>
      <c r="HB80" s="95"/>
      <c r="HC80" s="95"/>
      <c r="HD80" s="95"/>
      <c r="HE80" s="95"/>
      <c r="HF80" s="95"/>
      <c r="HG80" s="95"/>
      <c r="HH80" s="95"/>
      <c r="HI80" s="95"/>
      <c r="HJ80" s="95"/>
      <c r="HK80" s="95"/>
      <c r="HL80" s="95"/>
      <c r="HM80" s="95"/>
      <c r="HN80" s="95"/>
      <c r="HO80" s="95"/>
      <c r="HP80" s="95"/>
      <c r="HQ80" s="95"/>
      <c r="HR80" s="95"/>
      <c r="HS80" s="95"/>
      <c r="HT80" s="95"/>
      <c r="HU80" s="95"/>
      <c r="HV80" s="95"/>
      <c r="HW80" s="95"/>
      <c r="HX80" s="95"/>
      <c r="HY80" s="95"/>
      <c r="HZ80" s="95"/>
      <c r="IA80" s="95"/>
      <c r="IB80" s="95"/>
      <c r="IC80" s="95"/>
      <c r="ID80" s="95"/>
      <c r="IE80" s="95"/>
      <c r="IF80" s="95"/>
      <c r="IG80" s="95"/>
      <c r="IH80" s="95"/>
      <c r="II80" s="95"/>
      <c r="IJ80" s="95"/>
      <c r="IK80" s="95"/>
      <c r="IL80" s="95"/>
      <c r="IM80" s="95"/>
      <c r="IN80" s="95"/>
      <c r="IO80" s="95"/>
      <c r="IP80" s="95"/>
      <c r="IQ80" s="95"/>
      <c r="IR80" s="95"/>
      <c r="IS80" s="95"/>
      <c r="IT80" s="95"/>
      <c r="IU80" s="95"/>
      <c r="IV80" s="95"/>
      <c r="IW80" s="95"/>
      <c r="IX80" s="95"/>
      <c r="IY80" s="95"/>
      <c r="IZ80" s="95"/>
      <c r="JA80" s="95"/>
    </row>
    <row r="81" spans="3:261" ht="18.5" x14ac:dyDescent="0.45">
      <c r="C81" s="114"/>
      <c r="D81" s="114"/>
      <c r="E81" s="114"/>
      <c r="G81" s="114"/>
      <c r="H81" s="114"/>
      <c r="I81" s="114"/>
      <c r="J81" s="114"/>
      <c r="S81" s="103"/>
      <c r="T81" s="103"/>
      <c r="U81" s="103"/>
      <c r="V81" s="150"/>
      <c r="W81" s="150"/>
      <c r="X81" s="150"/>
      <c r="Y81" s="150"/>
      <c r="Z81" s="150"/>
      <c r="AA81" s="150"/>
      <c r="AB81" s="150"/>
      <c r="AC81" s="150"/>
      <c r="AD81" s="150"/>
      <c r="AE81" s="150"/>
      <c r="AF81" s="150"/>
      <c r="AG81" s="150"/>
      <c r="AH81" s="150"/>
      <c r="AI81" s="150"/>
      <c r="AJ81" s="150"/>
      <c r="AK81" s="150"/>
      <c r="AL81" s="150"/>
      <c r="AM81" s="150"/>
      <c r="AN81" s="150"/>
      <c r="AO81" s="150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5"/>
      <c r="BP81" s="95"/>
      <c r="BQ81" s="95"/>
      <c r="BR81" s="95"/>
      <c r="BS81" s="95"/>
      <c r="BT81" s="95"/>
      <c r="BU81" s="95"/>
      <c r="BV81" s="95"/>
      <c r="BW81" s="95"/>
      <c r="BX81" s="95"/>
      <c r="BY81" s="95"/>
      <c r="BZ81" s="95"/>
      <c r="CA81" s="95"/>
      <c r="CB81" s="95"/>
      <c r="CC81" s="95"/>
      <c r="CD81" s="95"/>
      <c r="CE81" s="95"/>
      <c r="CF81" s="95"/>
      <c r="CG81" s="95"/>
      <c r="CH81" s="95"/>
      <c r="CI81" s="95"/>
      <c r="CJ81" s="95"/>
      <c r="CK81" s="95"/>
      <c r="CL81" s="95"/>
      <c r="CM81" s="95"/>
      <c r="CN81" s="95"/>
      <c r="CO81" s="95"/>
      <c r="CP81" s="95"/>
      <c r="CQ81" s="95"/>
      <c r="CR81" s="95"/>
      <c r="CS81" s="95"/>
      <c r="CT81" s="95"/>
      <c r="CU81" s="95"/>
      <c r="CV81" s="95"/>
      <c r="CW81" s="95"/>
      <c r="CX81" s="95"/>
      <c r="CY81" s="95"/>
      <c r="CZ81" s="95"/>
      <c r="DA81" s="95"/>
      <c r="DB81" s="95"/>
      <c r="DC81" s="95"/>
      <c r="DD81" s="95"/>
      <c r="DE81" s="95"/>
      <c r="DF81" s="95"/>
      <c r="DG81" s="95"/>
      <c r="DH81" s="95"/>
      <c r="DI81" s="95"/>
      <c r="DJ81" s="95"/>
      <c r="DK81" s="95"/>
      <c r="DL81" s="95"/>
      <c r="DM81" s="95"/>
      <c r="DN81" s="95"/>
      <c r="DO81" s="95"/>
      <c r="DP81" s="95"/>
      <c r="DQ81" s="95"/>
      <c r="DR81" s="95"/>
      <c r="DS81" s="95"/>
      <c r="DT81" s="95"/>
      <c r="DU81" s="95"/>
      <c r="DV81" s="95"/>
      <c r="DW81" s="95"/>
      <c r="DX81" s="95"/>
      <c r="DY81" s="95"/>
      <c r="DZ81" s="95"/>
      <c r="EA81" s="95"/>
      <c r="EB81" s="95"/>
      <c r="EC81" s="95"/>
      <c r="ED81" s="95"/>
      <c r="EE81" s="95"/>
      <c r="EF81" s="95"/>
      <c r="EG81" s="95"/>
      <c r="EH81" s="95"/>
      <c r="EI81" s="95"/>
      <c r="EJ81" s="95"/>
      <c r="EK81" s="95"/>
      <c r="EL81" s="95"/>
      <c r="EM81" s="95"/>
      <c r="EN81" s="95"/>
      <c r="EO81" s="95"/>
      <c r="EP81" s="95"/>
      <c r="EQ81" s="95"/>
      <c r="ER81" s="95"/>
      <c r="ES81" s="95"/>
      <c r="ET81" s="95"/>
      <c r="EU81" s="95"/>
      <c r="EV81" s="95"/>
      <c r="EW81" s="95"/>
      <c r="EX81" s="95"/>
      <c r="EY81" s="95"/>
      <c r="EZ81" s="95"/>
      <c r="FA81" s="95"/>
      <c r="FB81" s="95"/>
      <c r="FC81" s="95"/>
      <c r="FD81" s="95"/>
      <c r="FE81" s="95"/>
      <c r="FF81" s="95"/>
      <c r="FG81" s="95"/>
      <c r="FH81" s="95"/>
      <c r="FI81" s="95"/>
      <c r="FJ81" s="95"/>
      <c r="FK81" s="95"/>
      <c r="FL81" s="95"/>
      <c r="FM81" s="95"/>
      <c r="FN81" s="95"/>
      <c r="FO81" s="95"/>
      <c r="FP81" s="95"/>
      <c r="FQ81" s="95"/>
      <c r="FR81" s="95"/>
      <c r="FS81" s="95"/>
      <c r="FT81" s="95"/>
      <c r="FU81" s="95"/>
      <c r="FV81" s="95"/>
      <c r="FW81" s="95"/>
      <c r="FX81" s="95"/>
      <c r="FY81" s="95"/>
      <c r="FZ81" s="95"/>
      <c r="GA81" s="95"/>
      <c r="GB81" s="95"/>
      <c r="GC81" s="95"/>
      <c r="GD81" s="95"/>
      <c r="GE81" s="95"/>
      <c r="GF81" s="95"/>
      <c r="GG81" s="95"/>
      <c r="GH81" s="95"/>
      <c r="GI81" s="95"/>
      <c r="GJ81" s="95"/>
      <c r="GK81" s="95"/>
      <c r="GL81" s="95"/>
      <c r="GM81" s="95"/>
      <c r="GN81" s="95"/>
      <c r="GO81" s="95"/>
      <c r="GP81" s="95"/>
      <c r="GQ81" s="95"/>
      <c r="GR81" s="95"/>
      <c r="GS81" s="95"/>
      <c r="GT81" s="95"/>
      <c r="GU81" s="95"/>
      <c r="GV81" s="95"/>
      <c r="GW81" s="95"/>
      <c r="GX81" s="95"/>
      <c r="GY81" s="95"/>
      <c r="GZ81" s="95"/>
      <c r="HA81" s="95"/>
      <c r="HB81" s="95"/>
      <c r="HC81" s="95"/>
      <c r="HD81" s="95"/>
      <c r="HE81" s="95"/>
      <c r="HF81" s="95"/>
      <c r="HG81" s="95"/>
      <c r="HH81" s="95"/>
      <c r="HI81" s="95"/>
      <c r="HJ81" s="95"/>
      <c r="HK81" s="95"/>
      <c r="HL81" s="95"/>
      <c r="HM81" s="95"/>
      <c r="HN81" s="95"/>
      <c r="HO81" s="95"/>
      <c r="HP81" s="95"/>
      <c r="HQ81" s="95"/>
      <c r="HR81" s="95"/>
      <c r="HS81" s="95"/>
      <c r="HT81" s="95"/>
      <c r="HU81" s="95"/>
      <c r="HV81" s="95"/>
      <c r="HW81" s="95"/>
      <c r="HX81" s="95"/>
      <c r="HY81" s="95"/>
      <c r="HZ81" s="95"/>
      <c r="IA81" s="95"/>
      <c r="IB81" s="95"/>
      <c r="IC81" s="95"/>
      <c r="ID81" s="95"/>
      <c r="IE81" s="95"/>
      <c r="IF81" s="95"/>
      <c r="IG81" s="95"/>
      <c r="IH81" s="95"/>
      <c r="II81" s="95"/>
      <c r="IJ81" s="95"/>
      <c r="IK81" s="95"/>
      <c r="IL81" s="95"/>
      <c r="IM81" s="95"/>
      <c r="IN81" s="95"/>
      <c r="IO81" s="95"/>
      <c r="IP81" s="95"/>
      <c r="IQ81" s="95"/>
      <c r="IR81" s="95"/>
      <c r="IS81" s="95"/>
      <c r="IT81" s="95"/>
      <c r="IU81" s="95"/>
      <c r="IV81" s="95"/>
      <c r="IW81" s="95"/>
      <c r="IX81" s="95"/>
      <c r="IY81" s="95"/>
      <c r="IZ81" s="95"/>
      <c r="JA81" s="95"/>
    </row>
    <row r="82" spans="3:261" ht="18.5" x14ac:dyDescent="0.45">
      <c r="C82" s="122" t="s">
        <v>113</v>
      </c>
      <c r="D82" s="114"/>
      <c r="E82" s="114"/>
      <c r="G82" s="114"/>
      <c r="H82" s="114"/>
      <c r="I82" s="151"/>
      <c r="J82" s="114"/>
      <c r="S82" s="152"/>
      <c r="T82" s="152"/>
      <c r="U82" s="95"/>
      <c r="V82" s="153"/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  <c r="AO82" s="153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5"/>
      <c r="BP82" s="95"/>
      <c r="BQ82" s="95"/>
      <c r="BR82" s="95"/>
      <c r="BS82" s="95"/>
      <c r="BT82" s="95"/>
      <c r="BU82" s="95"/>
      <c r="BV82" s="95"/>
      <c r="BW82" s="95"/>
      <c r="BX82" s="95"/>
      <c r="BY82" s="95"/>
      <c r="BZ82" s="95"/>
      <c r="CA82" s="95"/>
      <c r="CB82" s="95"/>
      <c r="CC82" s="95"/>
      <c r="CD82" s="95"/>
      <c r="CE82" s="95"/>
      <c r="CF82" s="95"/>
      <c r="CG82" s="95"/>
      <c r="CH82" s="95"/>
      <c r="CI82" s="95"/>
      <c r="CJ82" s="95"/>
      <c r="CK82" s="95"/>
      <c r="CL82" s="95"/>
      <c r="CM82" s="95"/>
      <c r="CN82" s="95"/>
      <c r="CO82" s="95"/>
      <c r="CP82" s="95"/>
      <c r="CQ82" s="95"/>
      <c r="CR82" s="95"/>
      <c r="CS82" s="95"/>
      <c r="CT82" s="95"/>
      <c r="CU82" s="95"/>
      <c r="CV82" s="95"/>
      <c r="CW82" s="95"/>
      <c r="CX82" s="95"/>
      <c r="CY82" s="95"/>
      <c r="CZ82" s="95"/>
      <c r="DA82" s="95"/>
      <c r="DB82" s="95"/>
      <c r="DC82" s="95"/>
      <c r="DD82" s="95"/>
      <c r="DE82" s="95"/>
      <c r="DF82" s="95"/>
      <c r="DG82" s="95"/>
      <c r="DH82" s="95"/>
      <c r="DI82" s="95"/>
      <c r="DJ82" s="95"/>
      <c r="DK82" s="95"/>
      <c r="DL82" s="95"/>
      <c r="DM82" s="95"/>
      <c r="DN82" s="95"/>
      <c r="DO82" s="95"/>
      <c r="DP82" s="95"/>
      <c r="DQ82" s="95"/>
      <c r="DR82" s="95"/>
      <c r="DS82" s="95"/>
      <c r="DT82" s="95"/>
      <c r="DU82" s="95"/>
      <c r="DV82" s="95"/>
      <c r="DW82" s="95"/>
      <c r="DX82" s="95"/>
      <c r="DY82" s="95"/>
      <c r="DZ82" s="95"/>
      <c r="EA82" s="95"/>
      <c r="EB82" s="95"/>
      <c r="EC82" s="95"/>
      <c r="ED82" s="95"/>
      <c r="EE82" s="95"/>
      <c r="EF82" s="95"/>
      <c r="EG82" s="95"/>
      <c r="EH82" s="95"/>
      <c r="EI82" s="95"/>
      <c r="EJ82" s="95"/>
      <c r="EK82" s="95"/>
      <c r="EL82" s="95"/>
      <c r="EM82" s="95"/>
      <c r="EN82" s="95"/>
      <c r="EO82" s="95"/>
      <c r="EP82" s="95"/>
      <c r="EQ82" s="95"/>
      <c r="ER82" s="95"/>
      <c r="ES82" s="95"/>
      <c r="ET82" s="95"/>
      <c r="EU82" s="95"/>
      <c r="EV82" s="95"/>
      <c r="EW82" s="95"/>
      <c r="EX82" s="95"/>
      <c r="EY82" s="95"/>
      <c r="EZ82" s="95"/>
      <c r="FA82" s="95"/>
      <c r="FB82" s="95"/>
      <c r="FC82" s="95"/>
      <c r="FD82" s="95"/>
      <c r="FE82" s="95"/>
      <c r="FF82" s="95"/>
      <c r="FG82" s="95"/>
      <c r="FH82" s="95"/>
      <c r="FI82" s="95"/>
      <c r="FJ82" s="95"/>
      <c r="FK82" s="95"/>
      <c r="FL82" s="95"/>
      <c r="FM82" s="95"/>
      <c r="FN82" s="95"/>
      <c r="FO82" s="95"/>
      <c r="FP82" s="95"/>
      <c r="FQ82" s="95"/>
      <c r="FR82" s="95"/>
      <c r="FS82" s="95"/>
      <c r="FT82" s="95"/>
      <c r="FU82" s="95"/>
      <c r="FV82" s="95"/>
      <c r="FW82" s="95"/>
      <c r="FX82" s="95"/>
      <c r="FY82" s="95"/>
      <c r="FZ82" s="95"/>
      <c r="GA82" s="95"/>
      <c r="GB82" s="95"/>
      <c r="GC82" s="95"/>
      <c r="GD82" s="95"/>
      <c r="GE82" s="95"/>
      <c r="GF82" s="95"/>
      <c r="GG82" s="95"/>
      <c r="GH82" s="95"/>
      <c r="GI82" s="95"/>
      <c r="GJ82" s="95"/>
      <c r="GK82" s="95"/>
      <c r="GL82" s="95"/>
      <c r="GM82" s="95"/>
      <c r="GN82" s="95"/>
      <c r="GO82" s="95"/>
      <c r="GP82" s="95"/>
      <c r="GQ82" s="95"/>
      <c r="GR82" s="95"/>
      <c r="GS82" s="95"/>
      <c r="GT82" s="95"/>
      <c r="GU82" s="95"/>
      <c r="GV82" s="95"/>
      <c r="GW82" s="95"/>
      <c r="GX82" s="95"/>
      <c r="GY82" s="95"/>
      <c r="GZ82" s="95"/>
      <c r="HA82" s="95"/>
      <c r="HB82" s="95"/>
      <c r="HC82" s="95"/>
      <c r="HD82" s="95"/>
      <c r="HE82" s="95"/>
      <c r="HF82" s="95"/>
      <c r="HG82" s="95"/>
      <c r="HH82" s="95"/>
      <c r="HI82" s="95"/>
      <c r="HJ82" s="95"/>
      <c r="HK82" s="95"/>
      <c r="HL82" s="95"/>
      <c r="HM82" s="95"/>
      <c r="HN82" s="95"/>
      <c r="HO82" s="95"/>
      <c r="HP82" s="95"/>
      <c r="HQ82" s="95"/>
      <c r="HR82" s="95"/>
      <c r="HS82" s="95"/>
      <c r="HT82" s="95"/>
      <c r="HU82" s="95"/>
      <c r="HV82" s="95"/>
      <c r="HW82" s="95"/>
      <c r="HX82" s="95"/>
      <c r="HY82" s="95"/>
      <c r="HZ82" s="95"/>
      <c r="IA82" s="95"/>
      <c r="IB82" s="95"/>
      <c r="IC82" s="95"/>
      <c r="ID82" s="95"/>
      <c r="IE82" s="95"/>
      <c r="IF82" s="95"/>
      <c r="IG82" s="95"/>
      <c r="IH82" s="95"/>
      <c r="II82" s="95"/>
      <c r="IJ82" s="95"/>
      <c r="IK82" s="95"/>
      <c r="IL82" s="95"/>
      <c r="IM82" s="95"/>
      <c r="IN82" s="95"/>
      <c r="IO82" s="95"/>
      <c r="IP82" s="95"/>
      <c r="IQ82" s="95"/>
      <c r="IR82" s="95"/>
      <c r="IS82" s="95"/>
      <c r="IT82" s="95"/>
      <c r="IU82" s="95"/>
      <c r="IV82" s="95"/>
      <c r="IW82" s="95"/>
      <c r="IX82" s="95"/>
      <c r="IY82" s="95"/>
      <c r="IZ82" s="95"/>
      <c r="JA82" s="95"/>
    </row>
    <row r="83" spans="3:261" ht="18.5" x14ac:dyDescent="0.45">
      <c r="C83" s="127" t="s">
        <v>114</v>
      </c>
      <c r="E83" s="114"/>
      <c r="G83" s="114"/>
      <c r="H83" s="137"/>
      <c r="I83" s="114"/>
      <c r="J83" s="114"/>
      <c r="S83" s="95"/>
      <c r="T83" s="95"/>
      <c r="U83" s="95"/>
      <c r="V83" s="95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5"/>
      <c r="BP83" s="95"/>
      <c r="BQ83" s="95"/>
      <c r="BR83" s="95"/>
      <c r="BS83" s="95"/>
      <c r="BT83" s="95"/>
      <c r="BU83" s="95"/>
      <c r="BV83" s="95"/>
      <c r="BW83" s="95"/>
      <c r="BX83" s="95"/>
      <c r="BY83" s="95"/>
      <c r="BZ83" s="95"/>
      <c r="CA83" s="95"/>
      <c r="CB83" s="95"/>
      <c r="CC83" s="95"/>
      <c r="CD83" s="95"/>
      <c r="CE83" s="95"/>
      <c r="CF83" s="95"/>
      <c r="CG83" s="95"/>
      <c r="CH83" s="95"/>
      <c r="CI83" s="95"/>
      <c r="CJ83" s="95"/>
      <c r="CK83" s="95"/>
      <c r="CL83" s="95"/>
      <c r="CM83" s="95"/>
      <c r="CN83" s="95"/>
      <c r="CO83" s="95"/>
      <c r="CP83" s="95"/>
      <c r="CQ83" s="95"/>
      <c r="CR83" s="95"/>
      <c r="CS83" s="95"/>
      <c r="CT83" s="95"/>
      <c r="CU83" s="95"/>
      <c r="CV83" s="95"/>
      <c r="CW83" s="95"/>
      <c r="CX83" s="95"/>
      <c r="CY83" s="95"/>
      <c r="CZ83" s="95"/>
      <c r="DA83" s="95"/>
      <c r="DB83" s="95"/>
      <c r="DC83" s="95"/>
      <c r="DD83" s="95"/>
      <c r="DE83" s="95"/>
      <c r="DF83" s="95"/>
      <c r="DG83" s="95"/>
      <c r="DH83" s="95"/>
      <c r="DI83" s="95"/>
      <c r="DJ83" s="95"/>
      <c r="DK83" s="95"/>
      <c r="DL83" s="95"/>
      <c r="DM83" s="95"/>
      <c r="DN83" s="95"/>
      <c r="DO83" s="95"/>
      <c r="DP83" s="95"/>
      <c r="DQ83" s="95"/>
      <c r="DR83" s="95"/>
      <c r="DS83" s="95"/>
      <c r="DT83" s="95"/>
      <c r="DU83" s="95"/>
      <c r="DV83" s="95"/>
      <c r="DW83" s="95"/>
      <c r="DX83" s="95"/>
      <c r="DY83" s="95"/>
      <c r="DZ83" s="95"/>
      <c r="EA83" s="95"/>
      <c r="EB83" s="95"/>
      <c r="EC83" s="95"/>
      <c r="ED83" s="95"/>
      <c r="EE83" s="95"/>
      <c r="EF83" s="95"/>
      <c r="EG83" s="95"/>
      <c r="EH83" s="95"/>
      <c r="EI83" s="95"/>
      <c r="EJ83" s="95"/>
      <c r="EK83" s="95"/>
      <c r="EL83" s="95"/>
      <c r="EM83" s="95"/>
      <c r="EN83" s="95"/>
      <c r="EO83" s="95"/>
      <c r="EP83" s="95"/>
      <c r="EQ83" s="95"/>
      <c r="ER83" s="95"/>
      <c r="ES83" s="95"/>
      <c r="ET83" s="95"/>
      <c r="EU83" s="95"/>
      <c r="EV83" s="95"/>
      <c r="EW83" s="95"/>
      <c r="EX83" s="95"/>
      <c r="EY83" s="95"/>
      <c r="EZ83" s="95"/>
      <c r="FA83" s="95"/>
      <c r="FB83" s="95"/>
      <c r="FC83" s="95"/>
      <c r="FD83" s="95"/>
      <c r="FE83" s="95"/>
      <c r="FF83" s="95"/>
      <c r="FG83" s="95"/>
      <c r="FH83" s="95"/>
      <c r="FI83" s="95"/>
      <c r="FJ83" s="95"/>
      <c r="FK83" s="95"/>
      <c r="FL83" s="95"/>
      <c r="FM83" s="95"/>
      <c r="FN83" s="95"/>
      <c r="FO83" s="95"/>
      <c r="FP83" s="95"/>
      <c r="FQ83" s="95"/>
      <c r="FR83" s="95"/>
      <c r="FS83" s="95"/>
      <c r="FT83" s="95"/>
      <c r="FU83" s="95"/>
      <c r="FV83" s="95"/>
      <c r="FW83" s="95"/>
      <c r="FX83" s="95"/>
      <c r="FY83" s="95"/>
      <c r="FZ83" s="95"/>
      <c r="GA83" s="95"/>
      <c r="GB83" s="95"/>
      <c r="GC83" s="95"/>
      <c r="GD83" s="95"/>
      <c r="GE83" s="95"/>
      <c r="GF83" s="95"/>
      <c r="GG83" s="95"/>
      <c r="GH83" s="95"/>
      <c r="GI83" s="95"/>
      <c r="GJ83" s="95"/>
      <c r="GK83" s="95"/>
      <c r="GL83" s="95"/>
      <c r="GM83" s="95"/>
      <c r="GN83" s="95"/>
      <c r="GO83" s="95"/>
      <c r="GP83" s="95"/>
      <c r="GQ83" s="95"/>
      <c r="GR83" s="95"/>
      <c r="GS83" s="95"/>
      <c r="GT83" s="95"/>
      <c r="GU83" s="95"/>
      <c r="GV83" s="95"/>
      <c r="GW83" s="95"/>
      <c r="GX83" s="95"/>
      <c r="GY83" s="95"/>
      <c r="GZ83" s="95"/>
      <c r="HA83" s="95"/>
      <c r="HB83" s="95"/>
      <c r="HC83" s="95"/>
      <c r="HD83" s="95"/>
      <c r="HE83" s="95"/>
      <c r="HF83" s="95"/>
      <c r="HG83" s="95"/>
      <c r="HH83" s="95"/>
      <c r="HI83" s="95"/>
      <c r="HJ83" s="95"/>
      <c r="HK83" s="95"/>
      <c r="HL83" s="95"/>
      <c r="HM83" s="95"/>
      <c r="HN83" s="95"/>
      <c r="HO83" s="95"/>
      <c r="HP83" s="95"/>
      <c r="HQ83" s="95"/>
      <c r="HR83" s="95"/>
      <c r="HS83" s="95"/>
      <c r="HT83" s="95"/>
      <c r="HU83" s="95"/>
      <c r="HV83" s="95"/>
      <c r="HW83" s="95"/>
      <c r="HX83" s="95"/>
      <c r="HY83" s="95"/>
      <c r="HZ83" s="95"/>
      <c r="IA83" s="95"/>
      <c r="IB83" s="95"/>
      <c r="IC83" s="95"/>
      <c r="ID83" s="95"/>
      <c r="IE83" s="95"/>
      <c r="IF83" s="95"/>
      <c r="IG83" s="95"/>
      <c r="IH83" s="95"/>
      <c r="II83" s="95"/>
      <c r="IJ83" s="95"/>
      <c r="IK83" s="95"/>
      <c r="IL83" s="95"/>
      <c r="IM83" s="95"/>
      <c r="IN83" s="95"/>
      <c r="IO83" s="95"/>
      <c r="IP83" s="95"/>
      <c r="IQ83" s="95"/>
      <c r="IR83" s="95"/>
      <c r="IS83" s="95"/>
      <c r="IT83" s="95"/>
      <c r="IU83" s="95"/>
      <c r="IV83" s="95"/>
      <c r="IW83" s="95"/>
      <c r="IX83" s="95"/>
      <c r="IY83" s="95"/>
      <c r="IZ83" s="95"/>
      <c r="JA83" s="95"/>
    </row>
    <row r="84" spans="3:261" ht="18.5" x14ac:dyDescent="0.45">
      <c r="C84" s="127" t="s">
        <v>115</v>
      </c>
      <c r="E84" s="114"/>
      <c r="G84" s="114"/>
      <c r="H84" s="138"/>
      <c r="I84" s="114"/>
      <c r="J84" s="114"/>
      <c r="S84" s="95"/>
      <c r="T84" s="95"/>
      <c r="U84" s="95"/>
      <c r="V84" s="95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  <c r="BN84" s="95"/>
      <c r="BO84" s="95"/>
      <c r="BP84" s="95"/>
      <c r="BQ84" s="95"/>
      <c r="BR84" s="95"/>
      <c r="BS84" s="95"/>
      <c r="BT84" s="95"/>
      <c r="BU84" s="95"/>
      <c r="BV84" s="95"/>
      <c r="BW84" s="95"/>
      <c r="BX84" s="95"/>
      <c r="BY84" s="95"/>
      <c r="BZ84" s="95"/>
      <c r="CA84" s="95"/>
      <c r="CB84" s="95"/>
      <c r="CC84" s="95"/>
      <c r="CD84" s="95"/>
      <c r="CE84" s="95"/>
      <c r="CF84" s="95"/>
      <c r="CG84" s="95"/>
      <c r="CH84" s="95"/>
      <c r="CI84" s="95"/>
      <c r="CJ84" s="95"/>
      <c r="CK84" s="95"/>
      <c r="CL84" s="95"/>
      <c r="CM84" s="95"/>
      <c r="CN84" s="95"/>
      <c r="CO84" s="95"/>
      <c r="CP84" s="95"/>
      <c r="CQ84" s="95"/>
      <c r="CR84" s="95"/>
      <c r="CS84" s="95"/>
      <c r="CT84" s="95"/>
      <c r="CU84" s="95"/>
      <c r="CV84" s="95"/>
      <c r="CW84" s="95"/>
      <c r="CX84" s="95"/>
      <c r="CY84" s="95"/>
      <c r="CZ84" s="95"/>
      <c r="DA84" s="95"/>
      <c r="DB84" s="95"/>
      <c r="DC84" s="95"/>
      <c r="DD84" s="95"/>
      <c r="DE84" s="95"/>
      <c r="DF84" s="95"/>
      <c r="DG84" s="95"/>
      <c r="DH84" s="95"/>
      <c r="DI84" s="95"/>
      <c r="DJ84" s="95"/>
      <c r="DK84" s="95"/>
      <c r="DL84" s="95"/>
      <c r="DM84" s="95"/>
      <c r="DN84" s="95"/>
      <c r="DO84" s="95"/>
      <c r="DP84" s="95"/>
      <c r="DQ84" s="95"/>
      <c r="DR84" s="95"/>
      <c r="DS84" s="95"/>
      <c r="DT84" s="95"/>
      <c r="DU84" s="95"/>
      <c r="DV84" s="95"/>
      <c r="DW84" s="95"/>
      <c r="DX84" s="95"/>
      <c r="DY84" s="95"/>
      <c r="DZ84" s="95"/>
      <c r="EA84" s="95"/>
      <c r="EB84" s="95"/>
      <c r="EC84" s="95"/>
      <c r="ED84" s="95"/>
      <c r="EE84" s="95"/>
      <c r="EF84" s="95"/>
      <c r="EG84" s="95"/>
      <c r="EH84" s="95"/>
      <c r="EI84" s="95"/>
      <c r="EJ84" s="95"/>
      <c r="EK84" s="95"/>
      <c r="EL84" s="95"/>
      <c r="EM84" s="95"/>
      <c r="EN84" s="95"/>
      <c r="EO84" s="95"/>
      <c r="EP84" s="95"/>
      <c r="EQ84" s="95"/>
      <c r="ER84" s="95"/>
      <c r="ES84" s="95"/>
      <c r="ET84" s="95"/>
      <c r="EU84" s="95"/>
      <c r="EV84" s="95"/>
      <c r="EW84" s="95"/>
      <c r="EX84" s="95"/>
      <c r="EY84" s="95"/>
      <c r="EZ84" s="95"/>
      <c r="FA84" s="95"/>
      <c r="FB84" s="95"/>
      <c r="FC84" s="95"/>
      <c r="FD84" s="95"/>
      <c r="FE84" s="95"/>
      <c r="FF84" s="95"/>
      <c r="FG84" s="95"/>
      <c r="FH84" s="95"/>
      <c r="FI84" s="95"/>
      <c r="FJ84" s="95"/>
      <c r="FK84" s="95"/>
      <c r="FL84" s="95"/>
      <c r="FM84" s="95"/>
      <c r="FN84" s="95"/>
      <c r="FO84" s="95"/>
      <c r="FP84" s="95"/>
      <c r="FQ84" s="95"/>
      <c r="FR84" s="95"/>
      <c r="FS84" s="95"/>
      <c r="FT84" s="95"/>
      <c r="FU84" s="95"/>
      <c r="FV84" s="95"/>
      <c r="FW84" s="95"/>
      <c r="FX84" s="95"/>
      <c r="FY84" s="95"/>
      <c r="FZ84" s="95"/>
      <c r="GA84" s="95"/>
      <c r="GB84" s="95"/>
      <c r="GC84" s="95"/>
      <c r="GD84" s="95"/>
      <c r="GE84" s="95"/>
      <c r="GF84" s="95"/>
      <c r="GG84" s="95"/>
      <c r="GH84" s="95"/>
      <c r="GI84" s="95"/>
      <c r="GJ84" s="95"/>
      <c r="GK84" s="95"/>
      <c r="GL84" s="95"/>
      <c r="GM84" s="95"/>
      <c r="GN84" s="95"/>
      <c r="GO84" s="95"/>
      <c r="GP84" s="95"/>
      <c r="GQ84" s="95"/>
      <c r="GR84" s="95"/>
      <c r="GS84" s="95"/>
      <c r="GT84" s="95"/>
      <c r="GU84" s="95"/>
      <c r="GV84" s="95"/>
      <c r="GW84" s="95"/>
      <c r="GX84" s="95"/>
      <c r="GY84" s="95"/>
      <c r="GZ84" s="95"/>
      <c r="HA84" s="95"/>
      <c r="HB84" s="95"/>
      <c r="HC84" s="95"/>
      <c r="HD84" s="95"/>
      <c r="HE84" s="95"/>
      <c r="HF84" s="95"/>
      <c r="HG84" s="95"/>
      <c r="HH84" s="95"/>
      <c r="HI84" s="95"/>
      <c r="HJ84" s="95"/>
      <c r="HK84" s="95"/>
      <c r="HL84" s="95"/>
      <c r="HM84" s="95"/>
      <c r="HN84" s="95"/>
      <c r="HO84" s="95"/>
      <c r="HP84" s="95"/>
      <c r="HQ84" s="95"/>
      <c r="HR84" s="95"/>
      <c r="HS84" s="95"/>
      <c r="HT84" s="95"/>
      <c r="HU84" s="95"/>
      <c r="HV84" s="95"/>
      <c r="HW84" s="95"/>
      <c r="HX84" s="95"/>
      <c r="HY84" s="95"/>
      <c r="HZ84" s="95"/>
      <c r="IA84" s="95"/>
      <c r="IB84" s="95"/>
      <c r="IC84" s="95"/>
      <c r="ID84" s="95"/>
      <c r="IE84" s="95"/>
      <c r="IF84" s="95"/>
      <c r="IG84" s="95"/>
      <c r="IH84" s="95"/>
      <c r="II84" s="95"/>
      <c r="IJ84" s="95"/>
      <c r="IK84" s="95"/>
      <c r="IL84" s="95"/>
      <c r="IM84" s="95"/>
      <c r="IN84" s="95"/>
      <c r="IO84" s="95"/>
      <c r="IP84" s="95"/>
      <c r="IQ84" s="95"/>
      <c r="IR84" s="95"/>
      <c r="IS84" s="95"/>
      <c r="IT84" s="95"/>
      <c r="IU84" s="95"/>
      <c r="IV84" s="95"/>
      <c r="IW84" s="95"/>
      <c r="IX84" s="95"/>
      <c r="IY84" s="95"/>
      <c r="IZ84" s="95"/>
      <c r="JA84" s="95"/>
    </row>
    <row r="85" spans="3:261" ht="18.5" x14ac:dyDescent="0.45">
      <c r="C85" s="127"/>
      <c r="E85" s="114"/>
      <c r="G85" s="114"/>
      <c r="H85" s="114"/>
      <c r="I85" s="114"/>
      <c r="J85" s="114"/>
      <c r="S85" s="95"/>
      <c r="T85" s="95"/>
      <c r="U85" s="95"/>
      <c r="V85" s="136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5"/>
      <c r="BP85" s="95"/>
      <c r="BQ85" s="95"/>
      <c r="BR85" s="95"/>
      <c r="BS85" s="95"/>
      <c r="BT85" s="95"/>
      <c r="BU85" s="95"/>
      <c r="BV85" s="95"/>
      <c r="BW85" s="95"/>
      <c r="BX85" s="95"/>
      <c r="BY85" s="95"/>
      <c r="BZ85" s="95"/>
      <c r="CA85" s="95"/>
      <c r="CB85" s="95"/>
      <c r="CC85" s="95"/>
      <c r="CD85" s="95"/>
      <c r="CE85" s="95"/>
      <c r="CF85" s="95"/>
      <c r="CG85" s="95"/>
      <c r="CH85" s="95"/>
      <c r="CI85" s="95"/>
      <c r="CJ85" s="95"/>
      <c r="CK85" s="95"/>
      <c r="CL85" s="95"/>
      <c r="CM85" s="95"/>
      <c r="CN85" s="95"/>
      <c r="CO85" s="95"/>
      <c r="CP85" s="95"/>
      <c r="CQ85" s="95"/>
      <c r="CR85" s="95"/>
      <c r="CS85" s="95"/>
      <c r="CT85" s="95"/>
      <c r="CU85" s="95"/>
      <c r="CV85" s="95"/>
      <c r="CW85" s="95"/>
      <c r="CX85" s="95"/>
      <c r="CY85" s="95"/>
      <c r="CZ85" s="95"/>
      <c r="DA85" s="95"/>
      <c r="DB85" s="95"/>
      <c r="DC85" s="95"/>
      <c r="DD85" s="95"/>
      <c r="DE85" s="95"/>
      <c r="DF85" s="95"/>
      <c r="DG85" s="95"/>
      <c r="DH85" s="95"/>
      <c r="DI85" s="95"/>
      <c r="DJ85" s="95"/>
      <c r="DK85" s="95"/>
      <c r="DL85" s="95"/>
      <c r="DM85" s="95"/>
      <c r="DN85" s="95"/>
      <c r="DO85" s="95"/>
      <c r="DP85" s="95"/>
      <c r="DQ85" s="95"/>
      <c r="DR85" s="95"/>
      <c r="DS85" s="95"/>
      <c r="DT85" s="95"/>
      <c r="DU85" s="95"/>
      <c r="DV85" s="95"/>
      <c r="DW85" s="95"/>
      <c r="DX85" s="95"/>
      <c r="DY85" s="95"/>
      <c r="DZ85" s="95"/>
      <c r="EA85" s="95"/>
      <c r="EB85" s="95"/>
      <c r="EC85" s="95"/>
      <c r="ED85" s="95"/>
      <c r="EE85" s="95"/>
      <c r="EF85" s="95"/>
      <c r="EG85" s="95"/>
      <c r="EH85" s="95"/>
      <c r="EI85" s="95"/>
      <c r="EJ85" s="95"/>
      <c r="EK85" s="95"/>
      <c r="EL85" s="95"/>
      <c r="EM85" s="95"/>
      <c r="EN85" s="95"/>
      <c r="EO85" s="95"/>
      <c r="EP85" s="95"/>
      <c r="EQ85" s="95"/>
      <c r="ER85" s="95"/>
      <c r="ES85" s="95"/>
      <c r="ET85" s="95"/>
      <c r="EU85" s="95"/>
      <c r="EV85" s="95"/>
      <c r="EW85" s="95"/>
      <c r="EX85" s="95"/>
      <c r="EY85" s="95"/>
      <c r="EZ85" s="95"/>
      <c r="FA85" s="95"/>
      <c r="FB85" s="95"/>
      <c r="FC85" s="95"/>
      <c r="FD85" s="95"/>
      <c r="FE85" s="95"/>
      <c r="FF85" s="95"/>
      <c r="FG85" s="95"/>
      <c r="FH85" s="95"/>
      <c r="FI85" s="95"/>
      <c r="FJ85" s="95"/>
      <c r="FK85" s="95"/>
      <c r="FL85" s="95"/>
      <c r="FM85" s="95"/>
      <c r="FN85" s="95"/>
      <c r="FO85" s="95"/>
      <c r="FP85" s="95"/>
      <c r="FQ85" s="95"/>
      <c r="FR85" s="95"/>
      <c r="FS85" s="95"/>
      <c r="FT85" s="95"/>
      <c r="FU85" s="95"/>
      <c r="FV85" s="95"/>
      <c r="FW85" s="95"/>
      <c r="FX85" s="95"/>
      <c r="FY85" s="95"/>
      <c r="FZ85" s="95"/>
      <c r="GA85" s="95"/>
      <c r="GB85" s="95"/>
      <c r="GC85" s="95"/>
      <c r="GD85" s="95"/>
      <c r="GE85" s="95"/>
      <c r="GF85" s="95"/>
      <c r="GG85" s="95"/>
      <c r="GH85" s="95"/>
      <c r="GI85" s="95"/>
      <c r="GJ85" s="95"/>
      <c r="GK85" s="95"/>
      <c r="GL85" s="95"/>
      <c r="GM85" s="95"/>
      <c r="GN85" s="95"/>
      <c r="GO85" s="95"/>
      <c r="GP85" s="95"/>
      <c r="GQ85" s="95"/>
      <c r="GR85" s="95"/>
      <c r="GS85" s="95"/>
      <c r="GT85" s="95"/>
      <c r="GU85" s="95"/>
      <c r="GV85" s="95"/>
      <c r="GW85" s="95"/>
      <c r="GX85" s="95"/>
      <c r="GY85" s="95"/>
      <c r="GZ85" s="95"/>
      <c r="HA85" s="95"/>
      <c r="HB85" s="95"/>
      <c r="HC85" s="95"/>
      <c r="HD85" s="95"/>
      <c r="HE85" s="95"/>
      <c r="HF85" s="95"/>
      <c r="HG85" s="95"/>
      <c r="HH85" s="95"/>
      <c r="HI85" s="95"/>
      <c r="HJ85" s="95"/>
      <c r="HK85" s="95"/>
      <c r="HL85" s="95"/>
      <c r="HM85" s="95"/>
      <c r="HN85" s="95"/>
      <c r="HO85" s="95"/>
      <c r="HP85" s="95"/>
      <c r="HQ85" s="95"/>
      <c r="HR85" s="95"/>
      <c r="HS85" s="95"/>
      <c r="HT85" s="95"/>
      <c r="HU85" s="95"/>
      <c r="HV85" s="95"/>
      <c r="HW85" s="95"/>
      <c r="HX85" s="95"/>
      <c r="HY85" s="95"/>
      <c r="HZ85" s="95"/>
      <c r="IA85" s="95"/>
      <c r="IB85" s="95"/>
      <c r="IC85" s="95"/>
      <c r="ID85" s="95"/>
      <c r="IE85" s="95"/>
      <c r="IF85" s="95"/>
      <c r="IG85" s="95"/>
      <c r="IH85" s="95"/>
      <c r="II85" s="95"/>
      <c r="IJ85" s="95"/>
      <c r="IK85" s="95"/>
      <c r="IL85" s="95"/>
      <c r="IM85" s="95"/>
      <c r="IN85" s="95"/>
      <c r="IO85" s="95"/>
      <c r="IP85" s="95"/>
      <c r="IQ85" s="95"/>
      <c r="IR85" s="95"/>
      <c r="IS85" s="95"/>
      <c r="IT85" s="95"/>
      <c r="IU85" s="95"/>
      <c r="IV85" s="95"/>
      <c r="IW85" s="95"/>
      <c r="IX85" s="95"/>
      <c r="IY85" s="95"/>
      <c r="IZ85" s="95"/>
      <c r="JA85" s="95"/>
    </row>
    <row r="86" spans="3:261" ht="18.5" x14ac:dyDescent="0.45">
      <c r="C86" s="127" t="s">
        <v>116</v>
      </c>
      <c r="E86" s="137">
        <v>0</v>
      </c>
      <c r="G86" s="114" t="s">
        <v>117</v>
      </c>
      <c r="H86" s="124">
        <v>0.19999999999999998</v>
      </c>
      <c r="I86" s="124">
        <v>0.19999999999999998</v>
      </c>
      <c r="J86" s="124">
        <v>0.19999999999999998</v>
      </c>
      <c r="K86" s="126"/>
      <c r="S86" s="95"/>
      <c r="T86" s="95"/>
      <c r="U86" s="95"/>
      <c r="V86" s="128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  <c r="BM86" s="95"/>
      <c r="BN86" s="95"/>
      <c r="BO86" s="95"/>
      <c r="BP86" s="95"/>
      <c r="BQ86" s="95"/>
      <c r="BR86" s="95"/>
      <c r="BS86" s="95"/>
      <c r="BT86" s="95"/>
      <c r="BU86" s="95"/>
      <c r="BV86" s="95"/>
      <c r="BW86" s="95"/>
      <c r="BX86" s="95"/>
      <c r="BY86" s="95"/>
      <c r="BZ86" s="95"/>
      <c r="CA86" s="95"/>
      <c r="CB86" s="95"/>
      <c r="CC86" s="95"/>
      <c r="CD86" s="95"/>
      <c r="CE86" s="95"/>
      <c r="CF86" s="95"/>
      <c r="CG86" s="95"/>
      <c r="CH86" s="95"/>
      <c r="CI86" s="95"/>
      <c r="CJ86" s="95"/>
      <c r="CK86" s="95"/>
      <c r="CL86" s="95"/>
      <c r="CM86" s="95"/>
      <c r="CN86" s="95"/>
      <c r="CO86" s="95"/>
      <c r="CP86" s="95"/>
      <c r="CQ86" s="95"/>
      <c r="CR86" s="95"/>
      <c r="CS86" s="95"/>
      <c r="CT86" s="95"/>
      <c r="CU86" s="95"/>
      <c r="CV86" s="95"/>
      <c r="CW86" s="95"/>
      <c r="CX86" s="95"/>
      <c r="CY86" s="95"/>
      <c r="CZ86" s="95"/>
      <c r="DA86" s="95"/>
      <c r="DB86" s="95"/>
      <c r="DC86" s="95"/>
      <c r="DD86" s="95"/>
      <c r="DE86" s="95"/>
      <c r="DF86" s="95"/>
      <c r="DG86" s="95"/>
      <c r="DH86" s="95"/>
      <c r="DI86" s="95"/>
      <c r="DJ86" s="95"/>
      <c r="DK86" s="95"/>
      <c r="DL86" s="95"/>
      <c r="DM86" s="95"/>
      <c r="DN86" s="95"/>
      <c r="DO86" s="95"/>
      <c r="DP86" s="95"/>
      <c r="DQ86" s="95"/>
      <c r="DR86" s="95"/>
      <c r="DS86" s="95"/>
      <c r="DT86" s="95"/>
      <c r="DU86" s="95"/>
      <c r="DV86" s="95"/>
      <c r="DW86" s="95"/>
      <c r="DX86" s="95"/>
      <c r="DY86" s="95"/>
      <c r="DZ86" s="95"/>
      <c r="EA86" s="95"/>
      <c r="EB86" s="95"/>
      <c r="EC86" s="95"/>
      <c r="ED86" s="95"/>
      <c r="EE86" s="95"/>
      <c r="EF86" s="95"/>
      <c r="EG86" s="95"/>
      <c r="EH86" s="95"/>
      <c r="EI86" s="95"/>
      <c r="EJ86" s="95"/>
      <c r="EK86" s="95"/>
      <c r="EL86" s="95"/>
      <c r="EM86" s="95"/>
      <c r="EN86" s="95"/>
      <c r="EO86" s="95"/>
      <c r="EP86" s="95"/>
      <c r="EQ86" s="95"/>
      <c r="ER86" s="95"/>
      <c r="ES86" s="95"/>
      <c r="ET86" s="95"/>
      <c r="EU86" s="95"/>
      <c r="EV86" s="95"/>
      <c r="EW86" s="95"/>
      <c r="EX86" s="95"/>
      <c r="EY86" s="95"/>
      <c r="EZ86" s="95"/>
      <c r="FA86" s="95"/>
      <c r="FB86" s="95"/>
      <c r="FC86" s="95"/>
      <c r="FD86" s="95"/>
      <c r="FE86" s="95"/>
      <c r="FF86" s="95"/>
      <c r="FG86" s="95"/>
      <c r="FH86" s="95"/>
      <c r="FI86" s="95"/>
      <c r="FJ86" s="95"/>
      <c r="FK86" s="95"/>
      <c r="FL86" s="95"/>
      <c r="FM86" s="95"/>
      <c r="FN86" s="95"/>
      <c r="FO86" s="95"/>
      <c r="FP86" s="95"/>
      <c r="FQ86" s="95"/>
      <c r="FR86" s="95"/>
      <c r="FS86" s="95"/>
      <c r="FT86" s="95"/>
      <c r="FU86" s="95"/>
      <c r="FV86" s="95"/>
      <c r="FW86" s="95"/>
      <c r="FX86" s="95"/>
      <c r="FY86" s="95"/>
      <c r="FZ86" s="95"/>
      <c r="GA86" s="95"/>
      <c r="GB86" s="95"/>
      <c r="GC86" s="95"/>
      <c r="GD86" s="95"/>
      <c r="GE86" s="95"/>
      <c r="GF86" s="95"/>
      <c r="GG86" s="95"/>
      <c r="GH86" s="95"/>
      <c r="GI86" s="95"/>
      <c r="GJ86" s="95"/>
      <c r="GK86" s="95"/>
      <c r="GL86" s="95"/>
      <c r="GM86" s="95"/>
      <c r="GN86" s="95"/>
      <c r="GO86" s="95"/>
      <c r="GP86" s="95"/>
      <c r="GQ86" s="95"/>
      <c r="GR86" s="95"/>
      <c r="GS86" s="95"/>
      <c r="GT86" s="95"/>
      <c r="GU86" s="95"/>
      <c r="GV86" s="95"/>
      <c r="GW86" s="95"/>
      <c r="GX86" s="95"/>
      <c r="GY86" s="95"/>
      <c r="GZ86" s="95"/>
      <c r="HA86" s="95"/>
      <c r="HB86" s="95"/>
      <c r="HC86" s="95"/>
      <c r="HD86" s="95"/>
      <c r="HE86" s="95"/>
      <c r="HF86" s="95"/>
      <c r="HG86" s="95"/>
      <c r="HH86" s="95"/>
      <c r="HI86" s="95"/>
      <c r="HJ86" s="95"/>
      <c r="HK86" s="95"/>
      <c r="HL86" s="95"/>
      <c r="HM86" s="95"/>
      <c r="HN86" s="95"/>
      <c r="HO86" s="95"/>
      <c r="HP86" s="95"/>
      <c r="HQ86" s="95"/>
      <c r="HR86" s="95"/>
      <c r="HS86" s="95"/>
      <c r="HT86" s="95"/>
      <c r="HU86" s="95"/>
      <c r="HV86" s="95"/>
      <c r="HW86" s="95"/>
      <c r="HX86" s="95"/>
      <c r="HY86" s="95"/>
      <c r="HZ86" s="95"/>
      <c r="IA86" s="95"/>
      <c r="IB86" s="95"/>
      <c r="IC86" s="95"/>
      <c r="ID86" s="95"/>
      <c r="IE86" s="95"/>
      <c r="IF86" s="95"/>
      <c r="IG86" s="95"/>
      <c r="IH86" s="95"/>
      <c r="II86" s="95"/>
      <c r="IJ86" s="95"/>
      <c r="IK86" s="95"/>
      <c r="IL86" s="95"/>
      <c r="IM86" s="95"/>
      <c r="IN86" s="95"/>
      <c r="IO86" s="95"/>
      <c r="IP86" s="95"/>
      <c r="IQ86" s="95"/>
      <c r="IR86" s="95"/>
      <c r="IS86" s="95"/>
      <c r="IT86" s="95"/>
      <c r="IU86" s="95"/>
      <c r="IV86" s="95"/>
      <c r="IW86" s="95"/>
      <c r="IX86" s="95"/>
      <c r="IY86" s="95"/>
      <c r="IZ86" s="95"/>
      <c r="JA86" s="95"/>
    </row>
    <row r="87" spans="3:261" ht="18.5" x14ac:dyDescent="0.45">
      <c r="C87" s="155" t="s">
        <v>118</v>
      </c>
      <c r="E87" s="156">
        <f>SUMIFS($H87:$J87,H$63:J$63,$D$60)</f>
        <v>0</v>
      </c>
      <c r="G87" s="157" t="s">
        <v>119</v>
      </c>
      <c r="H87" s="158">
        <v>30</v>
      </c>
      <c r="I87" s="159">
        <f>H87+5</f>
        <v>35</v>
      </c>
      <c r="J87" s="160">
        <f>I87+5</f>
        <v>40</v>
      </c>
      <c r="S87" s="95"/>
      <c r="T87" s="95"/>
      <c r="U87" s="95"/>
      <c r="V87" s="139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95"/>
      <c r="BP87" s="95"/>
      <c r="BQ87" s="95"/>
      <c r="BR87" s="95"/>
      <c r="BS87" s="95"/>
      <c r="BT87" s="95"/>
      <c r="BU87" s="95"/>
      <c r="BV87" s="95"/>
      <c r="BW87" s="95"/>
      <c r="BX87" s="95"/>
      <c r="BY87" s="95"/>
      <c r="BZ87" s="95"/>
      <c r="CA87" s="95"/>
      <c r="CB87" s="95"/>
      <c r="CC87" s="95"/>
      <c r="CD87" s="95"/>
      <c r="CE87" s="95"/>
      <c r="CF87" s="95"/>
      <c r="CG87" s="95"/>
      <c r="CH87" s="95"/>
      <c r="CI87" s="95"/>
      <c r="CJ87" s="95"/>
      <c r="CK87" s="95"/>
      <c r="CL87" s="95"/>
      <c r="CM87" s="95"/>
      <c r="CN87" s="95"/>
      <c r="CO87" s="95"/>
      <c r="CP87" s="95"/>
      <c r="CQ87" s="95"/>
      <c r="CR87" s="95"/>
      <c r="CS87" s="95"/>
      <c r="CT87" s="95"/>
      <c r="CU87" s="95"/>
      <c r="CV87" s="95"/>
      <c r="CW87" s="95"/>
      <c r="CX87" s="95"/>
      <c r="CY87" s="95"/>
      <c r="CZ87" s="95"/>
      <c r="DA87" s="95"/>
      <c r="DB87" s="95"/>
      <c r="DC87" s="95"/>
      <c r="DD87" s="95"/>
      <c r="DE87" s="95"/>
      <c r="DF87" s="95"/>
      <c r="DG87" s="95"/>
      <c r="DH87" s="95"/>
      <c r="DI87" s="95"/>
      <c r="DJ87" s="95"/>
      <c r="DK87" s="95"/>
      <c r="DL87" s="95"/>
      <c r="DM87" s="95"/>
      <c r="DN87" s="95"/>
      <c r="DO87" s="95"/>
      <c r="DP87" s="95"/>
      <c r="DQ87" s="95"/>
      <c r="DR87" s="95"/>
      <c r="DS87" s="95"/>
      <c r="DT87" s="95"/>
      <c r="DU87" s="95"/>
      <c r="DV87" s="95"/>
      <c r="DW87" s="95"/>
      <c r="DX87" s="95"/>
      <c r="DY87" s="95"/>
      <c r="DZ87" s="95"/>
      <c r="EA87" s="95"/>
      <c r="EB87" s="95"/>
      <c r="EC87" s="95"/>
      <c r="ED87" s="95"/>
      <c r="EE87" s="95"/>
      <c r="EF87" s="95"/>
      <c r="EG87" s="95"/>
      <c r="EH87" s="95"/>
      <c r="EI87" s="95"/>
      <c r="EJ87" s="95"/>
      <c r="EK87" s="95"/>
      <c r="EL87" s="95"/>
      <c r="EM87" s="95"/>
      <c r="EN87" s="95"/>
      <c r="EO87" s="95"/>
      <c r="EP87" s="95"/>
      <c r="EQ87" s="95"/>
      <c r="ER87" s="95"/>
      <c r="ES87" s="95"/>
      <c r="ET87" s="95"/>
      <c r="EU87" s="95"/>
      <c r="EV87" s="95"/>
      <c r="EW87" s="95"/>
      <c r="EX87" s="95"/>
      <c r="EY87" s="95"/>
      <c r="EZ87" s="95"/>
      <c r="FA87" s="95"/>
      <c r="FB87" s="95"/>
      <c r="FC87" s="95"/>
      <c r="FD87" s="95"/>
      <c r="FE87" s="95"/>
      <c r="FF87" s="95"/>
      <c r="FG87" s="95"/>
      <c r="FH87" s="95"/>
      <c r="FI87" s="95"/>
      <c r="FJ87" s="95"/>
      <c r="FK87" s="95"/>
      <c r="FL87" s="95"/>
      <c r="FM87" s="95"/>
      <c r="FN87" s="95"/>
      <c r="FO87" s="95"/>
      <c r="FP87" s="95"/>
      <c r="FQ87" s="95"/>
      <c r="FR87" s="95"/>
      <c r="FS87" s="95"/>
      <c r="FT87" s="95"/>
      <c r="FU87" s="95"/>
      <c r="FV87" s="95"/>
      <c r="FW87" s="95"/>
      <c r="FX87" s="95"/>
      <c r="FY87" s="95"/>
      <c r="FZ87" s="95"/>
      <c r="GA87" s="95"/>
      <c r="GB87" s="95"/>
      <c r="GC87" s="95"/>
      <c r="GD87" s="95"/>
      <c r="GE87" s="95"/>
      <c r="GF87" s="95"/>
      <c r="GG87" s="95"/>
      <c r="GH87" s="95"/>
      <c r="GI87" s="95"/>
      <c r="GJ87" s="95"/>
      <c r="GK87" s="95"/>
      <c r="GL87" s="95"/>
      <c r="GM87" s="95"/>
      <c r="GN87" s="95"/>
      <c r="GO87" s="95"/>
      <c r="GP87" s="95"/>
      <c r="GQ87" s="95"/>
      <c r="GR87" s="95"/>
      <c r="GS87" s="95"/>
      <c r="GT87" s="95"/>
      <c r="GU87" s="95"/>
      <c r="GV87" s="95"/>
      <c r="GW87" s="95"/>
      <c r="GX87" s="95"/>
      <c r="GY87" s="95"/>
      <c r="GZ87" s="95"/>
      <c r="HA87" s="95"/>
      <c r="HB87" s="95"/>
      <c r="HC87" s="95"/>
      <c r="HD87" s="95"/>
      <c r="HE87" s="95"/>
      <c r="HF87" s="95"/>
      <c r="HG87" s="95"/>
      <c r="HH87" s="95"/>
      <c r="HI87" s="95"/>
      <c r="HJ87" s="95"/>
      <c r="HK87" s="95"/>
      <c r="HL87" s="95"/>
      <c r="HM87" s="95"/>
      <c r="HN87" s="95"/>
      <c r="HO87" s="95"/>
      <c r="HP87" s="95"/>
      <c r="HQ87" s="95"/>
      <c r="HR87" s="95"/>
      <c r="HS87" s="95"/>
      <c r="HT87" s="95"/>
      <c r="HU87" s="95"/>
      <c r="HV87" s="95"/>
      <c r="HW87" s="95"/>
      <c r="HX87" s="95"/>
      <c r="HY87" s="95"/>
      <c r="HZ87" s="95"/>
      <c r="IA87" s="95"/>
      <c r="IB87" s="95"/>
      <c r="IC87" s="95"/>
      <c r="ID87" s="95"/>
      <c r="IE87" s="95"/>
      <c r="IF87" s="95"/>
      <c r="IG87" s="95"/>
      <c r="IH87" s="95"/>
      <c r="II87" s="95"/>
      <c r="IJ87" s="95"/>
      <c r="IK87" s="95"/>
      <c r="IL87" s="95"/>
      <c r="IM87" s="95"/>
      <c r="IN87" s="95"/>
      <c r="IO87" s="95"/>
      <c r="IP87" s="95"/>
      <c r="IQ87" s="95"/>
      <c r="IR87" s="95"/>
      <c r="IS87" s="95"/>
      <c r="IT87" s="95"/>
      <c r="IU87" s="95"/>
      <c r="IV87" s="95"/>
      <c r="IW87" s="95"/>
      <c r="IX87" s="95"/>
      <c r="IY87" s="95"/>
      <c r="IZ87" s="95"/>
      <c r="JA87" s="95"/>
    </row>
    <row r="88" spans="3:261" ht="18.5" x14ac:dyDescent="0.45">
      <c r="C88" s="130" t="s">
        <v>120</v>
      </c>
      <c r="D88" s="131"/>
      <c r="E88" s="132">
        <f>(E86*E87)/'[1]Feedstock Inputs'!$H$184</f>
        <v>0</v>
      </c>
      <c r="F88" s="131"/>
      <c r="G88" s="133" t="s">
        <v>101</v>
      </c>
      <c r="H88" s="114"/>
      <c r="I88" s="114"/>
      <c r="J88" s="114"/>
      <c r="S88" s="95"/>
      <c r="T88" s="95"/>
      <c r="U88" s="95"/>
      <c r="V88" s="141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  <c r="AK88" s="142"/>
      <c r="AL88" s="142"/>
      <c r="AM88" s="142"/>
      <c r="AN88" s="142"/>
      <c r="AO88" s="142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5"/>
      <c r="BP88" s="95"/>
      <c r="BQ88" s="95"/>
      <c r="BR88" s="95"/>
      <c r="BS88" s="95"/>
      <c r="BT88" s="95"/>
      <c r="BU88" s="95"/>
      <c r="BV88" s="95"/>
      <c r="BW88" s="95"/>
      <c r="BX88" s="95"/>
      <c r="BY88" s="95"/>
      <c r="BZ88" s="95"/>
      <c r="CA88" s="95"/>
      <c r="CB88" s="95"/>
      <c r="CC88" s="95"/>
      <c r="CD88" s="95"/>
      <c r="CE88" s="95"/>
      <c r="CF88" s="95"/>
      <c r="CG88" s="95"/>
      <c r="CH88" s="95"/>
      <c r="CI88" s="95"/>
      <c r="CJ88" s="95"/>
      <c r="CK88" s="95"/>
      <c r="CL88" s="95"/>
      <c r="CM88" s="95"/>
      <c r="CN88" s="95"/>
      <c r="CO88" s="95"/>
      <c r="CP88" s="95"/>
      <c r="CQ88" s="95"/>
      <c r="CR88" s="95"/>
      <c r="CS88" s="95"/>
      <c r="CT88" s="95"/>
      <c r="CU88" s="95"/>
      <c r="CV88" s="95"/>
      <c r="CW88" s="95"/>
      <c r="CX88" s="95"/>
      <c r="CY88" s="95"/>
      <c r="CZ88" s="95"/>
      <c r="DA88" s="95"/>
      <c r="DB88" s="95"/>
      <c r="DC88" s="95"/>
      <c r="DD88" s="95"/>
      <c r="DE88" s="95"/>
      <c r="DF88" s="95"/>
      <c r="DG88" s="95"/>
      <c r="DH88" s="95"/>
      <c r="DI88" s="95"/>
      <c r="DJ88" s="95"/>
      <c r="DK88" s="95"/>
      <c r="DL88" s="95"/>
      <c r="DM88" s="95"/>
      <c r="DN88" s="95"/>
      <c r="DO88" s="95"/>
      <c r="DP88" s="95"/>
      <c r="DQ88" s="95"/>
      <c r="DR88" s="95"/>
      <c r="DS88" s="95"/>
      <c r="DT88" s="95"/>
      <c r="DU88" s="95"/>
      <c r="DV88" s="95"/>
      <c r="DW88" s="95"/>
      <c r="DX88" s="95"/>
      <c r="DY88" s="95"/>
      <c r="DZ88" s="95"/>
      <c r="EA88" s="95"/>
      <c r="EB88" s="95"/>
      <c r="EC88" s="95"/>
      <c r="ED88" s="95"/>
      <c r="EE88" s="95"/>
      <c r="EF88" s="95"/>
      <c r="EG88" s="95"/>
      <c r="EH88" s="95"/>
      <c r="EI88" s="95"/>
      <c r="EJ88" s="95"/>
      <c r="EK88" s="95"/>
      <c r="EL88" s="95"/>
      <c r="EM88" s="95"/>
      <c r="EN88" s="95"/>
      <c r="EO88" s="95"/>
      <c r="EP88" s="95"/>
      <c r="EQ88" s="95"/>
      <c r="ER88" s="95"/>
      <c r="ES88" s="95"/>
      <c r="ET88" s="95"/>
      <c r="EU88" s="95"/>
      <c r="EV88" s="95"/>
      <c r="EW88" s="95"/>
      <c r="EX88" s="95"/>
      <c r="EY88" s="95"/>
      <c r="EZ88" s="95"/>
      <c r="FA88" s="95"/>
      <c r="FB88" s="95"/>
      <c r="FC88" s="95"/>
      <c r="FD88" s="95"/>
      <c r="FE88" s="95"/>
      <c r="FF88" s="95"/>
      <c r="FG88" s="95"/>
      <c r="FH88" s="95"/>
      <c r="FI88" s="95"/>
      <c r="FJ88" s="95"/>
      <c r="FK88" s="95"/>
      <c r="FL88" s="95"/>
      <c r="FM88" s="95"/>
      <c r="FN88" s="95"/>
      <c r="FO88" s="95"/>
      <c r="FP88" s="95"/>
      <c r="FQ88" s="95"/>
      <c r="FR88" s="95"/>
      <c r="FS88" s="95"/>
      <c r="FT88" s="95"/>
      <c r="FU88" s="95"/>
      <c r="FV88" s="95"/>
      <c r="FW88" s="95"/>
      <c r="FX88" s="95"/>
      <c r="FY88" s="95"/>
      <c r="FZ88" s="95"/>
      <c r="GA88" s="95"/>
      <c r="GB88" s="95"/>
      <c r="GC88" s="95"/>
      <c r="GD88" s="95"/>
      <c r="GE88" s="95"/>
      <c r="GF88" s="95"/>
      <c r="GG88" s="95"/>
      <c r="GH88" s="95"/>
      <c r="GI88" s="95"/>
      <c r="GJ88" s="95"/>
      <c r="GK88" s="95"/>
      <c r="GL88" s="95"/>
      <c r="GM88" s="95"/>
      <c r="GN88" s="95"/>
      <c r="GO88" s="95"/>
      <c r="GP88" s="95"/>
      <c r="GQ88" s="95"/>
      <c r="GR88" s="95"/>
      <c r="GS88" s="95"/>
      <c r="GT88" s="95"/>
      <c r="GU88" s="95"/>
      <c r="GV88" s="95"/>
      <c r="GW88" s="95"/>
      <c r="GX88" s="95"/>
      <c r="GY88" s="95"/>
      <c r="GZ88" s="95"/>
      <c r="HA88" s="95"/>
      <c r="HB88" s="95"/>
      <c r="HC88" s="95"/>
      <c r="HD88" s="95"/>
      <c r="HE88" s="95"/>
      <c r="HF88" s="95"/>
      <c r="HG88" s="95"/>
      <c r="HH88" s="95"/>
      <c r="HI88" s="95"/>
      <c r="HJ88" s="95"/>
      <c r="HK88" s="95"/>
      <c r="HL88" s="95"/>
      <c r="HM88" s="95"/>
      <c r="HN88" s="95"/>
      <c r="HO88" s="95"/>
      <c r="HP88" s="95"/>
      <c r="HQ88" s="95"/>
      <c r="HR88" s="95"/>
      <c r="HS88" s="95"/>
      <c r="HT88" s="95"/>
      <c r="HU88" s="95"/>
      <c r="HV88" s="95"/>
      <c r="HW88" s="95"/>
      <c r="HX88" s="95"/>
      <c r="HY88" s="95"/>
      <c r="HZ88" s="95"/>
      <c r="IA88" s="95"/>
      <c r="IB88" s="95"/>
      <c r="IC88" s="95"/>
      <c r="ID88" s="95"/>
      <c r="IE88" s="95"/>
      <c r="IF88" s="95"/>
      <c r="IG88" s="95"/>
      <c r="IH88" s="95"/>
      <c r="II88" s="95"/>
      <c r="IJ88" s="95"/>
      <c r="IK88" s="95"/>
      <c r="IL88" s="95"/>
      <c r="IM88" s="95"/>
      <c r="IN88" s="95"/>
      <c r="IO88" s="95"/>
      <c r="IP88" s="95"/>
      <c r="IQ88" s="95"/>
      <c r="IR88" s="95"/>
      <c r="IS88" s="95"/>
      <c r="IT88" s="95"/>
      <c r="IU88" s="95"/>
      <c r="IV88" s="95"/>
      <c r="IW88" s="95"/>
      <c r="IX88" s="95"/>
      <c r="IY88" s="95"/>
      <c r="IZ88" s="95"/>
      <c r="JA88" s="95"/>
    </row>
    <row r="89" spans="3:261" ht="18.5" x14ac:dyDescent="0.45">
      <c r="C89" s="114"/>
      <c r="D89" s="161"/>
      <c r="E89" s="162"/>
      <c r="G89" s="161"/>
      <c r="H89" s="114"/>
      <c r="I89" s="114"/>
      <c r="J89" s="114"/>
      <c r="S89" s="95"/>
      <c r="T89" s="95"/>
      <c r="U89" s="95"/>
      <c r="V89" s="163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  <c r="AM89" s="142"/>
      <c r="AN89" s="142"/>
      <c r="AO89" s="142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5"/>
      <c r="BP89" s="95"/>
      <c r="BQ89" s="95"/>
      <c r="BR89" s="95"/>
      <c r="BS89" s="95"/>
      <c r="BT89" s="95"/>
      <c r="BU89" s="95"/>
      <c r="BV89" s="95"/>
      <c r="BW89" s="95"/>
      <c r="BX89" s="95"/>
      <c r="BY89" s="95"/>
      <c r="BZ89" s="95"/>
      <c r="CA89" s="95"/>
      <c r="CB89" s="95"/>
      <c r="CC89" s="95"/>
      <c r="CD89" s="95"/>
      <c r="CE89" s="95"/>
      <c r="CF89" s="95"/>
      <c r="CG89" s="95"/>
      <c r="CH89" s="95"/>
      <c r="CI89" s="95"/>
      <c r="CJ89" s="95"/>
      <c r="CK89" s="95"/>
      <c r="CL89" s="95"/>
      <c r="CM89" s="95"/>
      <c r="CN89" s="95"/>
      <c r="CO89" s="95"/>
      <c r="CP89" s="95"/>
      <c r="CQ89" s="95"/>
      <c r="CR89" s="95"/>
      <c r="CS89" s="95"/>
      <c r="CT89" s="95"/>
      <c r="CU89" s="95"/>
      <c r="CV89" s="95"/>
      <c r="CW89" s="95"/>
      <c r="CX89" s="95"/>
      <c r="CY89" s="95"/>
      <c r="CZ89" s="95"/>
      <c r="DA89" s="95"/>
      <c r="DB89" s="95"/>
      <c r="DC89" s="95"/>
      <c r="DD89" s="95"/>
      <c r="DE89" s="95"/>
      <c r="DF89" s="95"/>
      <c r="DG89" s="95"/>
      <c r="DH89" s="95"/>
      <c r="DI89" s="95"/>
      <c r="DJ89" s="95"/>
      <c r="DK89" s="95"/>
      <c r="DL89" s="95"/>
      <c r="DM89" s="95"/>
      <c r="DN89" s="95"/>
      <c r="DO89" s="95"/>
      <c r="DP89" s="95"/>
      <c r="DQ89" s="95"/>
      <c r="DR89" s="95"/>
      <c r="DS89" s="95"/>
      <c r="DT89" s="95"/>
      <c r="DU89" s="95"/>
      <c r="DV89" s="95"/>
      <c r="DW89" s="95"/>
      <c r="DX89" s="95"/>
      <c r="DY89" s="95"/>
      <c r="DZ89" s="95"/>
      <c r="EA89" s="95"/>
      <c r="EB89" s="95"/>
      <c r="EC89" s="95"/>
      <c r="ED89" s="95"/>
      <c r="EE89" s="95"/>
      <c r="EF89" s="95"/>
      <c r="EG89" s="95"/>
      <c r="EH89" s="95"/>
      <c r="EI89" s="95"/>
      <c r="EJ89" s="95"/>
      <c r="EK89" s="95"/>
      <c r="EL89" s="95"/>
      <c r="EM89" s="95"/>
      <c r="EN89" s="95"/>
      <c r="EO89" s="95"/>
      <c r="EP89" s="95"/>
      <c r="EQ89" s="95"/>
      <c r="ER89" s="95"/>
      <c r="ES89" s="95"/>
      <c r="ET89" s="95"/>
      <c r="EU89" s="95"/>
      <c r="EV89" s="95"/>
      <c r="EW89" s="95"/>
      <c r="EX89" s="95"/>
      <c r="EY89" s="95"/>
      <c r="EZ89" s="95"/>
      <c r="FA89" s="95"/>
      <c r="FB89" s="95"/>
      <c r="FC89" s="95"/>
      <c r="FD89" s="95"/>
      <c r="FE89" s="95"/>
      <c r="FF89" s="95"/>
      <c r="FG89" s="95"/>
      <c r="FH89" s="95"/>
      <c r="FI89" s="95"/>
      <c r="FJ89" s="95"/>
      <c r="FK89" s="95"/>
      <c r="FL89" s="95"/>
      <c r="FM89" s="95"/>
      <c r="FN89" s="95"/>
      <c r="FO89" s="95"/>
      <c r="FP89" s="95"/>
      <c r="FQ89" s="95"/>
      <c r="FR89" s="95"/>
      <c r="FS89" s="95"/>
      <c r="FT89" s="95"/>
      <c r="FU89" s="95"/>
      <c r="FV89" s="95"/>
      <c r="FW89" s="95"/>
      <c r="FX89" s="95"/>
      <c r="FY89" s="95"/>
      <c r="FZ89" s="95"/>
      <c r="GA89" s="95"/>
      <c r="GB89" s="95"/>
      <c r="GC89" s="95"/>
      <c r="GD89" s="95"/>
      <c r="GE89" s="95"/>
      <c r="GF89" s="95"/>
      <c r="GG89" s="95"/>
      <c r="GH89" s="95"/>
      <c r="GI89" s="95"/>
      <c r="GJ89" s="95"/>
      <c r="GK89" s="95"/>
      <c r="GL89" s="95"/>
      <c r="GM89" s="95"/>
      <c r="GN89" s="95"/>
      <c r="GO89" s="95"/>
      <c r="GP89" s="95"/>
      <c r="GQ89" s="95"/>
      <c r="GR89" s="95"/>
      <c r="GS89" s="95"/>
      <c r="GT89" s="95"/>
      <c r="GU89" s="95"/>
      <c r="GV89" s="95"/>
      <c r="GW89" s="95"/>
      <c r="GX89" s="95"/>
      <c r="GY89" s="95"/>
      <c r="GZ89" s="95"/>
      <c r="HA89" s="95"/>
      <c r="HB89" s="95"/>
      <c r="HC89" s="95"/>
      <c r="HD89" s="95"/>
      <c r="HE89" s="95"/>
      <c r="HF89" s="95"/>
      <c r="HG89" s="95"/>
      <c r="HH89" s="95"/>
      <c r="HI89" s="95"/>
      <c r="HJ89" s="95"/>
      <c r="HK89" s="95"/>
      <c r="HL89" s="95"/>
      <c r="HM89" s="95"/>
      <c r="HN89" s="95"/>
      <c r="HO89" s="95"/>
      <c r="HP89" s="95"/>
      <c r="HQ89" s="95"/>
      <c r="HR89" s="95"/>
      <c r="HS89" s="95"/>
      <c r="HT89" s="95"/>
      <c r="HU89" s="95"/>
      <c r="HV89" s="95"/>
      <c r="HW89" s="95"/>
      <c r="HX89" s="95"/>
      <c r="HY89" s="95"/>
      <c r="HZ89" s="95"/>
      <c r="IA89" s="95"/>
      <c r="IB89" s="95"/>
      <c r="IC89" s="95"/>
      <c r="ID89" s="95"/>
      <c r="IE89" s="95"/>
      <c r="IF89" s="95"/>
      <c r="IG89" s="95"/>
      <c r="IH89" s="95"/>
      <c r="II89" s="95"/>
      <c r="IJ89" s="95"/>
      <c r="IK89" s="95"/>
      <c r="IL89" s="95"/>
      <c r="IM89" s="95"/>
      <c r="IN89" s="95"/>
      <c r="IO89" s="95"/>
      <c r="IP89" s="95"/>
      <c r="IQ89" s="95"/>
      <c r="IR89" s="95"/>
      <c r="IS89" s="95"/>
      <c r="IT89" s="95"/>
      <c r="IU89" s="95"/>
      <c r="IV89" s="95"/>
      <c r="IW89" s="95"/>
      <c r="IX89" s="95"/>
      <c r="IY89" s="95"/>
      <c r="IZ89" s="95"/>
      <c r="JA89" s="95"/>
    </row>
    <row r="90" spans="3:261" ht="18.5" x14ac:dyDescent="0.45">
      <c r="C90" s="114"/>
      <c r="D90" s="161"/>
      <c r="E90" s="162"/>
      <c r="G90" s="161"/>
      <c r="H90" s="114"/>
      <c r="I90" s="114"/>
      <c r="J90" s="114"/>
      <c r="S90" s="147"/>
      <c r="T90" s="147"/>
      <c r="U90" s="9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3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5"/>
      <c r="BP90" s="95"/>
      <c r="BQ90" s="95"/>
      <c r="BR90" s="95"/>
      <c r="BS90" s="95"/>
      <c r="BT90" s="95"/>
      <c r="BU90" s="95"/>
      <c r="BV90" s="95"/>
      <c r="BW90" s="95"/>
      <c r="BX90" s="95"/>
      <c r="BY90" s="95"/>
      <c r="BZ90" s="95"/>
      <c r="CA90" s="95"/>
      <c r="CB90" s="95"/>
      <c r="CC90" s="95"/>
      <c r="CD90" s="95"/>
      <c r="CE90" s="95"/>
      <c r="CF90" s="95"/>
      <c r="CG90" s="95"/>
      <c r="CH90" s="95"/>
      <c r="CI90" s="95"/>
      <c r="CJ90" s="95"/>
      <c r="CK90" s="95"/>
      <c r="CL90" s="95"/>
      <c r="CM90" s="95"/>
      <c r="CN90" s="95"/>
      <c r="CO90" s="95"/>
      <c r="CP90" s="95"/>
      <c r="CQ90" s="95"/>
      <c r="CR90" s="95"/>
      <c r="CS90" s="95"/>
      <c r="CT90" s="95"/>
      <c r="CU90" s="95"/>
      <c r="CV90" s="95"/>
      <c r="CW90" s="95"/>
      <c r="CX90" s="95"/>
      <c r="CY90" s="95"/>
      <c r="CZ90" s="95"/>
      <c r="DA90" s="95"/>
      <c r="DB90" s="95"/>
      <c r="DC90" s="95"/>
      <c r="DD90" s="95"/>
      <c r="DE90" s="95"/>
      <c r="DF90" s="95"/>
      <c r="DG90" s="95"/>
      <c r="DH90" s="95"/>
      <c r="DI90" s="95"/>
      <c r="DJ90" s="95"/>
      <c r="DK90" s="95"/>
      <c r="DL90" s="95"/>
      <c r="DM90" s="95"/>
      <c r="DN90" s="95"/>
      <c r="DO90" s="95"/>
      <c r="DP90" s="95"/>
      <c r="DQ90" s="95"/>
      <c r="DR90" s="95"/>
      <c r="DS90" s="95"/>
      <c r="DT90" s="95"/>
      <c r="DU90" s="95"/>
      <c r="DV90" s="95"/>
      <c r="DW90" s="95"/>
      <c r="DX90" s="95"/>
      <c r="DY90" s="95"/>
      <c r="DZ90" s="95"/>
      <c r="EA90" s="95"/>
      <c r="EB90" s="95"/>
      <c r="EC90" s="95"/>
      <c r="ED90" s="95"/>
      <c r="EE90" s="95"/>
      <c r="EF90" s="95"/>
      <c r="EG90" s="95"/>
      <c r="EH90" s="95"/>
      <c r="EI90" s="95"/>
      <c r="EJ90" s="95"/>
      <c r="EK90" s="95"/>
      <c r="EL90" s="95"/>
      <c r="EM90" s="95"/>
      <c r="EN90" s="95"/>
      <c r="EO90" s="95"/>
      <c r="EP90" s="95"/>
      <c r="EQ90" s="95"/>
      <c r="ER90" s="95"/>
      <c r="ES90" s="95"/>
      <c r="ET90" s="95"/>
      <c r="EU90" s="95"/>
      <c r="EV90" s="95"/>
      <c r="EW90" s="95"/>
      <c r="EX90" s="95"/>
      <c r="EY90" s="95"/>
      <c r="EZ90" s="95"/>
      <c r="FA90" s="95"/>
      <c r="FB90" s="95"/>
      <c r="FC90" s="95"/>
      <c r="FD90" s="95"/>
      <c r="FE90" s="95"/>
      <c r="FF90" s="95"/>
      <c r="FG90" s="95"/>
      <c r="FH90" s="95"/>
      <c r="FI90" s="95"/>
      <c r="FJ90" s="95"/>
      <c r="FK90" s="95"/>
      <c r="FL90" s="95"/>
      <c r="FM90" s="95"/>
      <c r="FN90" s="95"/>
      <c r="FO90" s="95"/>
      <c r="FP90" s="95"/>
      <c r="FQ90" s="95"/>
      <c r="FR90" s="95"/>
      <c r="FS90" s="95"/>
      <c r="FT90" s="95"/>
      <c r="FU90" s="95"/>
      <c r="FV90" s="95"/>
      <c r="FW90" s="95"/>
      <c r="FX90" s="95"/>
      <c r="FY90" s="95"/>
      <c r="FZ90" s="95"/>
      <c r="GA90" s="95"/>
      <c r="GB90" s="95"/>
      <c r="GC90" s="95"/>
      <c r="GD90" s="95"/>
      <c r="GE90" s="95"/>
      <c r="GF90" s="95"/>
      <c r="GG90" s="95"/>
      <c r="GH90" s="95"/>
      <c r="GI90" s="95"/>
      <c r="GJ90" s="95"/>
      <c r="GK90" s="95"/>
      <c r="GL90" s="95"/>
      <c r="GM90" s="95"/>
      <c r="GN90" s="95"/>
      <c r="GO90" s="95"/>
      <c r="GP90" s="95"/>
      <c r="GQ90" s="95"/>
      <c r="GR90" s="95"/>
      <c r="GS90" s="95"/>
      <c r="GT90" s="95"/>
      <c r="GU90" s="95"/>
      <c r="GV90" s="95"/>
      <c r="GW90" s="95"/>
      <c r="GX90" s="95"/>
      <c r="GY90" s="95"/>
      <c r="GZ90" s="95"/>
      <c r="HA90" s="95"/>
      <c r="HB90" s="95"/>
      <c r="HC90" s="95"/>
      <c r="HD90" s="95"/>
      <c r="HE90" s="95"/>
      <c r="HF90" s="95"/>
      <c r="HG90" s="95"/>
      <c r="HH90" s="95"/>
      <c r="HI90" s="95"/>
      <c r="HJ90" s="95"/>
      <c r="HK90" s="95"/>
      <c r="HL90" s="95"/>
      <c r="HM90" s="95"/>
      <c r="HN90" s="95"/>
      <c r="HO90" s="95"/>
      <c r="HP90" s="95"/>
      <c r="HQ90" s="95"/>
      <c r="HR90" s="95"/>
      <c r="HS90" s="95"/>
      <c r="HT90" s="95"/>
      <c r="HU90" s="95"/>
      <c r="HV90" s="95"/>
      <c r="HW90" s="95"/>
      <c r="HX90" s="95"/>
      <c r="HY90" s="95"/>
      <c r="HZ90" s="95"/>
      <c r="IA90" s="95"/>
      <c r="IB90" s="95"/>
      <c r="IC90" s="95"/>
      <c r="ID90" s="95"/>
      <c r="IE90" s="95"/>
      <c r="IF90" s="95"/>
      <c r="IG90" s="95"/>
      <c r="IH90" s="95"/>
      <c r="II90" s="95"/>
      <c r="IJ90" s="95"/>
      <c r="IK90" s="95"/>
      <c r="IL90" s="95"/>
      <c r="IM90" s="95"/>
      <c r="IN90" s="95"/>
      <c r="IO90" s="95"/>
      <c r="IP90" s="95"/>
      <c r="IQ90" s="95"/>
      <c r="IR90" s="95"/>
      <c r="IS90" s="95"/>
      <c r="IT90" s="95"/>
      <c r="IU90" s="95"/>
      <c r="IV90" s="95"/>
      <c r="IW90" s="95"/>
      <c r="IX90" s="95"/>
      <c r="IY90" s="95"/>
      <c r="IZ90" s="95"/>
      <c r="JA90" s="95"/>
    </row>
    <row r="91" spans="3:261" ht="18.5" x14ac:dyDescent="0.45">
      <c r="C91" s="122" t="s">
        <v>121</v>
      </c>
      <c r="D91" s="114"/>
      <c r="E91" s="162"/>
      <c r="G91" s="161"/>
      <c r="H91" s="114"/>
      <c r="I91" s="114"/>
      <c r="J91" s="114"/>
      <c r="S91" s="103"/>
      <c r="T91" s="103"/>
      <c r="U91" s="103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  <c r="AM91" s="150"/>
      <c r="AN91" s="150"/>
      <c r="AO91" s="150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5"/>
      <c r="BP91" s="95"/>
      <c r="BQ91" s="95"/>
      <c r="BR91" s="95"/>
      <c r="BS91" s="95"/>
      <c r="BT91" s="95"/>
      <c r="BU91" s="95"/>
      <c r="BV91" s="95"/>
      <c r="BW91" s="95"/>
      <c r="BX91" s="95"/>
      <c r="BY91" s="95"/>
      <c r="BZ91" s="95"/>
      <c r="CA91" s="95"/>
      <c r="CB91" s="95"/>
      <c r="CC91" s="95"/>
      <c r="CD91" s="95"/>
      <c r="CE91" s="95"/>
      <c r="CF91" s="95"/>
      <c r="CG91" s="95"/>
      <c r="CH91" s="95"/>
      <c r="CI91" s="95"/>
      <c r="CJ91" s="95"/>
      <c r="CK91" s="95"/>
      <c r="CL91" s="95"/>
      <c r="CM91" s="95"/>
      <c r="CN91" s="95"/>
      <c r="CO91" s="95"/>
      <c r="CP91" s="95"/>
      <c r="CQ91" s="95"/>
      <c r="CR91" s="95"/>
      <c r="CS91" s="95"/>
      <c r="CT91" s="95"/>
      <c r="CU91" s="95"/>
      <c r="CV91" s="95"/>
      <c r="CW91" s="95"/>
      <c r="CX91" s="95"/>
      <c r="CY91" s="95"/>
      <c r="CZ91" s="95"/>
      <c r="DA91" s="95"/>
      <c r="DB91" s="95"/>
      <c r="DC91" s="95"/>
      <c r="DD91" s="95"/>
      <c r="DE91" s="95"/>
      <c r="DF91" s="95"/>
      <c r="DG91" s="95"/>
      <c r="DH91" s="95"/>
      <c r="DI91" s="95"/>
      <c r="DJ91" s="95"/>
      <c r="DK91" s="95"/>
      <c r="DL91" s="95"/>
      <c r="DM91" s="95"/>
      <c r="DN91" s="95"/>
      <c r="DO91" s="95"/>
      <c r="DP91" s="95"/>
      <c r="DQ91" s="95"/>
      <c r="DR91" s="95"/>
      <c r="DS91" s="95"/>
      <c r="DT91" s="95"/>
      <c r="DU91" s="95"/>
      <c r="DV91" s="95"/>
      <c r="DW91" s="95"/>
      <c r="DX91" s="95"/>
      <c r="DY91" s="95"/>
      <c r="DZ91" s="95"/>
      <c r="EA91" s="95"/>
      <c r="EB91" s="95"/>
      <c r="EC91" s="95"/>
      <c r="ED91" s="95"/>
      <c r="EE91" s="95"/>
      <c r="EF91" s="95"/>
      <c r="EG91" s="95"/>
      <c r="EH91" s="95"/>
      <c r="EI91" s="95"/>
      <c r="EJ91" s="95"/>
      <c r="EK91" s="95"/>
      <c r="EL91" s="95"/>
      <c r="EM91" s="95"/>
      <c r="EN91" s="95"/>
      <c r="EO91" s="95"/>
      <c r="EP91" s="95"/>
      <c r="EQ91" s="95"/>
      <c r="ER91" s="95"/>
      <c r="ES91" s="95"/>
      <c r="ET91" s="95"/>
      <c r="EU91" s="95"/>
      <c r="EV91" s="95"/>
      <c r="EW91" s="95"/>
      <c r="EX91" s="95"/>
      <c r="EY91" s="95"/>
      <c r="EZ91" s="95"/>
      <c r="FA91" s="95"/>
      <c r="FB91" s="95"/>
      <c r="FC91" s="95"/>
      <c r="FD91" s="95"/>
      <c r="FE91" s="95"/>
      <c r="FF91" s="95"/>
      <c r="FG91" s="95"/>
      <c r="FH91" s="95"/>
      <c r="FI91" s="95"/>
      <c r="FJ91" s="95"/>
      <c r="FK91" s="95"/>
      <c r="FL91" s="95"/>
      <c r="FM91" s="95"/>
      <c r="FN91" s="95"/>
      <c r="FO91" s="95"/>
      <c r="FP91" s="95"/>
      <c r="FQ91" s="95"/>
      <c r="FR91" s="95"/>
      <c r="FS91" s="95"/>
      <c r="FT91" s="95"/>
      <c r="FU91" s="95"/>
      <c r="FV91" s="95"/>
      <c r="FW91" s="95"/>
      <c r="FX91" s="95"/>
      <c r="FY91" s="95"/>
      <c r="FZ91" s="95"/>
      <c r="GA91" s="95"/>
      <c r="GB91" s="95"/>
      <c r="GC91" s="95"/>
      <c r="GD91" s="95"/>
      <c r="GE91" s="95"/>
      <c r="GF91" s="95"/>
      <c r="GG91" s="95"/>
      <c r="GH91" s="95"/>
      <c r="GI91" s="95"/>
      <c r="GJ91" s="95"/>
      <c r="GK91" s="95"/>
      <c r="GL91" s="95"/>
      <c r="GM91" s="95"/>
      <c r="GN91" s="95"/>
      <c r="GO91" s="95"/>
      <c r="GP91" s="95"/>
      <c r="GQ91" s="95"/>
      <c r="GR91" s="95"/>
      <c r="GS91" s="95"/>
      <c r="GT91" s="95"/>
      <c r="GU91" s="95"/>
      <c r="GV91" s="95"/>
      <c r="GW91" s="95"/>
      <c r="GX91" s="95"/>
      <c r="GY91" s="95"/>
      <c r="GZ91" s="95"/>
      <c r="HA91" s="95"/>
      <c r="HB91" s="95"/>
      <c r="HC91" s="95"/>
      <c r="HD91" s="95"/>
      <c r="HE91" s="95"/>
      <c r="HF91" s="95"/>
      <c r="HG91" s="95"/>
      <c r="HH91" s="95"/>
      <c r="HI91" s="95"/>
      <c r="HJ91" s="95"/>
      <c r="HK91" s="95"/>
      <c r="HL91" s="95"/>
      <c r="HM91" s="95"/>
      <c r="HN91" s="95"/>
      <c r="HO91" s="95"/>
      <c r="HP91" s="95"/>
      <c r="HQ91" s="95"/>
      <c r="HR91" s="95"/>
      <c r="HS91" s="95"/>
      <c r="HT91" s="95"/>
      <c r="HU91" s="95"/>
      <c r="HV91" s="95"/>
      <c r="HW91" s="95"/>
      <c r="HX91" s="95"/>
      <c r="HY91" s="95"/>
      <c r="HZ91" s="95"/>
      <c r="IA91" s="95"/>
      <c r="IB91" s="95"/>
      <c r="IC91" s="95"/>
      <c r="ID91" s="95"/>
      <c r="IE91" s="95"/>
      <c r="IF91" s="95"/>
      <c r="IG91" s="95"/>
      <c r="IH91" s="95"/>
      <c r="II91" s="95"/>
      <c r="IJ91" s="95"/>
      <c r="IK91" s="95"/>
      <c r="IL91" s="95"/>
      <c r="IM91" s="95"/>
      <c r="IN91" s="95"/>
      <c r="IO91" s="95"/>
      <c r="IP91" s="95"/>
      <c r="IQ91" s="95"/>
      <c r="IR91" s="95"/>
      <c r="IS91" s="95"/>
      <c r="IT91" s="95"/>
      <c r="IU91" s="95"/>
      <c r="IV91" s="95"/>
      <c r="IW91" s="95"/>
      <c r="IX91" s="95"/>
      <c r="IY91" s="95"/>
      <c r="IZ91" s="95"/>
      <c r="JA91" s="95"/>
    </row>
    <row r="92" spans="3:261" ht="18.5" x14ac:dyDescent="0.45">
      <c r="C92" s="127" t="s">
        <v>122</v>
      </c>
      <c r="E92" s="164">
        <f t="shared" ref="E92:E94" si="6">SUMIFS($H92:$J92,H$63:J$63,$D$60)</f>
        <v>0</v>
      </c>
      <c r="G92" s="114" t="s">
        <v>101</v>
      </c>
      <c r="H92" s="134">
        <v>0</v>
      </c>
      <c r="I92" s="134">
        <v>0</v>
      </c>
      <c r="J92" s="134">
        <v>0</v>
      </c>
      <c r="S92" s="152"/>
      <c r="T92" s="152"/>
      <c r="U92" s="95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/>
      <c r="AJ92" s="153"/>
      <c r="AK92" s="153"/>
      <c r="AL92" s="153"/>
      <c r="AM92" s="153"/>
      <c r="AN92" s="153"/>
      <c r="AO92" s="153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5"/>
      <c r="BP92" s="95"/>
      <c r="BQ92" s="95"/>
      <c r="BR92" s="95"/>
      <c r="BS92" s="95"/>
      <c r="BT92" s="95"/>
      <c r="BU92" s="95"/>
      <c r="BV92" s="95"/>
      <c r="BW92" s="95"/>
      <c r="BX92" s="95"/>
      <c r="BY92" s="95"/>
      <c r="BZ92" s="95"/>
      <c r="CA92" s="95"/>
      <c r="CB92" s="95"/>
      <c r="CC92" s="95"/>
      <c r="CD92" s="95"/>
      <c r="CE92" s="95"/>
      <c r="CF92" s="95"/>
      <c r="CG92" s="95"/>
      <c r="CH92" s="95"/>
      <c r="CI92" s="95"/>
      <c r="CJ92" s="95"/>
      <c r="CK92" s="95"/>
      <c r="CL92" s="95"/>
      <c r="CM92" s="95"/>
      <c r="CN92" s="95"/>
      <c r="CO92" s="95"/>
      <c r="CP92" s="95"/>
      <c r="CQ92" s="95"/>
      <c r="CR92" s="95"/>
      <c r="CS92" s="95"/>
      <c r="CT92" s="95"/>
      <c r="CU92" s="95"/>
      <c r="CV92" s="95"/>
      <c r="CW92" s="95"/>
      <c r="CX92" s="95"/>
      <c r="CY92" s="95"/>
      <c r="CZ92" s="95"/>
      <c r="DA92" s="95"/>
      <c r="DB92" s="95"/>
      <c r="DC92" s="95"/>
      <c r="DD92" s="95"/>
      <c r="DE92" s="95"/>
      <c r="DF92" s="95"/>
      <c r="DG92" s="95"/>
      <c r="DH92" s="95"/>
      <c r="DI92" s="95"/>
      <c r="DJ92" s="95"/>
      <c r="DK92" s="95"/>
      <c r="DL92" s="95"/>
      <c r="DM92" s="95"/>
      <c r="DN92" s="95"/>
      <c r="DO92" s="95"/>
      <c r="DP92" s="95"/>
      <c r="DQ92" s="95"/>
      <c r="DR92" s="95"/>
      <c r="DS92" s="95"/>
      <c r="DT92" s="95"/>
      <c r="DU92" s="95"/>
      <c r="DV92" s="95"/>
      <c r="DW92" s="95"/>
      <c r="DX92" s="95"/>
      <c r="DY92" s="95"/>
      <c r="DZ92" s="95"/>
      <c r="EA92" s="95"/>
      <c r="EB92" s="95"/>
      <c r="EC92" s="95"/>
      <c r="ED92" s="95"/>
      <c r="EE92" s="95"/>
      <c r="EF92" s="95"/>
      <c r="EG92" s="95"/>
      <c r="EH92" s="95"/>
      <c r="EI92" s="95"/>
      <c r="EJ92" s="95"/>
      <c r="EK92" s="95"/>
      <c r="EL92" s="95"/>
      <c r="EM92" s="95"/>
      <c r="EN92" s="95"/>
      <c r="EO92" s="95"/>
      <c r="EP92" s="95"/>
      <c r="EQ92" s="95"/>
      <c r="ER92" s="95"/>
      <c r="ES92" s="95"/>
      <c r="ET92" s="95"/>
      <c r="EU92" s="95"/>
      <c r="EV92" s="95"/>
      <c r="EW92" s="95"/>
      <c r="EX92" s="95"/>
      <c r="EY92" s="95"/>
      <c r="EZ92" s="95"/>
      <c r="FA92" s="95"/>
      <c r="FB92" s="95"/>
      <c r="FC92" s="95"/>
      <c r="FD92" s="95"/>
      <c r="FE92" s="95"/>
      <c r="FF92" s="95"/>
      <c r="FG92" s="95"/>
      <c r="FH92" s="95"/>
      <c r="FI92" s="95"/>
      <c r="FJ92" s="95"/>
      <c r="FK92" s="95"/>
      <c r="FL92" s="95"/>
      <c r="FM92" s="95"/>
      <c r="FN92" s="95"/>
      <c r="FO92" s="95"/>
      <c r="FP92" s="95"/>
      <c r="FQ92" s="95"/>
      <c r="FR92" s="95"/>
      <c r="FS92" s="95"/>
      <c r="FT92" s="95"/>
      <c r="FU92" s="95"/>
      <c r="FV92" s="95"/>
      <c r="FW92" s="95"/>
      <c r="FX92" s="95"/>
      <c r="FY92" s="95"/>
      <c r="FZ92" s="95"/>
      <c r="GA92" s="95"/>
      <c r="GB92" s="95"/>
      <c r="GC92" s="95"/>
      <c r="GD92" s="95"/>
      <c r="GE92" s="95"/>
      <c r="GF92" s="95"/>
      <c r="GG92" s="95"/>
      <c r="GH92" s="95"/>
      <c r="GI92" s="95"/>
      <c r="GJ92" s="95"/>
      <c r="GK92" s="95"/>
      <c r="GL92" s="95"/>
      <c r="GM92" s="95"/>
      <c r="GN92" s="95"/>
      <c r="GO92" s="95"/>
      <c r="GP92" s="95"/>
      <c r="GQ92" s="95"/>
      <c r="GR92" s="95"/>
      <c r="GS92" s="95"/>
      <c r="GT92" s="95"/>
      <c r="GU92" s="95"/>
      <c r="GV92" s="95"/>
      <c r="GW92" s="95"/>
      <c r="GX92" s="95"/>
      <c r="GY92" s="95"/>
      <c r="GZ92" s="95"/>
      <c r="HA92" s="95"/>
      <c r="HB92" s="95"/>
      <c r="HC92" s="95"/>
      <c r="HD92" s="95"/>
      <c r="HE92" s="95"/>
      <c r="HF92" s="95"/>
      <c r="HG92" s="95"/>
      <c r="HH92" s="95"/>
      <c r="HI92" s="95"/>
      <c r="HJ92" s="95"/>
      <c r="HK92" s="95"/>
      <c r="HL92" s="95"/>
      <c r="HM92" s="95"/>
      <c r="HN92" s="95"/>
      <c r="HO92" s="95"/>
      <c r="HP92" s="95"/>
      <c r="HQ92" s="95"/>
      <c r="HR92" s="95"/>
      <c r="HS92" s="95"/>
      <c r="HT92" s="95"/>
      <c r="HU92" s="95"/>
      <c r="HV92" s="95"/>
      <c r="HW92" s="95"/>
      <c r="HX92" s="95"/>
      <c r="HY92" s="95"/>
      <c r="HZ92" s="95"/>
      <c r="IA92" s="95"/>
      <c r="IB92" s="95"/>
      <c r="IC92" s="95"/>
      <c r="ID92" s="95"/>
      <c r="IE92" s="95"/>
      <c r="IF92" s="95"/>
      <c r="IG92" s="95"/>
      <c r="IH92" s="95"/>
      <c r="II92" s="95"/>
      <c r="IJ92" s="95"/>
      <c r="IK92" s="95"/>
      <c r="IL92" s="95"/>
      <c r="IM92" s="95"/>
      <c r="IN92" s="95"/>
      <c r="IO92" s="95"/>
      <c r="IP92" s="95"/>
      <c r="IQ92" s="95"/>
      <c r="IR92" s="95"/>
      <c r="IS92" s="95"/>
      <c r="IT92" s="95"/>
      <c r="IU92" s="95"/>
      <c r="IV92" s="95"/>
      <c r="IW92" s="95"/>
      <c r="IX92" s="95"/>
      <c r="IY92" s="95"/>
      <c r="IZ92" s="95"/>
      <c r="JA92" s="95"/>
    </row>
    <row r="93" spans="3:261" ht="18.5" x14ac:dyDescent="0.45">
      <c r="C93" s="127" t="s">
        <v>123</v>
      </c>
      <c r="E93" s="164">
        <f t="shared" si="6"/>
        <v>0</v>
      </c>
      <c r="G93" s="114" t="s">
        <v>101</v>
      </c>
      <c r="H93" s="134">
        <v>7.0000000000000007E-2</v>
      </c>
      <c r="I93" s="134">
        <v>7.0000000000000007E-2</v>
      </c>
      <c r="J93" s="134">
        <v>7.0000000000000007E-2</v>
      </c>
      <c r="S93" s="95"/>
      <c r="T93" s="95"/>
      <c r="U93" s="95"/>
      <c r="V93" s="95"/>
      <c r="W93" s="154"/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  <c r="AH93" s="154"/>
      <c r="AI93" s="154"/>
      <c r="AJ93" s="154"/>
      <c r="AK93" s="154"/>
      <c r="AL93" s="154"/>
      <c r="AM93" s="154"/>
      <c r="AN93" s="154"/>
      <c r="AO93" s="154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5"/>
      <c r="BP93" s="95"/>
      <c r="BQ93" s="95"/>
      <c r="BR93" s="95"/>
      <c r="BS93" s="95"/>
      <c r="BT93" s="95"/>
      <c r="BU93" s="95"/>
      <c r="BV93" s="95"/>
      <c r="BW93" s="95"/>
      <c r="BX93" s="95"/>
      <c r="BY93" s="95"/>
      <c r="BZ93" s="95"/>
      <c r="CA93" s="95"/>
      <c r="CB93" s="95"/>
      <c r="CC93" s="95"/>
      <c r="CD93" s="95"/>
      <c r="CE93" s="95"/>
      <c r="CF93" s="95"/>
      <c r="CG93" s="95"/>
      <c r="CH93" s="95"/>
      <c r="CI93" s="95"/>
      <c r="CJ93" s="95"/>
      <c r="CK93" s="95"/>
      <c r="CL93" s="95"/>
      <c r="CM93" s="95"/>
      <c r="CN93" s="95"/>
      <c r="CO93" s="95"/>
      <c r="CP93" s="95"/>
      <c r="CQ93" s="95"/>
      <c r="CR93" s="95"/>
      <c r="CS93" s="95"/>
      <c r="CT93" s="95"/>
      <c r="CU93" s="95"/>
      <c r="CV93" s="95"/>
      <c r="CW93" s="95"/>
      <c r="CX93" s="95"/>
      <c r="CY93" s="95"/>
      <c r="CZ93" s="95"/>
      <c r="DA93" s="95"/>
      <c r="DB93" s="95"/>
      <c r="DC93" s="95"/>
      <c r="DD93" s="95"/>
      <c r="DE93" s="95"/>
      <c r="DF93" s="95"/>
      <c r="DG93" s="95"/>
      <c r="DH93" s="95"/>
      <c r="DI93" s="95"/>
      <c r="DJ93" s="95"/>
      <c r="DK93" s="95"/>
      <c r="DL93" s="95"/>
      <c r="DM93" s="95"/>
      <c r="DN93" s="95"/>
      <c r="DO93" s="95"/>
      <c r="DP93" s="95"/>
      <c r="DQ93" s="95"/>
      <c r="DR93" s="95"/>
      <c r="DS93" s="95"/>
      <c r="DT93" s="95"/>
      <c r="DU93" s="95"/>
      <c r="DV93" s="95"/>
      <c r="DW93" s="95"/>
      <c r="DX93" s="95"/>
      <c r="DY93" s="95"/>
      <c r="DZ93" s="95"/>
      <c r="EA93" s="95"/>
      <c r="EB93" s="95"/>
      <c r="EC93" s="95"/>
      <c r="ED93" s="95"/>
      <c r="EE93" s="95"/>
      <c r="EF93" s="95"/>
      <c r="EG93" s="95"/>
      <c r="EH93" s="95"/>
      <c r="EI93" s="95"/>
      <c r="EJ93" s="95"/>
      <c r="EK93" s="95"/>
      <c r="EL93" s="95"/>
      <c r="EM93" s="95"/>
      <c r="EN93" s="95"/>
      <c r="EO93" s="95"/>
      <c r="EP93" s="95"/>
      <c r="EQ93" s="95"/>
      <c r="ER93" s="95"/>
      <c r="ES93" s="95"/>
      <c r="ET93" s="95"/>
      <c r="EU93" s="95"/>
      <c r="EV93" s="95"/>
      <c r="EW93" s="95"/>
      <c r="EX93" s="95"/>
      <c r="EY93" s="95"/>
      <c r="EZ93" s="95"/>
      <c r="FA93" s="95"/>
      <c r="FB93" s="95"/>
      <c r="FC93" s="95"/>
      <c r="FD93" s="95"/>
      <c r="FE93" s="95"/>
      <c r="FF93" s="95"/>
      <c r="FG93" s="95"/>
      <c r="FH93" s="95"/>
      <c r="FI93" s="95"/>
      <c r="FJ93" s="95"/>
      <c r="FK93" s="95"/>
      <c r="FL93" s="95"/>
      <c r="FM93" s="95"/>
      <c r="FN93" s="95"/>
      <c r="FO93" s="95"/>
      <c r="FP93" s="95"/>
      <c r="FQ93" s="95"/>
      <c r="FR93" s="95"/>
      <c r="FS93" s="95"/>
      <c r="FT93" s="95"/>
      <c r="FU93" s="95"/>
      <c r="FV93" s="95"/>
      <c r="FW93" s="95"/>
      <c r="FX93" s="95"/>
      <c r="FY93" s="95"/>
      <c r="FZ93" s="95"/>
      <c r="GA93" s="95"/>
      <c r="GB93" s="95"/>
      <c r="GC93" s="95"/>
      <c r="GD93" s="95"/>
      <c r="GE93" s="95"/>
      <c r="GF93" s="95"/>
      <c r="GG93" s="95"/>
      <c r="GH93" s="95"/>
      <c r="GI93" s="95"/>
      <c r="GJ93" s="95"/>
      <c r="GK93" s="95"/>
      <c r="GL93" s="95"/>
      <c r="GM93" s="95"/>
      <c r="GN93" s="95"/>
      <c r="GO93" s="95"/>
      <c r="GP93" s="95"/>
      <c r="GQ93" s="95"/>
      <c r="GR93" s="95"/>
      <c r="GS93" s="95"/>
      <c r="GT93" s="95"/>
      <c r="GU93" s="95"/>
      <c r="GV93" s="95"/>
      <c r="GW93" s="95"/>
      <c r="GX93" s="95"/>
      <c r="GY93" s="95"/>
      <c r="GZ93" s="95"/>
      <c r="HA93" s="95"/>
      <c r="HB93" s="95"/>
      <c r="HC93" s="95"/>
      <c r="HD93" s="95"/>
      <c r="HE93" s="95"/>
      <c r="HF93" s="95"/>
      <c r="HG93" s="95"/>
      <c r="HH93" s="95"/>
      <c r="HI93" s="95"/>
      <c r="HJ93" s="95"/>
      <c r="HK93" s="95"/>
      <c r="HL93" s="95"/>
      <c r="HM93" s="95"/>
      <c r="HN93" s="95"/>
      <c r="HO93" s="95"/>
      <c r="HP93" s="95"/>
      <c r="HQ93" s="95"/>
      <c r="HR93" s="95"/>
      <c r="HS93" s="95"/>
      <c r="HT93" s="95"/>
      <c r="HU93" s="95"/>
      <c r="HV93" s="95"/>
      <c r="HW93" s="95"/>
      <c r="HX93" s="95"/>
      <c r="HY93" s="95"/>
      <c r="HZ93" s="95"/>
      <c r="IA93" s="95"/>
      <c r="IB93" s="95"/>
      <c r="IC93" s="95"/>
      <c r="ID93" s="95"/>
      <c r="IE93" s="95"/>
      <c r="IF93" s="95"/>
      <c r="IG93" s="95"/>
      <c r="IH93" s="95"/>
      <c r="II93" s="95"/>
      <c r="IJ93" s="95"/>
      <c r="IK93" s="95"/>
      <c r="IL93" s="95"/>
      <c r="IM93" s="95"/>
      <c r="IN93" s="95"/>
      <c r="IO93" s="95"/>
      <c r="IP93" s="95"/>
      <c r="IQ93" s="95"/>
      <c r="IR93" s="95"/>
      <c r="IS93" s="95"/>
      <c r="IT93" s="95"/>
      <c r="IU93" s="95"/>
      <c r="IV93" s="95"/>
      <c r="IW93" s="95"/>
      <c r="IX93" s="95"/>
      <c r="IY93" s="95"/>
      <c r="IZ93" s="95"/>
      <c r="JA93" s="95"/>
    </row>
    <row r="94" spans="3:261" ht="18.5" x14ac:dyDescent="0.45">
      <c r="C94" s="127" t="s">
        <v>124</v>
      </c>
      <c r="E94" s="164">
        <f t="shared" si="6"/>
        <v>0</v>
      </c>
      <c r="G94" s="114" t="s">
        <v>101</v>
      </c>
      <c r="H94" s="134">
        <v>1.66</v>
      </c>
      <c r="I94" s="134">
        <v>1.66</v>
      </c>
      <c r="J94" s="134">
        <v>1.66</v>
      </c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5"/>
      <c r="BP94" s="95"/>
      <c r="BQ94" s="95"/>
      <c r="BR94" s="95"/>
      <c r="BS94" s="95"/>
      <c r="BT94" s="95"/>
      <c r="BU94" s="95"/>
      <c r="BV94" s="95"/>
      <c r="BW94" s="95"/>
      <c r="BX94" s="95"/>
      <c r="BY94" s="95"/>
      <c r="BZ94" s="95"/>
      <c r="CA94" s="95"/>
      <c r="CB94" s="95"/>
      <c r="CC94" s="95"/>
      <c r="CD94" s="95"/>
      <c r="CE94" s="95"/>
      <c r="CF94" s="95"/>
      <c r="CG94" s="95"/>
      <c r="CH94" s="95"/>
      <c r="CI94" s="95"/>
      <c r="CJ94" s="95"/>
      <c r="CK94" s="95"/>
      <c r="CL94" s="95"/>
      <c r="CM94" s="95"/>
      <c r="CN94" s="95"/>
      <c r="CO94" s="95"/>
      <c r="CP94" s="95"/>
      <c r="CQ94" s="95"/>
      <c r="CR94" s="95"/>
      <c r="CS94" s="95"/>
      <c r="CT94" s="95"/>
      <c r="CU94" s="95"/>
      <c r="CV94" s="95"/>
      <c r="CW94" s="95"/>
      <c r="CX94" s="95"/>
      <c r="CY94" s="95"/>
      <c r="CZ94" s="95"/>
      <c r="DA94" s="95"/>
      <c r="DB94" s="95"/>
      <c r="DC94" s="95"/>
      <c r="DD94" s="95"/>
      <c r="DE94" s="95"/>
      <c r="DF94" s="95"/>
      <c r="DG94" s="95"/>
      <c r="DH94" s="95"/>
      <c r="DI94" s="95"/>
      <c r="DJ94" s="95"/>
      <c r="DK94" s="95"/>
      <c r="DL94" s="95"/>
      <c r="DM94" s="95"/>
      <c r="DN94" s="95"/>
      <c r="DO94" s="95"/>
      <c r="DP94" s="95"/>
      <c r="DQ94" s="95"/>
      <c r="DR94" s="95"/>
      <c r="DS94" s="95"/>
      <c r="DT94" s="95"/>
      <c r="DU94" s="95"/>
      <c r="DV94" s="95"/>
      <c r="DW94" s="95"/>
      <c r="DX94" s="95"/>
      <c r="DY94" s="95"/>
      <c r="DZ94" s="95"/>
      <c r="EA94" s="95"/>
      <c r="EB94" s="95"/>
      <c r="EC94" s="95"/>
      <c r="ED94" s="95"/>
      <c r="EE94" s="95"/>
      <c r="EF94" s="95"/>
      <c r="EG94" s="95"/>
      <c r="EH94" s="95"/>
      <c r="EI94" s="95"/>
      <c r="EJ94" s="95"/>
      <c r="EK94" s="95"/>
      <c r="EL94" s="95"/>
      <c r="EM94" s="95"/>
      <c r="EN94" s="95"/>
      <c r="EO94" s="95"/>
      <c r="EP94" s="95"/>
      <c r="EQ94" s="95"/>
      <c r="ER94" s="95"/>
      <c r="ES94" s="95"/>
      <c r="ET94" s="95"/>
      <c r="EU94" s="95"/>
      <c r="EV94" s="95"/>
      <c r="EW94" s="95"/>
      <c r="EX94" s="95"/>
      <c r="EY94" s="95"/>
      <c r="EZ94" s="95"/>
      <c r="FA94" s="95"/>
      <c r="FB94" s="95"/>
      <c r="FC94" s="95"/>
      <c r="FD94" s="95"/>
      <c r="FE94" s="95"/>
      <c r="FF94" s="95"/>
      <c r="FG94" s="95"/>
      <c r="FH94" s="95"/>
      <c r="FI94" s="95"/>
      <c r="FJ94" s="95"/>
      <c r="FK94" s="95"/>
      <c r="FL94" s="95"/>
      <c r="FM94" s="95"/>
      <c r="FN94" s="95"/>
      <c r="FO94" s="95"/>
      <c r="FP94" s="95"/>
      <c r="FQ94" s="95"/>
      <c r="FR94" s="95"/>
      <c r="FS94" s="95"/>
      <c r="FT94" s="95"/>
      <c r="FU94" s="95"/>
      <c r="FV94" s="95"/>
      <c r="FW94" s="95"/>
      <c r="FX94" s="95"/>
      <c r="FY94" s="95"/>
      <c r="FZ94" s="95"/>
      <c r="GA94" s="95"/>
      <c r="GB94" s="95"/>
      <c r="GC94" s="95"/>
      <c r="GD94" s="95"/>
      <c r="GE94" s="95"/>
      <c r="GF94" s="95"/>
      <c r="GG94" s="95"/>
      <c r="GH94" s="95"/>
      <c r="GI94" s="95"/>
      <c r="GJ94" s="95"/>
      <c r="GK94" s="95"/>
      <c r="GL94" s="95"/>
      <c r="GM94" s="95"/>
      <c r="GN94" s="95"/>
      <c r="GO94" s="95"/>
      <c r="GP94" s="95"/>
      <c r="GQ94" s="95"/>
      <c r="GR94" s="95"/>
      <c r="GS94" s="95"/>
      <c r="GT94" s="95"/>
      <c r="GU94" s="95"/>
      <c r="GV94" s="95"/>
      <c r="GW94" s="95"/>
      <c r="GX94" s="95"/>
      <c r="GY94" s="95"/>
      <c r="GZ94" s="95"/>
      <c r="HA94" s="95"/>
      <c r="HB94" s="95"/>
      <c r="HC94" s="95"/>
      <c r="HD94" s="95"/>
      <c r="HE94" s="95"/>
      <c r="HF94" s="95"/>
      <c r="HG94" s="95"/>
      <c r="HH94" s="95"/>
      <c r="HI94" s="95"/>
      <c r="HJ94" s="95"/>
      <c r="HK94" s="95"/>
      <c r="HL94" s="95"/>
      <c r="HM94" s="95"/>
      <c r="HN94" s="95"/>
      <c r="HO94" s="95"/>
      <c r="HP94" s="95"/>
      <c r="HQ94" s="95"/>
      <c r="HR94" s="95"/>
      <c r="HS94" s="95"/>
      <c r="HT94" s="95"/>
      <c r="HU94" s="95"/>
      <c r="HV94" s="95"/>
      <c r="HW94" s="95"/>
      <c r="HX94" s="95"/>
      <c r="HY94" s="95"/>
      <c r="HZ94" s="95"/>
      <c r="IA94" s="95"/>
      <c r="IB94" s="95"/>
      <c r="IC94" s="95"/>
      <c r="ID94" s="95"/>
      <c r="IE94" s="95"/>
      <c r="IF94" s="95"/>
      <c r="IG94" s="95"/>
      <c r="IH94" s="95"/>
      <c r="II94" s="95"/>
      <c r="IJ94" s="95"/>
      <c r="IK94" s="95"/>
      <c r="IL94" s="95"/>
      <c r="IM94" s="95"/>
      <c r="IN94" s="95"/>
      <c r="IO94" s="95"/>
      <c r="IP94" s="95"/>
      <c r="IQ94" s="95"/>
      <c r="IR94" s="95"/>
      <c r="IS94" s="95"/>
      <c r="IT94" s="95"/>
      <c r="IU94" s="95"/>
      <c r="IV94" s="95"/>
      <c r="IW94" s="95"/>
      <c r="IX94" s="95"/>
      <c r="IY94" s="95"/>
      <c r="IZ94" s="95"/>
      <c r="JA94" s="95"/>
    </row>
    <row r="95" spans="3:261" ht="18.5" x14ac:dyDescent="0.45">
      <c r="C95" s="167" t="s">
        <v>125</v>
      </c>
      <c r="D95" s="131"/>
      <c r="E95" s="132">
        <f>SUM(E92:E94)</f>
        <v>0</v>
      </c>
      <c r="F95" s="131"/>
      <c r="G95" s="133" t="s">
        <v>101</v>
      </c>
      <c r="H95" s="165"/>
      <c r="I95" s="166"/>
      <c r="J95" s="166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5"/>
      <c r="BP95" s="95"/>
      <c r="BQ95" s="95"/>
      <c r="BR95" s="95"/>
      <c r="BS95" s="95"/>
      <c r="BT95" s="95"/>
      <c r="BU95" s="95"/>
      <c r="BV95" s="95"/>
      <c r="BW95" s="95"/>
      <c r="BX95" s="95"/>
      <c r="BY95" s="95"/>
      <c r="BZ95" s="95"/>
      <c r="CA95" s="95"/>
      <c r="CB95" s="95"/>
      <c r="CC95" s="95"/>
      <c r="CD95" s="95"/>
      <c r="CE95" s="95"/>
      <c r="CF95" s="95"/>
      <c r="CG95" s="95"/>
      <c r="CH95" s="95"/>
      <c r="CI95" s="95"/>
      <c r="CJ95" s="95"/>
      <c r="CK95" s="95"/>
      <c r="CL95" s="95"/>
      <c r="CM95" s="95"/>
      <c r="CN95" s="95"/>
      <c r="CO95" s="95"/>
      <c r="CP95" s="95"/>
      <c r="CQ95" s="95"/>
      <c r="CR95" s="95"/>
      <c r="CS95" s="95"/>
      <c r="CT95" s="95"/>
      <c r="CU95" s="95"/>
      <c r="CV95" s="95"/>
      <c r="CW95" s="95"/>
      <c r="CX95" s="95"/>
      <c r="CY95" s="95"/>
      <c r="CZ95" s="95"/>
      <c r="DA95" s="95"/>
      <c r="DB95" s="95"/>
      <c r="DC95" s="95"/>
      <c r="DD95" s="95"/>
      <c r="DE95" s="95"/>
      <c r="DF95" s="95"/>
      <c r="DG95" s="95"/>
      <c r="DH95" s="95"/>
      <c r="DI95" s="95"/>
      <c r="DJ95" s="95"/>
      <c r="DK95" s="95"/>
      <c r="DL95" s="95"/>
      <c r="DM95" s="95"/>
      <c r="DN95" s="95"/>
      <c r="DO95" s="95"/>
      <c r="DP95" s="95"/>
      <c r="DQ95" s="95"/>
      <c r="DR95" s="95"/>
      <c r="DS95" s="95"/>
      <c r="DT95" s="95"/>
      <c r="DU95" s="95"/>
      <c r="DV95" s="95"/>
      <c r="DW95" s="95"/>
      <c r="DX95" s="95"/>
      <c r="DY95" s="95"/>
      <c r="DZ95" s="95"/>
      <c r="EA95" s="95"/>
      <c r="EB95" s="95"/>
      <c r="EC95" s="95"/>
      <c r="ED95" s="95"/>
      <c r="EE95" s="95"/>
      <c r="EF95" s="95"/>
      <c r="EG95" s="95"/>
      <c r="EH95" s="95"/>
      <c r="EI95" s="95"/>
      <c r="EJ95" s="95"/>
      <c r="EK95" s="95"/>
      <c r="EL95" s="95"/>
      <c r="EM95" s="95"/>
      <c r="EN95" s="95"/>
      <c r="EO95" s="95"/>
      <c r="EP95" s="95"/>
      <c r="EQ95" s="95"/>
      <c r="ER95" s="95"/>
      <c r="ES95" s="95"/>
      <c r="ET95" s="95"/>
      <c r="EU95" s="95"/>
      <c r="EV95" s="95"/>
      <c r="EW95" s="95"/>
      <c r="EX95" s="95"/>
      <c r="EY95" s="95"/>
      <c r="EZ95" s="95"/>
      <c r="FA95" s="95"/>
      <c r="FB95" s="95"/>
      <c r="FC95" s="95"/>
      <c r="FD95" s="95"/>
      <c r="FE95" s="95"/>
      <c r="FF95" s="95"/>
      <c r="FG95" s="95"/>
      <c r="FH95" s="95"/>
      <c r="FI95" s="95"/>
      <c r="FJ95" s="95"/>
      <c r="FK95" s="95"/>
      <c r="FL95" s="95"/>
      <c r="FM95" s="95"/>
      <c r="FN95" s="95"/>
      <c r="FO95" s="95"/>
      <c r="FP95" s="95"/>
      <c r="FQ95" s="95"/>
      <c r="FR95" s="95"/>
      <c r="FS95" s="95"/>
      <c r="FT95" s="95"/>
      <c r="FU95" s="95"/>
      <c r="FV95" s="95"/>
      <c r="FW95" s="95"/>
      <c r="FX95" s="95"/>
      <c r="FY95" s="95"/>
      <c r="FZ95" s="95"/>
      <c r="GA95" s="95"/>
      <c r="GB95" s="95"/>
      <c r="GC95" s="95"/>
      <c r="GD95" s="95"/>
      <c r="GE95" s="95"/>
      <c r="GF95" s="95"/>
      <c r="GG95" s="95"/>
      <c r="GH95" s="95"/>
      <c r="GI95" s="95"/>
      <c r="GJ95" s="95"/>
      <c r="GK95" s="95"/>
      <c r="GL95" s="95"/>
      <c r="GM95" s="95"/>
      <c r="GN95" s="95"/>
      <c r="GO95" s="95"/>
      <c r="GP95" s="95"/>
      <c r="GQ95" s="95"/>
      <c r="GR95" s="95"/>
      <c r="GS95" s="95"/>
      <c r="GT95" s="95"/>
      <c r="GU95" s="95"/>
      <c r="GV95" s="95"/>
      <c r="GW95" s="95"/>
      <c r="GX95" s="95"/>
      <c r="GY95" s="95"/>
      <c r="GZ95" s="95"/>
      <c r="HA95" s="95"/>
      <c r="HB95" s="95"/>
      <c r="HC95" s="95"/>
      <c r="HD95" s="95"/>
      <c r="HE95" s="95"/>
      <c r="HF95" s="95"/>
      <c r="HG95" s="95"/>
      <c r="HH95" s="95"/>
      <c r="HI95" s="95"/>
      <c r="HJ95" s="95"/>
      <c r="HK95" s="95"/>
      <c r="HL95" s="95"/>
      <c r="HM95" s="95"/>
      <c r="HN95" s="95"/>
      <c r="HO95" s="95"/>
      <c r="HP95" s="95"/>
      <c r="HQ95" s="95"/>
      <c r="HR95" s="95"/>
      <c r="HS95" s="95"/>
      <c r="HT95" s="95"/>
      <c r="HU95" s="95"/>
      <c r="HV95" s="95"/>
      <c r="HW95" s="95"/>
      <c r="HX95" s="95"/>
      <c r="HY95" s="95"/>
      <c r="HZ95" s="95"/>
      <c r="IA95" s="95"/>
      <c r="IB95" s="95"/>
      <c r="IC95" s="95"/>
      <c r="ID95" s="95"/>
      <c r="IE95" s="95"/>
      <c r="IF95" s="95"/>
      <c r="IG95" s="95"/>
      <c r="IH95" s="95"/>
      <c r="II95" s="95"/>
      <c r="IJ95" s="95"/>
      <c r="IK95" s="95"/>
      <c r="IL95" s="95"/>
      <c r="IM95" s="95"/>
      <c r="IN95" s="95"/>
      <c r="IO95" s="95"/>
      <c r="IP95" s="95"/>
      <c r="IQ95" s="95"/>
      <c r="IR95" s="95"/>
      <c r="IS95" s="95"/>
      <c r="IT95" s="95"/>
      <c r="IU95" s="95"/>
      <c r="IV95" s="95"/>
      <c r="IW95" s="95"/>
      <c r="IX95" s="95"/>
      <c r="IY95" s="95"/>
      <c r="IZ95" s="95"/>
      <c r="JA95" s="95"/>
    </row>
    <row r="96" spans="3:261" ht="18.5" x14ac:dyDescent="0.45">
      <c r="C96" s="114"/>
      <c r="D96" s="168"/>
      <c r="E96" s="162"/>
      <c r="G96" s="161"/>
      <c r="H96" s="165"/>
      <c r="I96" s="166"/>
      <c r="J96" s="166"/>
      <c r="S96" s="169"/>
      <c r="T96" s="95"/>
      <c r="U96" s="152"/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/>
      <c r="AN96" s="153"/>
      <c r="AO96" s="153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5"/>
      <c r="BP96" s="95"/>
      <c r="BQ96" s="95"/>
      <c r="BR96" s="95"/>
      <c r="BS96" s="95"/>
      <c r="BT96" s="95"/>
      <c r="BU96" s="95"/>
      <c r="BV96" s="95"/>
      <c r="BW96" s="95"/>
      <c r="BX96" s="95"/>
      <c r="BY96" s="95"/>
      <c r="BZ96" s="95"/>
      <c r="CA96" s="95"/>
      <c r="CB96" s="95"/>
      <c r="CC96" s="95"/>
      <c r="CD96" s="95"/>
      <c r="CE96" s="95"/>
      <c r="CF96" s="95"/>
      <c r="CG96" s="95"/>
      <c r="CH96" s="95"/>
      <c r="CI96" s="95"/>
      <c r="CJ96" s="95"/>
      <c r="CK96" s="95"/>
      <c r="CL96" s="95"/>
      <c r="CM96" s="95"/>
      <c r="CN96" s="95"/>
      <c r="CO96" s="95"/>
      <c r="CP96" s="95"/>
      <c r="CQ96" s="95"/>
      <c r="CR96" s="95"/>
      <c r="CS96" s="95"/>
      <c r="CT96" s="95"/>
      <c r="CU96" s="95"/>
      <c r="CV96" s="95"/>
      <c r="CW96" s="95"/>
      <c r="CX96" s="95"/>
      <c r="CY96" s="95"/>
      <c r="CZ96" s="95"/>
      <c r="DA96" s="95"/>
      <c r="DB96" s="95"/>
      <c r="DC96" s="95"/>
      <c r="DD96" s="95"/>
      <c r="DE96" s="95"/>
      <c r="DF96" s="95"/>
      <c r="DG96" s="95"/>
      <c r="DH96" s="95"/>
      <c r="DI96" s="95"/>
      <c r="DJ96" s="95"/>
      <c r="DK96" s="95"/>
      <c r="DL96" s="95"/>
      <c r="DM96" s="95"/>
      <c r="DN96" s="95"/>
      <c r="DO96" s="95"/>
      <c r="DP96" s="95"/>
      <c r="DQ96" s="95"/>
      <c r="DR96" s="95"/>
      <c r="DS96" s="95"/>
      <c r="DT96" s="95"/>
      <c r="DU96" s="95"/>
      <c r="DV96" s="95"/>
      <c r="DW96" s="95"/>
      <c r="DX96" s="95"/>
      <c r="DY96" s="95"/>
      <c r="DZ96" s="95"/>
      <c r="EA96" s="95"/>
      <c r="EB96" s="95"/>
      <c r="EC96" s="95"/>
      <c r="ED96" s="95"/>
      <c r="EE96" s="95"/>
      <c r="EF96" s="95"/>
      <c r="EG96" s="95"/>
      <c r="EH96" s="95"/>
      <c r="EI96" s="95"/>
      <c r="EJ96" s="95"/>
      <c r="EK96" s="95"/>
      <c r="EL96" s="95"/>
      <c r="EM96" s="95"/>
      <c r="EN96" s="95"/>
      <c r="EO96" s="95"/>
      <c r="EP96" s="95"/>
      <c r="EQ96" s="95"/>
      <c r="ER96" s="95"/>
      <c r="ES96" s="95"/>
      <c r="ET96" s="95"/>
      <c r="EU96" s="95"/>
      <c r="EV96" s="95"/>
      <c r="EW96" s="95"/>
      <c r="EX96" s="95"/>
      <c r="EY96" s="95"/>
      <c r="EZ96" s="95"/>
      <c r="FA96" s="95"/>
      <c r="FB96" s="95"/>
      <c r="FC96" s="95"/>
      <c r="FD96" s="95"/>
      <c r="FE96" s="95"/>
      <c r="FF96" s="95"/>
      <c r="FG96" s="95"/>
      <c r="FH96" s="95"/>
      <c r="FI96" s="95"/>
      <c r="FJ96" s="95"/>
      <c r="FK96" s="95"/>
      <c r="FL96" s="95"/>
      <c r="FM96" s="95"/>
      <c r="FN96" s="95"/>
      <c r="FO96" s="95"/>
      <c r="FP96" s="95"/>
      <c r="FQ96" s="95"/>
      <c r="FR96" s="95"/>
      <c r="FS96" s="95"/>
      <c r="FT96" s="95"/>
      <c r="FU96" s="95"/>
      <c r="FV96" s="95"/>
      <c r="FW96" s="95"/>
      <c r="FX96" s="95"/>
      <c r="FY96" s="95"/>
      <c r="FZ96" s="95"/>
      <c r="GA96" s="95"/>
      <c r="GB96" s="95"/>
      <c r="GC96" s="95"/>
      <c r="GD96" s="95"/>
      <c r="GE96" s="95"/>
      <c r="GF96" s="95"/>
      <c r="GG96" s="95"/>
      <c r="GH96" s="95"/>
      <c r="GI96" s="95"/>
      <c r="GJ96" s="95"/>
      <c r="GK96" s="95"/>
      <c r="GL96" s="95"/>
      <c r="GM96" s="95"/>
      <c r="GN96" s="95"/>
      <c r="GO96" s="95"/>
      <c r="GP96" s="95"/>
      <c r="GQ96" s="95"/>
      <c r="GR96" s="95"/>
      <c r="GS96" s="95"/>
      <c r="GT96" s="95"/>
      <c r="GU96" s="95"/>
      <c r="GV96" s="95"/>
      <c r="GW96" s="95"/>
      <c r="GX96" s="95"/>
      <c r="GY96" s="95"/>
      <c r="GZ96" s="95"/>
      <c r="HA96" s="95"/>
      <c r="HB96" s="95"/>
      <c r="HC96" s="95"/>
      <c r="HD96" s="95"/>
      <c r="HE96" s="95"/>
      <c r="HF96" s="95"/>
      <c r="HG96" s="95"/>
      <c r="HH96" s="95"/>
      <c r="HI96" s="95"/>
      <c r="HJ96" s="95"/>
      <c r="HK96" s="95"/>
      <c r="HL96" s="95"/>
      <c r="HM96" s="95"/>
      <c r="HN96" s="95"/>
      <c r="HO96" s="95"/>
      <c r="HP96" s="95"/>
      <c r="HQ96" s="95"/>
      <c r="HR96" s="95"/>
      <c r="HS96" s="95"/>
      <c r="HT96" s="95"/>
      <c r="HU96" s="95"/>
      <c r="HV96" s="95"/>
      <c r="HW96" s="95"/>
      <c r="HX96" s="95"/>
      <c r="HY96" s="95"/>
      <c r="HZ96" s="95"/>
      <c r="IA96" s="95"/>
      <c r="IB96" s="95"/>
      <c r="IC96" s="95"/>
      <c r="ID96" s="95"/>
      <c r="IE96" s="95"/>
      <c r="IF96" s="95"/>
      <c r="IG96" s="95"/>
      <c r="IH96" s="95"/>
      <c r="II96" s="95"/>
      <c r="IJ96" s="95"/>
      <c r="IK96" s="95"/>
      <c r="IL96" s="95"/>
      <c r="IM96" s="95"/>
      <c r="IN96" s="95"/>
      <c r="IO96" s="95"/>
      <c r="IP96" s="95"/>
      <c r="IQ96" s="95"/>
      <c r="IR96" s="95"/>
      <c r="IS96" s="95"/>
      <c r="IT96" s="95"/>
      <c r="IU96" s="95"/>
      <c r="IV96" s="95"/>
      <c r="IW96" s="95"/>
      <c r="IX96" s="95"/>
      <c r="IY96" s="95"/>
      <c r="IZ96" s="95"/>
      <c r="JA96" s="95"/>
    </row>
    <row r="97" spans="3:10" ht="15.5" x14ac:dyDescent="0.35">
      <c r="C97" s="122" t="s">
        <v>126</v>
      </c>
      <c r="D97" s="168"/>
      <c r="E97" s="162"/>
      <c r="G97" s="161"/>
      <c r="H97" s="165"/>
      <c r="I97" s="166"/>
      <c r="J97" s="166"/>
    </row>
    <row r="98" spans="3:10" ht="15.5" x14ac:dyDescent="0.35">
      <c r="C98" s="167" t="s">
        <v>127</v>
      </c>
      <c r="D98" s="131"/>
      <c r="E98" s="132">
        <f>SUMIFS($H98:$J98,H$63:J$63,$D$60)</f>
        <v>0</v>
      </c>
      <c r="F98" s="131"/>
      <c r="G98" s="133" t="s">
        <v>101</v>
      </c>
      <c r="H98" s="134">
        <v>8.3022000830220026</v>
      </c>
      <c r="I98" s="134">
        <v>8.3022000830220026</v>
      </c>
      <c r="J98" s="134">
        <v>8.3022000830220026</v>
      </c>
    </row>
    <row r="99" spans="3:10" ht="15.5" x14ac:dyDescent="0.35">
      <c r="C99" s="114"/>
      <c r="D99" s="168"/>
      <c r="E99" s="162"/>
      <c r="G99" s="161"/>
      <c r="H99" s="165"/>
      <c r="I99" s="166"/>
      <c r="J99" s="166"/>
    </row>
    <row r="100" spans="3:10" ht="15.5" x14ac:dyDescent="0.35">
      <c r="C100" s="122" t="s">
        <v>128</v>
      </c>
      <c r="D100" s="168"/>
      <c r="E100" s="162"/>
      <c r="G100" s="161"/>
      <c r="H100" s="165"/>
      <c r="I100" s="166"/>
      <c r="J100" s="166"/>
    </row>
    <row r="101" spans="3:10" ht="15.5" x14ac:dyDescent="0.35">
      <c r="C101" s="167" t="s">
        <v>129</v>
      </c>
      <c r="D101" s="131"/>
      <c r="E101" s="132">
        <f>SUMIFS($H101:$J101,H$63:J$63,$D$60)</f>
        <v>0</v>
      </c>
      <c r="F101" s="131"/>
      <c r="G101" s="133" t="s">
        <v>101</v>
      </c>
      <c r="H101" s="134">
        <v>0.70082978246243577</v>
      </c>
      <c r="I101" s="134">
        <v>0.70082978246243577</v>
      </c>
      <c r="J101" s="134">
        <v>0.70082978246243577</v>
      </c>
    </row>
  </sheetData>
  <dataValidations count="1">
    <dataValidation type="list" allowBlank="1" showInputMessage="1" showErrorMessage="1" sqref="S96" xr:uid="{95523FB8-8BD0-4F88-A7F0-BA8DF65013FB}">
      <formula1>$Q$78:$Q$79</formula1>
    </dataValidation>
  </dataValidations>
  <pageMargins left="0.7" right="0.7" top="0.75" bottom="0.75" header="0.3" footer="0.3"/>
  <pageSetup scale="2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OPEX</vt:lpstr>
      <vt:lpstr>OPEX!Print_Area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Tynan</dc:creator>
  <cp:lastModifiedBy>Chris Tynan</cp:lastModifiedBy>
  <dcterms:created xsi:type="dcterms:W3CDTF">2026-02-25T15:30:51Z</dcterms:created>
  <dcterms:modified xsi:type="dcterms:W3CDTF">2026-02-25T15:34:18Z</dcterms:modified>
</cp:coreProperties>
</file>