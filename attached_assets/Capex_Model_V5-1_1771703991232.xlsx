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tables/table5.xml" ContentType="application/vnd.openxmlformats-officedocument.spreadsheetml.table+xml"/>
  <Override PartName="/xl/queryTables/queryTable3.xml" ContentType="application/vnd.openxmlformats-officedocument.spreadsheetml.queryTable+xml"/>
  <Override PartName="/xl/tables/table6.xml" ContentType="application/vnd.openxmlformats-officedocument.spreadsheetml.table+xml"/>
  <Override PartName="/xl/queryTables/queryTable4.xml" ContentType="application/vnd.openxmlformats-officedocument.spreadsheetml.query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burnhamdev.sharepoint.com/sites/Corp/Shared Documents/3. Ops &amp; Admin/16. Engr and Ops/4. Tools and Templates/4.3 CapEx OpEx Models/Capex Models/"/>
    </mc:Choice>
  </mc:AlternateContent>
  <xr:revisionPtr revIDLastSave="1320" documentId="8_{AFE76DF5-69E5-4C03-B5C5-8D49EE8B6589}" xr6:coauthVersionLast="47" xr6:coauthVersionMax="47" xr10:uidLastSave="{7EF900A8-6678-4728-B190-C992F5039C12}"/>
  <bookViews>
    <workbookView xWindow="-96" yWindow="-96" windowWidth="23232" windowHeight="13872" tabRatio="812" firstSheet="3" activeTab="4" xr2:uid="{F34B8F8C-E9C0-4357-9516-5806E500659C}"/>
  </bookViews>
  <sheets>
    <sheet name="400 SCFM" sheetId="1" state="hidden" r:id="rId1"/>
    <sheet name="800 SCFM" sheetId="3" state="hidden" r:id="rId2"/>
    <sheet name="1200 SCFM" sheetId="4" state="hidden" r:id="rId3"/>
    <sheet name="Instructions" sheetId="35" r:id="rId4"/>
    <sheet name="Pretty Picture" sheetId="12" r:id="rId5"/>
    <sheet name="Calculation Sheet" sheetId="24" r:id="rId6"/>
    <sheet name="Gas Upgrader" sheetId="14" r:id="rId7"/>
    <sheet name="Flare" sheetId="13" r:id="rId8"/>
    <sheet name="Compressor" sheetId="16" r:id="rId9"/>
    <sheet name="Chromatograph" sheetId="32" r:id="rId10"/>
    <sheet name="Generator" sheetId="20" r:id="rId11"/>
    <sheet name="Piping" sheetId="33" r:id="rId12"/>
    <sheet name="Engineering" sheetId="25" r:id="rId13"/>
    <sheet name="Inst. &amp; Controls" sheetId="31" r:id="rId14"/>
    <sheet name="CivStr" sheetId="30" r:id="rId15"/>
    <sheet name="Process Electrical" sheetId="26" r:id="rId16"/>
    <sheet name="Non-Process" sheetId="18" r:id="rId17"/>
    <sheet name="Sales Tax and Escalation" sheetId="28" r:id="rId18"/>
    <sheet name="Scatterplot" sheetId="29" r:id="rId19"/>
    <sheet name="Interconnect" sheetId="36" r:id="rId20"/>
    <sheet name="Commercial" sheetId="37" r:id="rId21"/>
    <sheet name="Finance Export" sheetId="38" r:id="rId22"/>
  </sheets>
  <definedNames>
    <definedName name="EstSumm_DirectsBeforePermit">#REF!</definedName>
    <definedName name="EstSumm_PermitAndFeesPct">#REF!</definedName>
    <definedName name="ExternalData_1" localSheetId="17" hidden="1">'Sales Tax and Escalation'!$K$25:$L$209</definedName>
    <definedName name="ExternalData_2" localSheetId="17" hidden="1">'Sales Tax and Escalation'!$M$25:$N$219</definedName>
    <definedName name="ExternalData_3" localSheetId="17" hidden="1">'Sales Tax and Escalation'!$P$49:$W$52</definedName>
    <definedName name="ExternalData_4" localSheetId="17" hidden="1">'Sales Tax and Escalation'!$P$54:$R$60</definedName>
    <definedName name="GUU_Unit_Size">"TextBox 1"</definedName>
    <definedName name="_xlnm.Print_Area" localSheetId="20">Commercial!$B$2:$V$42</definedName>
    <definedName name="_xlnm.Print_Area" localSheetId="4">'Pretty Picture'!$A$1:$W$41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36" i="12" l="1"/>
  <c r="F56" i="24"/>
  <c r="I41" i="18" l="1"/>
  <c r="J41" i="18"/>
  <c r="K41" i="18"/>
  <c r="K47" i="18"/>
  <c r="K46" i="18"/>
  <c r="K40" i="18"/>
  <c r="K39" i="18"/>
  <c r="K38" i="18"/>
  <c r="K37" i="18"/>
  <c r="K35" i="18"/>
  <c r="K34" i="18"/>
  <c r="K33" i="18"/>
  <c r="K32" i="18"/>
  <c r="K31" i="18"/>
  <c r="K30" i="18"/>
  <c r="K29" i="18"/>
  <c r="K28" i="18"/>
  <c r="K5" i="18"/>
  <c r="K6" i="18"/>
  <c r="K7" i="18"/>
  <c r="K8" i="18"/>
  <c r="K9" i="18"/>
  <c r="K10" i="18"/>
  <c r="K12" i="18"/>
  <c r="K13" i="18"/>
  <c r="K14" i="18"/>
  <c r="K15" i="18"/>
  <c r="K16" i="18"/>
  <c r="K17" i="18"/>
  <c r="K18" i="18"/>
  <c r="K19" i="18"/>
  <c r="K20" i="18"/>
  <c r="K21" i="18"/>
  <c r="K22" i="18"/>
  <c r="K23" i="18"/>
  <c r="K24" i="18"/>
  <c r="K4" i="18"/>
  <c r="S123" i="26"/>
  <c r="I16" i="18"/>
  <c r="J16" i="18"/>
  <c r="J15" i="18"/>
  <c r="I15" i="18"/>
  <c r="I6" i="30" l="1"/>
  <c r="K30" i="31"/>
  <c r="E9" i="25"/>
  <c r="F7" i="25"/>
  <c r="E7" i="25"/>
  <c r="E19" i="13"/>
  <c r="E18" i="13"/>
  <c r="E17" i="13"/>
  <c r="E15" i="13"/>
  <c r="E14" i="13"/>
  <c r="E8" i="13"/>
  <c r="E7" i="13"/>
  <c r="E6" i="13"/>
  <c r="E5" i="13"/>
  <c r="F5" i="13"/>
  <c r="E10" i="16"/>
  <c r="F8" i="13"/>
  <c r="F7" i="13"/>
  <c r="F6" i="13"/>
  <c r="K36" i="36" l="1"/>
  <c r="H36" i="36"/>
  <c r="K35" i="36"/>
  <c r="J35" i="36"/>
  <c r="K34" i="36"/>
  <c r="H34" i="36"/>
  <c r="I39" i="29"/>
  <c r="G39" i="29"/>
  <c r="G38" i="29"/>
  <c r="I38" i="29"/>
  <c r="H27" i="29"/>
  <c r="K8" i="30" l="1"/>
  <c r="K9" i="30"/>
  <c r="K10" i="30"/>
  <c r="K11" i="30"/>
  <c r="K12" i="30"/>
  <c r="K13" i="30"/>
  <c r="K5" i="30"/>
  <c r="I37" i="29"/>
  <c r="B7" i="38" l="1"/>
  <c r="T27" i="26"/>
  <c r="T122" i="26"/>
  <c r="S122" i="26"/>
  <c r="T117" i="26"/>
  <c r="T112" i="26"/>
  <c r="T120" i="26"/>
  <c r="T119" i="26"/>
  <c r="T115" i="26"/>
  <c r="T114" i="26"/>
  <c r="S117" i="26"/>
  <c r="S120" i="26"/>
  <c r="S119" i="26"/>
  <c r="Q16" i="26"/>
  <c r="P16" i="26"/>
  <c r="O16" i="26"/>
  <c r="J16" i="26"/>
  <c r="N16" i="26" s="1"/>
  <c r="I16" i="26"/>
  <c r="G16" i="26"/>
  <c r="H31" i="38"/>
  <c r="I31" i="38"/>
  <c r="J31" i="38"/>
  <c r="H30" i="38"/>
  <c r="I30" i="38"/>
  <c r="J30" i="38"/>
  <c r="D29" i="38"/>
  <c r="D32" i="38" s="1"/>
  <c r="E29" i="38"/>
  <c r="E32" i="38" s="1"/>
  <c r="C29" i="38"/>
  <c r="C32" i="38" s="1"/>
  <c r="E28" i="38"/>
  <c r="D28" i="38"/>
  <c r="C28" i="38"/>
  <c r="E27" i="38"/>
  <c r="D27" i="38"/>
  <c r="C27" i="38"/>
  <c r="E26" i="38"/>
  <c r="D26" i="38"/>
  <c r="C26" i="38"/>
  <c r="E25" i="38"/>
  <c r="D25" i="38"/>
  <c r="C25" i="38"/>
  <c r="E24" i="38"/>
  <c r="D24" i="38"/>
  <c r="C24" i="38"/>
  <c r="E23" i="38"/>
  <c r="D23" i="38"/>
  <c r="C23" i="38"/>
  <c r="E22" i="38"/>
  <c r="D22" i="38"/>
  <c r="C22" i="38"/>
  <c r="E21" i="38"/>
  <c r="D21" i="38"/>
  <c r="C21" i="38"/>
  <c r="E20" i="38"/>
  <c r="D20" i="38"/>
  <c r="C20" i="38"/>
  <c r="E19" i="38"/>
  <c r="D19" i="38"/>
  <c r="C19" i="38"/>
  <c r="E18" i="38"/>
  <c r="D18" i="38"/>
  <c r="C18" i="38"/>
  <c r="E17" i="38"/>
  <c r="D17" i="38"/>
  <c r="C17" i="38"/>
  <c r="E16" i="38"/>
  <c r="D16" i="38"/>
  <c r="C16" i="38"/>
  <c r="E15" i="38"/>
  <c r="D15" i="38"/>
  <c r="C15" i="38"/>
  <c r="E14" i="38"/>
  <c r="D14" i="38"/>
  <c r="C14" i="38"/>
  <c r="E13" i="38"/>
  <c r="D13" i="38"/>
  <c r="C13" i="38"/>
  <c r="E12" i="38"/>
  <c r="D12" i="38"/>
  <c r="C12" i="38"/>
  <c r="E11" i="38"/>
  <c r="D11" i="38"/>
  <c r="C11" i="38"/>
  <c r="E10" i="38"/>
  <c r="D10" i="38"/>
  <c r="C10" i="38"/>
  <c r="E9" i="38"/>
  <c r="D9" i="38"/>
  <c r="C9" i="38"/>
  <c r="E8" i="38"/>
  <c r="D8" i="38"/>
  <c r="C8" i="38"/>
  <c r="E7" i="38"/>
  <c r="D7" i="38"/>
  <c r="C7" i="38"/>
  <c r="E6" i="38"/>
  <c r="D6" i="38"/>
  <c r="C6" i="38"/>
  <c r="E5" i="38"/>
  <c r="D5" i="38"/>
  <c r="C5" i="38"/>
  <c r="E4" i="38"/>
  <c r="D4" i="38"/>
  <c r="C4" i="38"/>
  <c r="E3" i="38"/>
  <c r="D3" i="38"/>
  <c r="C3" i="38"/>
  <c r="E2" i="38"/>
  <c r="D2" i="38"/>
  <c r="C2" i="38"/>
  <c r="A24" i="38"/>
  <c r="B24" i="38"/>
  <c r="A25" i="38"/>
  <c r="B25" i="38"/>
  <c r="A26" i="38"/>
  <c r="A27" i="38"/>
  <c r="AB36" i="12"/>
  <c r="AB27" i="12"/>
  <c r="AB26" i="12"/>
  <c r="AB19" i="12"/>
  <c r="AB18" i="12"/>
  <c r="AB8" i="12"/>
  <c r="AA39" i="12"/>
  <c r="AA38" i="12"/>
  <c r="AA37" i="12"/>
  <c r="F7" i="38" s="1"/>
  <c r="AA36" i="12"/>
  <c r="F6" i="38" s="1"/>
  <c r="AA35" i="12"/>
  <c r="AA34" i="12"/>
  <c r="AA33" i="12"/>
  <c r="AA32" i="12"/>
  <c r="AA30" i="12"/>
  <c r="AA29" i="12"/>
  <c r="AA28" i="12"/>
  <c r="AA27" i="12"/>
  <c r="AA26" i="12"/>
  <c r="AA25" i="12"/>
  <c r="AA24" i="12"/>
  <c r="AA23" i="12"/>
  <c r="AA22" i="12"/>
  <c r="AA21" i="12"/>
  <c r="AA20" i="12"/>
  <c r="AA19" i="12"/>
  <c r="AA18" i="12"/>
  <c r="AA17" i="12"/>
  <c r="AA16" i="12"/>
  <c r="AA15" i="12"/>
  <c r="AA14" i="12"/>
  <c r="AA13" i="12"/>
  <c r="AA12" i="12"/>
  <c r="AA11" i="12"/>
  <c r="AA10" i="12"/>
  <c r="AA9" i="12"/>
  <c r="AA8" i="12"/>
  <c r="AA7" i="12"/>
  <c r="AA6" i="12"/>
  <c r="AA5" i="12"/>
  <c r="H32" i="36"/>
  <c r="K32" i="36" s="1"/>
  <c r="P32" i="36" s="1"/>
  <c r="T28" i="36"/>
  <c r="T29" i="36"/>
  <c r="T30" i="36"/>
  <c r="T31" i="36"/>
  <c r="T32" i="36"/>
  <c r="T33" i="36"/>
  <c r="T34" i="36"/>
  <c r="T35" i="36"/>
  <c r="T36" i="36"/>
  <c r="T37" i="36"/>
  <c r="T38" i="36"/>
  <c r="T39" i="36"/>
  <c r="T40" i="36"/>
  <c r="T41" i="36"/>
  <c r="T42" i="36"/>
  <c r="T43" i="36"/>
  <c r="T44" i="36"/>
  <c r="T45" i="36"/>
  <c r="T46" i="36"/>
  <c r="T47" i="36"/>
  <c r="T48" i="36"/>
  <c r="T49" i="36"/>
  <c r="S29" i="36"/>
  <c r="S30" i="36"/>
  <c r="S31" i="36"/>
  <c r="S32" i="36"/>
  <c r="S33" i="36"/>
  <c r="S34" i="36"/>
  <c r="S35" i="36"/>
  <c r="S36" i="36"/>
  <c r="S37" i="36"/>
  <c r="S38" i="36"/>
  <c r="S39" i="36"/>
  <c r="S40" i="36"/>
  <c r="S41" i="36"/>
  <c r="S42" i="36"/>
  <c r="S43" i="36"/>
  <c r="S44" i="36"/>
  <c r="S45" i="36"/>
  <c r="S46" i="36"/>
  <c r="S47" i="36"/>
  <c r="S48" i="36"/>
  <c r="S49" i="36"/>
  <c r="R28" i="36"/>
  <c r="R29" i="36"/>
  <c r="R30" i="36"/>
  <c r="R31" i="36"/>
  <c r="R32" i="36"/>
  <c r="R33" i="36"/>
  <c r="R34" i="36"/>
  <c r="R35" i="36"/>
  <c r="R36" i="36"/>
  <c r="R37" i="36"/>
  <c r="R38" i="36"/>
  <c r="R39" i="36"/>
  <c r="R40" i="36"/>
  <c r="R41" i="36"/>
  <c r="R42" i="36"/>
  <c r="R43" i="36"/>
  <c r="R44" i="36"/>
  <c r="R45" i="36"/>
  <c r="R46" i="36"/>
  <c r="R47" i="36"/>
  <c r="R48" i="36"/>
  <c r="R49" i="36"/>
  <c r="Q28" i="36"/>
  <c r="Q29" i="36"/>
  <c r="Q30" i="36"/>
  <c r="Q31" i="36"/>
  <c r="Q32" i="36"/>
  <c r="Q33" i="36"/>
  <c r="Q34" i="36"/>
  <c r="Q35" i="36"/>
  <c r="Q36" i="36"/>
  <c r="Q37" i="36"/>
  <c r="Q38" i="36"/>
  <c r="Q39" i="36"/>
  <c r="Q40" i="36"/>
  <c r="Q41" i="36"/>
  <c r="Q42" i="36"/>
  <c r="Q43" i="36"/>
  <c r="Q44" i="36"/>
  <c r="Q45" i="36"/>
  <c r="Q46" i="36"/>
  <c r="Q47" i="36"/>
  <c r="Q48" i="36"/>
  <c r="Q49" i="36"/>
  <c r="P28" i="36"/>
  <c r="P33" i="36"/>
  <c r="P34" i="36"/>
  <c r="P35" i="36"/>
  <c r="P36" i="36"/>
  <c r="P37" i="36"/>
  <c r="P38" i="36"/>
  <c r="P39" i="36"/>
  <c r="P40" i="36"/>
  <c r="P41" i="36"/>
  <c r="P42" i="36"/>
  <c r="P43" i="36"/>
  <c r="P44" i="36"/>
  <c r="P45" i="36"/>
  <c r="P46" i="36"/>
  <c r="P47" i="36"/>
  <c r="P48" i="36"/>
  <c r="P49" i="36"/>
  <c r="T27" i="36"/>
  <c r="S27" i="36"/>
  <c r="R27" i="36"/>
  <c r="Q27" i="36"/>
  <c r="P27" i="36"/>
  <c r="F43" i="24"/>
  <c r="E39" i="24"/>
  <c r="X20" i="12"/>
  <c r="X16" i="12" s="1"/>
  <c r="R45" i="28"/>
  <c r="S45" i="28" s="1"/>
  <c r="R46" i="28"/>
  <c r="S46" i="28" s="1"/>
  <c r="Q46" i="28"/>
  <c r="Q45" i="28"/>
  <c r="F8" i="38"/>
  <c r="H2" i="38"/>
  <c r="I2" i="38"/>
  <c r="J2" i="38"/>
  <c r="H3" i="38"/>
  <c r="I3" i="38"/>
  <c r="J3" i="38"/>
  <c r="H4" i="38"/>
  <c r="I4" i="38"/>
  <c r="J4" i="38"/>
  <c r="H5" i="38"/>
  <c r="I5" i="38"/>
  <c r="J5" i="38"/>
  <c r="H6" i="38"/>
  <c r="I6" i="38"/>
  <c r="J6" i="38"/>
  <c r="H7" i="38"/>
  <c r="I7" i="38"/>
  <c r="J7" i="38"/>
  <c r="H8" i="38"/>
  <c r="I8" i="38"/>
  <c r="J8" i="38"/>
  <c r="F3" i="38"/>
  <c r="F4" i="38"/>
  <c r="F5" i="38"/>
  <c r="G6" i="38"/>
  <c r="S32" i="37"/>
  <c r="S39" i="37" s="1"/>
  <c r="S40" i="37" s="1"/>
  <c r="F2" i="38"/>
  <c r="AA4" i="12"/>
  <c r="E51" i="24"/>
  <c r="E53" i="24"/>
  <c r="E57" i="24"/>
  <c r="G51" i="24"/>
  <c r="G53" i="24"/>
  <c r="G54" i="24"/>
  <c r="G57" i="24"/>
  <c r="G50" i="24"/>
  <c r="F58" i="24"/>
  <c r="F50" i="24"/>
  <c r="V32" i="12" s="1"/>
  <c r="AB32" i="12" s="1"/>
  <c r="G29" i="36"/>
  <c r="K30" i="36"/>
  <c r="P30" i="36" s="1"/>
  <c r="H31" i="36"/>
  <c r="K31" i="36" s="1"/>
  <c r="P31" i="36" s="1"/>
  <c r="O30" i="36"/>
  <c r="H28" i="36"/>
  <c r="K28" i="36" s="1"/>
  <c r="S28" i="36" s="1"/>
  <c r="H29" i="36"/>
  <c r="K27" i="36"/>
  <c r="A2" i="38"/>
  <c r="A3" i="38"/>
  <c r="A4" i="38"/>
  <c r="A5" i="38"/>
  <c r="A6" i="38"/>
  <c r="B6" i="38"/>
  <c r="A7" i="38"/>
  <c r="A8" i="38"/>
  <c r="A9" i="38"/>
  <c r="A10" i="38"/>
  <c r="A11" i="38"/>
  <c r="A12" i="38"/>
  <c r="A13" i="38"/>
  <c r="A14" i="38"/>
  <c r="A15" i="38"/>
  <c r="A16" i="38"/>
  <c r="B16" i="38"/>
  <c r="A17" i="38"/>
  <c r="B17" i="38"/>
  <c r="A18" i="38"/>
  <c r="A19" i="38"/>
  <c r="A20" i="38"/>
  <c r="A21" i="38"/>
  <c r="A22" i="38"/>
  <c r="A23" i="38"/>
  <c r="A28" i="38"/>
  <c r="B1" i="38"/>
  <c r="G1" i="38" s="1"/>
  <c r="A1" i="38"/>
  <c r="K2" i="38"/>
  <c r="I27" i="36"/>
  <c r="J27" i="36"/>
  <c r="R40" i="37"/>
  <c r="U24" i="37"/>
  <c r="U25" i="37"/>
  <c r="U26" i="37"/>
  <c r="R9" i="37"/>
  <c r="T9" i="37"/>
  <c r="R10" i="37"/>
  <c r="U10" i="37"/>
  <c r="R11" i="37"/>
  <c r="U11" i="37"/>
  <c r="R12" i="37"/>
  <c r="U12" i="37"/>
  <c r="R13" i="37"/>
  <c r="U13" i="37"/>
  <c r="O48" i="36"/>
  <c r="O47" i="36"/>
  <c r="O46" i="36"/>
  <c r="O45" i="36"/>
  <c r="O44" i="36"/>
  <c r="O43" i="36"/>
  <c r="O42" i="36"/>
  <c r="O41" i="36"/>
  <c r="O40" i="36"/>
  <c r="O39" i="36"/>
  <c r="O38" i="36"/>
  <c r="O37" i="36"/>
  <c r="O36" i="36"/>
  <c r="O35" i="36"/>
  <c r="O34" i="36"/>
  <c r="O33" i="36"/>
  <c r="O32" i="36"/>
  <c r="O31" i="36"/>
  <c r="O29" i="36"/>
  <c r="O28" i="36"/>
  <c r="O27" i="36"/>
  <c r="U28" i="29"/>
  <c r="U29" i="29"/>
  <c r="U30" i="29"/>
  <c r="U31" i="29"/>
  <c r="U32" i="29"/>
  <c r="U33" i="29"/>
  <c r="U34" i="29"/>
  <c r="U35" i="29"/>
  <c r="U36" i="29"/>
  <c r="U37" i="29"/>
  <c r="U38" i="29"/>
  <c r="U39" i="29"/>
  <c r="U40" i="29"/>
  <c r="U41" i="29"/>
  <c r="U42" i="29"/>
  <c r="U43" i="29"/>
  <c r="U44" i="29"/>
  <c r="U45" i="29"/>
  <c r="U46" i="29"/>
  <c r="U47" i="29"/>
  <c r="U48" i="29"/>
  <c r="U49" i="29"/>
  <c r="U27" i="29"/>
  <c r="H30" i="29"/>
  <c r="I30" i="29"/>
  <c r="I29" i="29"/>
  <c r="I28" i="29"/>
  <c r="I27" i="29"/>
  <c r="I36" i="29"/>
  <c r="J33" i="29" s="1"/>
  <c r="I35" i="29"/>
  <c r="J32" i="29" s="1"/>
  <c r="I34" i="29"/>
  <c r="J31" i="29" s="1"/>
  <c r="F13" i="24"/>
  <c r="F12" i="24"/>
  <c r="J28" i="31"/>
  <c r="K28" i="31" s="1"/>
  <c r="H33" i="31"/>
  <c r="K33" i="31" s="1"/>
  <c r="H32" i="31"/>
  <c r="K32" i="31" s="1"/>
  <c r="K35" i="31" l="1"/>
  <c r="F24" i="24"/>
  <c r="F22" i="24"/>
  <c r="F25" i="24"/>
  <c r="F44" i="24"/>
  <c r="V28" i="12" s="1"/>
  <c r="B26" i="38" s="1"/>
  <c r="AB9" i="12"/>
  <c r="R16" i="26"/>
  <c r="D31" i="38"/>
  <c r="C31" i="38"/>
  <c r="E31" i="38"/>
  <c r="H9" i="38"/>
  <c r="H29" i="38" s="1"/>
  <c r="H32" i="38" s="1"/>
  <c r="J9" i="38"/>
  <c r="J29" i="38" s="1"/>
  <c r="J32" i="38" s="1"/>
  <c r="I9" i="38"/>
  <c r="I29" i="38" s="1"/>
  <c r="I32" i="38" s="1"/>
  <c r="F7" i="24"/>
  <c r="F6" i="24"/>
  <c r="K29" i="36"/>
  <c r="P29" i="36" s="1"/>
  <c r="J29" i="36"/>
  <c r="J49" i="36" s="1"/>
  <c r="S34" i="37"/>
  <c r="S35" i="37" s="1"/>
  <c r="S38" i="37" s="1"/>
  <c r="S41" i="37" s="1"/>
  <c r="G27" i="37" s="1"/>
  <c r="U9" i="37"/>
  <c r="U14" i="37" s="1"/>
  <c r="F52" i="24" s="1"/>
  <c r="V34" i="12" s="1"/>
  <c r="AB34" i="12" s="1"/>
  <c r="U27" i="37"/>
  <c r="F55" i="24" s="1"/>
  <c r="V37" i="12" s="1"/>
  <c r="AB37" i="12" s="1"/>
  <c r="G7" i="38" s="1"/>
  <c r="C43" i="30"/>
  <c r="G43" i="30" s="1"/>
  <c r="C42" i="30"/>
  <c r="G42" i="30" s="1"/>
  <c r="C55" i="18"/>
  <c r="G55" i="18" s="1"/>
  <c r="C54" i="18"/>
  <c r="G54" i="18" s="1"/>
  <c r="C17" i="25"/>
  <c r="E17" i="25" s="1"/>
  <c r="C18" i="25"/>
  <c r="E18" i="25" s="1"/>
  <c r="C131" i="26"/>
  <c r="G131" i="26" s="1"/>
  <c r="C130" i="26"/>
  <c r="G130" i="26" s="1"/>
  <c r="C43" i="31"/>
  <c r="H43" i="31" s="1"/>
  <c r="C42" i="31"/>
  <c r="H42" i="31" s="1"/>
  <c r="C19" i="33"/>
  <c r="H19" i="33" s="1"/>
  <c r="C18" i="33"/>
  <c r="H18" i="33" s="1"/>
  <c r="J14" i="30"/>
  <c r="E7" i="33"/>
  <c r="E5" i="33"/>
  <c r="D8" i="33"/>
  <c r="E8" i="33" s="1"/>
  <c r="D9" i="32"/>
  <c r="E9" i="32" s="1"/>
  <c r="J34" i="30"/>
  <c r="I34" i="30"/>
  <c r="J33" i="30"/>
  <c r="J37" i="30" s="1"/>
  <c r="I33" i="30"/>
  <c r="I28" i="30"/>
  <c r="J25" i="30"/>
  <c r="J31" i="30" s="1"/>
  <c r="I27" i="30"/>
  <c r="I26" i="30"/>
  <c r="I25" i="30"/>
  <c r="J12" i="30"/>
  <c r="I12" i="30"/>
  <c r="D13" i="30"/>
  <c r="I13" i="30" s="1"/>
  <c r="I20" i="30"/>
  <c r="J20" i="30"/>
  <c r="I8" i="30"/>
  <c r="H7" i="30"/>
  <c r="K7" i="30" s="1"/>
  <c r="J11" i="30"/>
  <c r="I11" i="30"/>
  <c r="J13" i="30"/>
  <c r="J5" i="30"/>
  <c r="J8" i="30"/>
  <c r="J9" i="30"/>
  <c r="J10" i="30"/>
  <c r="I5" i="30"/>
  <c r="I9" i="30"/>
  <c r="I10" i="30"/>
  <c r="K37" i="30"/>
  <c r="K31" i="30"/>
  <c r="V28" i="29"/>
  <c r="V29" i="29"/>
  <c r="V30" i="29"/>
  <c r="V31" i="29"/>
  <c r="V32" i="29"/>
  <c r="V33" i="29"/>
  <c r="V34" i="29"/>
  <c r="V35" i="29"/>
  <c r="V36" i="29"/>
  <c r="V37" i="29"/>
  <c r="V38" i="29"/>
  <c r="V39" i="29"/>
  <c r="V40" i="29"/>
  <c r="V41" i="29"/>
  <c r="V42" i="29"/>
  <c r="V43" i="29"/>
  <c r="V44" i="29"/>
  <c r="V45" i="29"/>
  <c r="V46" i="29"/>
  <c r="V47" i="29"/>
  <c r="V48" i="29"/>
  <c r="V49" i="29"/>
  <c r="T28" i="29"/>
  <c r="T29" i="29"/>
  <c r="T30" i="29"/>
  <c r="T31" i="29"/>
  <c r="T32" i="29"/>
  <c r="T33" i="29"/>
  <c r="T34" i="29"/>
  <c r="T35" i="29"/>
  <c r="T36" i="29"/>
  <c r="T37" i="29"/>
  <c r="T38" i="29"/>
  <c r="T39" i="29"/>
  <c r="T40" i="29"/>
  <c r="T41" i="29"/>
  <c r="T42" i="29"/>
  <c r="T43" i="29"/>
  <c r="T44" i="29"/>
  <c r="T45" i="29"/>
  <c r="T46" i="29"/>
  <c r="T47" i="29"/>
  <c r="T48" i="29"/>
  <c r="T49" i="29"/>
  <c r="S28" i="29"/>
  <c r="S29" i="29"/>
  <c r="S30" i="29"/>
  <c r="S31" i="29"/>
  <c r="S32" i="29"/>
  <c r="S33" i="29"/>
  <c r="S34" i="29"/>
  <c r="S35" i="29"/>
  <c r="S36" i="29"/>
  <c r="S37" i="29"/>
  <c r="S38" i="29"/>
  <c r="S39" i="29"/>
  <c r="S40" i="29"/>
  <c r="S41" i="29"/>
  <c r="S42" i="29"/>
  <c r="S43" i="29"/>
  <c r="S44" i="29"/>
  <c r="S45" i="29"/>
  <c r="S46" i="29"/>
  <c r="S47" i="29"/>
  <c r="S48" i="29"/>
  <c r="S49" i="29"/>
  <c r="R28" i="29"/>
  <c r="R29" i="29"/>
  <c r="R30" i="29"/>
  <c r="R31" i="29"/>
  <c r="R32" i="29"/>
  <c r="R33" i="29"/>
  <c r="R34" i="29"/>
  <c r="R35" i="29"/>
  <c r="R36" i="29"/>
  <c r="R37" i="29"/>
  <c r="R38" i="29"/>
  <c r="R39" i="29"/>
  <c r="R40" i="29"/>
  <c r="R41" i="29"/>
  <c r="R42" i="29"/>
  <c r="R43" i="29"/>
  <c r="R44" i="29"/>
  <c r="R45" i="29"/>
  <c r="R46" i="29"/>
  <c r="R47" i="29"/>
  <c r="R48" i="29"/>
  <c r="R49" i="29"/>
  <c r="Q28" i="29"/>
  <c r="Q29" i="29"/>
  <c r="Q30" i="29"/>
  <c r="Q31" i="29"/>
  <c r="Q32" i="29"/>
  <c r="Q33" i="29"/>
  <c r="Q34" i="29"/>
  <c r="Q35" i="29"/>
  <c r="Q36" i="29"/>
  <c r="Q37" i="29"/>
  <c r="Q38" i="29"/>
  <c r="Q39" i="29"/>
  <c r="Q40" i="29"/>
  <c r="Q41" i="29"/>
  <c r="Q42" i="29"/>
  <c r="Q43" i="29"/>
  <c r="Q44" i="29"/>
  <c r="Q45" i="29"/>
  <c r="Q46" i="29"/>
  <c r="Q47" i="29"/>
  <c r="Q48" i="29"/>
  <c r="Q49" i="29"/>
  <c r="S27" i="29"/>
  <c r="T27" i="29"/>
  <c r="V27" i="29"/>
  <c r="R27" i="29"/>
  <c r="Q27" i="29"/>
  <c r="P30" i="29"/>
  <c r="P31" i="29"/>
  <c r="P32" i="29"/>
  <c r="P33" i="29"/>
  <c r="P34" i="29"/>
  <c r="P35" i="29"/>
  <c r="P36" i="29"/>
  <c r="P37" i="29"/>
  <c r="P38" i="29"/>
  <c r="P39" i="29"/>
  <c r="P40" i="29"/>
  <c r="P41" i="29"/>
  <c r="P42" i="29"/>
  <c r="P43" i="29"/>
  <c r="P44" i="29"/>
  <c r="P45" i="29"/>
  <c r="P46" i="29"/>
  <c r="P47" i="29"/>
  <c r="P48" i="29"/>
  <c r="P49" i="29"/>
  <c r="P29" i="29"/>
  <c r="P28" i="29"/>
  <c r="P27" i="29"/>
  <c r="E46" i="24"/>
  <c r="D9" i="20"/>
  <c r="J119" i="26"/>
  <c r="J114" i="26"/>
  <c r="J110" i="26"/>
  <c r="J109" i="26"/>
  <c r="J108" i="26"/>
  <c r="J107" i="26"/>
  <c r="J106" i="26"/>
  <c r="J105" i="26"/>
  <c r="J103" i="26"/>
  <c r="J102" i="26"/>
  <c r="J101" i="26"/>
  <c r="J100" i="26"/>
  <c r="J99" i="26"/>
  <c r="J98" i="26"/>
  <c r="J96" i="26"/>
  <c r="J95" i="26"/>
  <c r="J94" i="26"/>
  <c r="J93" i="26"/>
  <c r="J92" i="26"/>
  <c r="J90" i="26"/>
  <c r="J89" i="26"/>
  <c r="J88" i="26"/>
  <c r="J87" i="26"/>
  <c r="J86" i="26"/>
  <c r="J84" i="26"/>
  <c r="J83" i="26"/>
  <c r="J82" i="26"/>
  <c r="J81" i="26"/>
  <c r="J80" i="26"/>
  <c r="J78" i="26"/>
  <c r="J77" i="26"/>
  <c r="J76" i="26"/>
  <c r="J75" i="26"/>
  <c r="J74" i="26"/>
  <c r="J73" i="26"/>
  <c r="J72" i="26"/>
  <c r="J71" i="26"/>
  <c r="J69" i="26"/>
  <c r="J68" i="26"/>
  <c r="J67" i="26"/>
  <c r="J66" i="26"/>
  <c r="J65" i="26"/>
  <c r="J63" i="26"/>
  <c r="J62" i="26"/>
  <c r="J61" i="26"/>
  <c r="J60" i="26"/>
  <c r="J59" i="26"/>
  <c r="J57" i="26"/>
  <c r="J56" i="26"/>
  <c r="J55" i="26"/>
  <c r="J54" i="26"/>
  <c r="J53" i="26"/>
  <c r="J51" i="26"/>
  <c r="J50" i="26"/>
  <c r="J49" i="26"/>
  <c r="J48" i="26"/>
  <c r="J47" i="26"/>
  <c r="J45" i="26"/>
  <c r="J44" i="26"/>
  <c r="J43" i="26"/>
  <c r="J42" i="26"/>
  <c r="J41" i="26"/>
  <c r="J40" i="26"/>
  <c r="J39" i="26"/>
  <c r="J38" i="26"/>
  <c r="J36" i="26"/>
  <c r="J35" i="26"/>
  <c r="J34" i="26"/>
  <c r="J33" i="26"/>
  <c r="J32" i="26"/>
  <c r="J31" i="26"/>
  <c r="J30" i="26"/>
  <c r="J25" i="26"/>
  <c r="J24" i="26"/>
  <c r="J23" i="26"/>
  <c r="J22" i="26"/>
  <c r="J21" i="26"/>
  <c r="J20" i="26"/>
  <c r="J19" i="26"/>
  <c r="J18" i="26"/>
  <c r="J17" i="26"/>
  <c r="J15" i="26"/>
  <c r="J14" i="26"/>
  <c r="J13" i="26"/>
  <c r="J12" i="26"/>
  <c r="J11" i="26"/>
  <c r="J7" i="26"/>
  <c r="J6" i="26"/>
  <c r="J5" i="26"/>
  <c r="Q119" i="26"/>
  <c r="P119" i="26"/>
  <c r="O119" i="26"/>
  <c r="G119" i="26"/>
  <c r="I119" i="26" s="1"/>
  <c r="Q115" i="26"/>
  <c r="P115" i="26"/>
  <c r="Q114" i="26"/>
  <c r="P114" i="26"/>
  <c r="O114" i="26"/>
  <c r="G114" i="26"/>
  <c r="I114" i="26" s="1"/>
  <c r="I117" i="26" s="1"/>
  <c r="Q69" i="26"/>
  <c r="P69" i="26"/>
  <c r="O69" i="26"/>
  <c r="G69" i="26"/>
  <c r="I69" i="26" s="1"/>
  <c r="Q68" i="26"/>
  <c r="P68" i="26"/>
  <c r="O68" i="26"/>
  <c r="G68" i="26"/>
  <c r="I68" i="26" s="1"/>
  <c r="Q67" i="26"/>
  <c r="P67" i="26"/>
  <c r="O67" i="26"/>
  <c r="G67" i="26"/>
  <c r="I67" i="26" s="1"/>
  <c r="Q66" i="26"/>
  <c r="P66" i="26"/>
  <c r="O66" i="26"/>
  <c r="G66" i="26"/>
  <c r="I66" i="26" s="1"/>
  <c r="D109" i="26"/>
  <c r="O109" i="26" s="1"/>
  <c r="D108" i="26"/>
  <c r="G108" i="26" s="1"/>
  <c r="I108" i="26" s="1"/>
  <c r="D106" i="26"/>
  <c r="Q106" i="26" s="1"/>
  <c r="D105" i="26"/>
  <c r="G105" i="26" s="1"/>
  <c r="I105" i="26" s="1"/>
  <c r="D102" i="26"/>
  <c r="Q102" i="26" s="1"/>
  <c r="D101" i="26"/>
  <c r="G101" i="26" s="1"/>
  <c r="I101" i="26" s="1"/>
  <c r="D99" i="26"/>
  <c r="G99" i="26" s="1"/>
  <c r="I99" i="26" s="1"/>
  <c r="D98" i="26"/>
  <c r="P98" i="26" s="1"/>
  <c r="Q96" i="26"/>
  <c r="P96" i="26"/>
  <c r="O96" i="26"/>
  <c r="G96" i="26"/>
  <c r="I96" i="26" s="1"/>
  <c r="Q95" i="26"/>
  <c r="P95" i="26"/>
  <c r="O95" i="26"/>
  <c r="G95" i="26"/>
  <c r="I95" i="26" s="1"/>
  <c r="Q94" i="26"/>
  <c r="P94" i="26"/>
  <c r="O94" i="26"/>
  <c r="G94" i="26"/>
  <c r="I94" i="26" s="1"/>
  <c r="Q93" i="26"/>
  <c r="P93" i="26"/>
  <c r="O93" i="26"/>
  <c r="G93" i="26"/>
  <c r="I93" i="26" s="1"/>
  <c r="Q92" i="26"/>
  <c r="P92" i="26"/>
  <c r="O92" i="26"/>
  <c r="G92" i="26"/>
  <c r="I92" i="26" s="1"/>
  <c r="Q90" i="26"/>
  <c r="P90" i="26"/>
  <c r="O90" i="26"/>
  <c r="G90" i="26"/>
  <c r="I90" i="26" s="1"/>
  <c r="Q89" i="26"/>
  <c r="P89" i="26"/>
  <c r="O89" i="26"/>
  <c r="G89" i="26"/>
  <c r="I89" i="26" s="1"/>
  <c r="Q88" i="26"/>
  <c r="P88" i="26"/>
  <c r="O88" i="26"/>
  <c r="G88" i="26"/>
  <c r="I88" i="26" s="1"/>
  <c r="Q87" i="26"/>
  <c r="P87" i="26"/>
  <c r="O87" i="26"/>
  <c r="G87" i="26"/>
  <c r="I87" i="26" s="1"/>
  <c r="Q86" i="26"/>
  <c r="P86" i="26"/>
  <c r="O86" i="26"/>
  <c r="G86" i="26"/>
  <c r="I86" i="26" s="1"/>
  <c r="Q84" i="26"/>
  <c r="P84" i="26"/>
  <c r="O84" i="26"/>
  <c r="G84" i="26"/>
  <c r="I84" i="26" s="1"/>
  <c r="Q83" i="26"/>
  <c r="P83" i="26"/>
  <c r="O83" i="26"/>
  <c r="G83" i="26"/>
  <c r="I83" i="26" s="1"/>
  <c r="Q82" i="26"/>
  <c r="P82" i="26"/>
  <c r="O82" i="26"/>
  <c r="G82" i="26"/>
  <c r="I82" i="26" s="1"/>
  <c r="Q81" i="26"/>
  <c r="P81" i="26"/>
  <c r="O81" i="26"/>
  <c r="G81" i="26"/>
  <c r="I81" i="26" s="1"/>
  <c r="Q80" i="26"/>
  <c r="P80" i="26"/>
  <c r="O80" i="26"/>
  <c r="G80" i="26"/>
  <c r="I80" i="26" s="1"/>
  <c r="Q78" i="26"/>
  <c r="P78" i="26"/>
  <c r="O78" i="26"/>
  <c r="G78" i="26"/>
  <c r="I78" i="26" s="1"/>
  <c r="Q77" i="26"/>
  <c r="P77" i="26"/>
  <c r="O77" i="26"/>
  <c r="G77" i="26"/>
  <c r="I77" i="26" s="1"/>
  <c r="Q76" i="26"/>
  <c r="P76" i="26"/>
  <c r="O76" i="26"/>
  <c r="G76" i="26"/>
  <c r="I76" i="26" s="1"/>
  <c r="Q75" i="26"/>
  <c r="P75" i="26"/>
  <c r="O75" i="26"/>
  <c r="G75" i="26"/>
  <c r="I75" i="26" s="1"/>
  <c r="D74" i="26"/>
  <c r="G74" i="26" s="1"/>
  <c r="I74" i="26" s="1"/>
  <c r="G73" i="26"/>
  <c r="I73" i="26" s="1"/>
  <c r="G72" i="26"/>
  <c r="I72" i="26" s="1"/>
  <c r="Q71" i="26"/>
  <c r="Q65" i="26"/>
  <c r="P65" i="26"/>
  <c r="O65" i="26"/>
  <c r="G65" i="26"/>
  <c r="I65" i="26" s="1"/>
  <c r="Q63" i="26"/>
  <c r="P63" i="26"/>
  <c r="O63" i="26"/>
  <c r="G63" i="26"/>
  <c r="I63" i="26" s="1"/>
  <c r="Q62" i="26"/>
  <c r="P62" i="26"/>
  <c r="O62" i="26"/>
  <c r="G62" i="26"/>
  <c r="I62" i="26" s="1"/>
  <c r="Q61" i="26"/>
  <c r="P61" i="26"/>
  <c r="O61" i="26"/>
  <c r="G61" i="26"/>
  <c r="I61" i="26" s="1"/>
  <c r="Q60" i="26"/>
  <c r="P60" i="26"/>
  <c r="O60" i="26"/>
  <c r="G60" i="26"/>
  <c r="I60" i="26" s="1"/>
  <c r="Q59" i="26"/>
  <c r="P59" i="26"/>
  <c r="O59" i="26"/>
  <c r="G59" i="26"/>
  <c r="I59" i="26" s="1"/>
  <c r="Q57" i="26"/>
  <c r="P57" i="26"/>
  <c r="O57" i="26"/>
  <c r="G57" i="26"/>
  <c r="I57" i="26" s="1"/>
  <c r="Q56" i="26"/>
  <c r="P56" i="26"/>
  <c r="O56" i="26"/>
  <c r="G56" i="26"/>
  <c r="I56" i="26" s="1"/>
  <c r="Q55" i="26"/>
  <c r="P55" i="26"/>
  <c r="O55" i="26"/>
  <c r="G55" i="26"/>
  <c r="I55" i="26" s="1"/>
  <c r="Q54" i="26"/>
  <c r="P54" i="26"/>
  <c r="O54" i="26"/>
  <c r="G54" i="26"/>
  <c r="I54" i="26" s="1"/>
  <c r="Q53" i="26"/>
  <c r="P53" i="26"/>
  <c r="O53" i="26"/>
  <c r="G53" i="26"/>
  <c r="I53" i="26" s="1"/>
  <c r="Q51" i="26"/>
  <c r="P51" i="26"/>
  <c r="O51" i="26"/>
  <c r="G51" i="26"/>
  <c r="I51" i="26" s="1"/>
  <c r="Q50" i="26"/>
  <c r="P50" i="26"/>
  <c r="O50" i="26"/>
  <c r="G50" i="26"/>
  <c r="I50" i="26" s="1"/>
  <c r="Q49" i="26"/>
  <c r="P49" i="26"/>
  <c r="O49" i="26"/>
  <c r="G49" i="26"/>
  <c r="I49" i="26" s="1"/>
  <c r="Q48" i="26"/>
  <c r="P48" i="26"/>
  <c r="O48" i="26"/>
  <c r="G48" i="26"/>
  <c r="I48" i="26" s="1"/>
  <c r="Q47" i="26"/>
  <c r="P47" i="26"/>
  <c r="O47" i="26"/>
  <c r="G47" i="26"/>
  <c r="I47" i="26" s="1"/>
  <c r="Q45" i="26"/>
  <c r="P45" i="26"/>
  <c r="O45" i="26"/>
  <c r="G45" i="26"/>
  <c r="I45" i="26" s="1"/>
  <c r="Q44" i="26"/>
  <c r="P44" i="26"/>
  <c r="O44" i="26"/>
  <c r="G44" i="26"/>
  <c r="I44" i="26" s="1"/>
  <c r="Q43" i="26"/>
  <c r="P43" i="26"/>
  <c r="O43" i="26"/>
  <c r="G43" i="26"/>
  <c r="I43" i="26" s="1"/>
  <c r="Q42" i="26"/>
  <c r="P42" i="26"/>
  <c r="O42" i="26"/>
  <c r="G42" i="26"/>
  <c r="I42" i="26" s="1"/>
  <c r="Q41" i="26"/>
  <c r="P41" i="26"/>
  <c r="O41" i="26"/>
  <c r="G41" i="26"/>
  <c r="I41" i="26" s="1"/>
  <c r="Q40" i="26"/>
  <c r="P40" i="26"/>
  <c r="O40" i="26"/>
  <c r="G40" i="26"/>
  <c r="I40" i="26" s="1"/>
  <c r="Q39" i="26"/>
  <c r="P39" i="26"/>
  <c r="O39" i="26"/>
  <c r="G39" i="26"/>
  <c r="I39" i="26" s="1"/>
  <c r="Q38" i="26"/>
  <c r="P38" i="26"/>
  <c r="O38" i="26"/>
  <c r="G38" i="26"/>
  <c r="I38" i="26" s="1"/>
  <c r="Q36" i="26"/>
  <c r="P36" i="26"/>
  <c r="O36" i="26"/>
  <c r="G36" i="26"/>
  <c r="I36" i="26" s="1"/>
  <c r="Q35" i="26"/>
  <c r="P35" i="26"/>
  <c r="O35" i="26"/>
  <c r="G35" i="26"/>
  <c r="I35" i="26" s="1"/>
  <c r="Q34" i="26"/>
  <c r="P34" i="26"/>
  <c r="O34" i="26"/>
  <c r="G34" i="26"/>
  <c r="I34" i="26" s="1"/>
  <c r="Q33" i="26"/>
  <c r="P33" i="26"/>
  <c r="O33" i="26"/>
  <c r="G33" i="26"/>
  <c r="I33" i="26" s="1"/>
  <c r="Q32" i="26"/>
  <c r="P32" i="26"/>
  <c r="O32" i="26"/>
  <c r="G32" i="26"/>
  <c r="I32" i="26" s="1"/>
  <c r="D31" i="26"/>
  <c r="G31" i="26" s="1"/>
  <c r="I31" i="26" s="1"/>
  <c r="D30" i="26"/>
  <c r="Q7" i="26"/>
  <c r="P7" i="26"/>
  <c r="O7" i="26"/>
  <c r="G7" i="26"/>
  <c r="I7" i="26" s="1"/>
  <c r="D6" i="26"/>
  <c r="Q6" i="26" s="1"/>
  <c r="D5" i="26"/>
  <c r="G5" i="26" s="1"/>
  <c r="I5" i="26" s="1"/>
  <c r="D4" i="26"/>
  <c r="O4" i="26" s="1"/>
  <c r="Q25" i="26"/>
  <c r="P25" i="26"/>
  <c r="O25" i="26"/>
  <c r="G25" i="26"/>
  <c r="I25" i="26" s="1"/>
  <c r="Q24" i="26"/>
  <c r="P24" i="26"/>
  <c r="O24" i="26"/>
  <c r="G24" i="26"/>
  <c r="I24" i="26" s="1"/>
  <c r="Q23" i="26"/>
  <c r="P23" i="26"/>
  <c r="O23" i="26"/>
  <c r="G23" i="26"/>
  <c r="I23" i="26" s="1"/>
  <c r="Q22" i="26"/>
  <c r="P22" i="26"/>
  <c r="O22" i="26"/>
  <c r="G22" i="26"/>
  <c r="I22" i="26" s="1"/>
  <c r="Q21" i="26"/>
  <c r="P21" i="26"/>
  <c r="O21" i="26"/>
  <c r="G21" i="26"/>
  <c r="I21" i="26" s="1"/>
  <c r="Q20" i="26"/>
  <c r="P20" i="26"/>
  <c r="O20" i="26"/>
  <c r="G20" i="26"/>
  <c r="I20" i="26" s="1"/>
  <c r="Q19" i="26"/>
  <c r="P19" i="26"/>
  <c r="O19" i="26"/>
  <c r="G19" i="26"/>
  <c r="I19" i="26" s="1"/>
  <c r="Q18" i="26"/>
  <c r="P18" i="26"/>
  <c r="O18" i="26"/>
  <c r="G18" i="26"/>
  <c r="I18" i="26" s="1"/>
  <c r="Q17" i="26"/>
  <c r="P17" i="26"/>
  <c r="O17" i="26"/>
  <c r="G17" i="26"/>
  <c r="I17" i="26" s="1"/>
  <c r="Q15" i="26"/>
  <c r="P15" i="26"/>
  <c r="O15" i="26"/>
  <c r="G15" i="26"/>
  <c r="I15" i="26" s="1"/>
  <c r="Q14" i="26"/>
  <c r="P14" i="26"/>
  <c r="O14" i="26"/>
  <c r="G14" i="26"/>
  <c r="I14" i="26" s="1"/>
  <c r="Q13" i="26"/>
  <c r="P13" i="26"/>
  <c r="O13" i="26"/>
  <c r="G13" i="26"/>
  <c r="I13" i="26" s="1"/>
  <c r="Q12" i="26"/>
  <c r="P12" i="26"/>
  <c r="O12" i="26"/>
  <c r="G12" i="26"/>
  <c r="I12" i="26" s="1"/>
  <c r="Q11" i="26"/>
  <c r="P11" i="26"/>
  <c r="O11" i="26"/>
  <c r="G11" i="26"/>
  <c r="I11" i="26" s="1"/>
  <c r="F9" i="25"/>
  <c r="G9" i="25" s="1"/>
  <c r="J24" i="18"/>
  <c r="I24" i="18"/>
  <c r="J47" i="18"/>
  <c r="J46" i="18"/>
  <c r="J40" i="18"/>
  <c r="J39" i="18"/>
  <c r="J38" i="18"/>
  <c r="J37" i="18"/>
  <c r="J35" i="18"/>
  <c r="J34" i="18"/>
  <c r="J33" i="18"/>
  <c r="J32" i="18"/>
  <c r="J31" i="18"/>
  <c r="J30" i="18"/>
  <c r="J29" i="18"/>
  <c r="J28" i="18"/>
  <c r="J23" i="18"/>
  <c r="J22" i="18"/>
  <c r="J21" i="18"/>
  <c r="J20" i="18"/>
  <c r="J19" i="18"/>
  <c r="J18" i="18"/>
  <c r="J17" i="18"/>
  <c r="J14" i="18"/>
  <c r="J13" i="18"/>
  <c r="J12" i="18"/>
  <c r="J10" i="18"/>
  <c r="J9" i="18"/>
  <c r="J8" i="18"/>
  <c r="J7" i="18"/>
  <c r="J6" i="18"/>
  <c r="J5" i="18"/>
  <c r="J4" i="18"/>
  <c r="I23" i="18"/>
  <c r="I6" i="18"/>
  <c r="H45" i="18"/>
  <c r="I40" i="18"/>
  <c r="I30" i="18"/>
  <c r="I29" i="18"/>
  <c r="H36" i="18"/>
  <c r="I35" i="18"/>
  <c r="I33" i="18"/>
  <c r="I32" i="18"/>
  <c r="I39" i="18"/>
  <c r="I38" i="18"/>
  <c r="I47" i="18"/>
  <c r="I22" i="18"/>
  <c r="I21" i="18"/>
  <c r="H11" i="18"/>
  <c r="K11" i="18" s="1"/>
  <c r="I17" i="18"/>
  <c r="I12" i="18"/>
  <c r="I14" i="18"/>
  <c r="I13" i="18"/>
  <c r="I10" i="18"/>
  <c r="I9" i="18"/>
  <c r="I46" i="18"/>
  <c r="I20" i="18"/>
  <c r="I5" i="18"/>
  <c r="I7" i="18"/>
  <c r="I18" i="18"/>
  <c r="I19" i="18"/>
  <c r="I4" i="18"/>
  <c r="E6" i="14"/>
  <c r="E7" i="14" s="1"/>
  <c r="J9" i="13"/>
  <c r="D9" i="14"/>
  <c r="D9" i="13"/>
  <c r="E9" i="13" s="1"/>
  <c r="E43" i="3"/>
  <c r="E37" i="3"/>
  <c r="E36" i="3"/>
  <c r="E38" i="3" s="1"/>
  <c r="I11" i="3"/>
  <c r="E5" i="3" s="1"/>
  <c r="E11" i="3" s="1"/>
  <c r="E30" i="1"/>
  <c r="E24" i="1"/>
  <c r="E23" i="1"/>
  <c r="E25" i="1" s="1"/>
  <c r="G17" i="1" s="1"/>
  <c r="I11" i="1"/>
  <c r="I36" i="18" l="1"/>
  <c r="K36" i="18"/>
  <c r="J45" i="18"/>
  <c r="K45" i="18"/>
  <c r="K49" i="18" s="1"/>
  <c r="J36" i="18"/>
  <c r="J49" i="18"/>
  <c r="I45" i="18"/>
  <c r="I49" i="18" s="1"/>
  <c r="K23" i="30"/>
  <c r="E9" i="20"/>
  <c r="E14" i="20" s="1"/>
  <c r="F23" i="24" s="1"/>
  <c r="L30" i="12" s="1"/>
  <c r="L2" i="38"/>
  <c r="E9" i="14"/>
  <c r="V29" i="12"/>
  <c r="AB29" i="12" s="1"/>
  <c r="AB28" i="12"/>
  <c r="E14" i="32"/>
  <c r="K49" i="36"/>
  <c r="F35" i="24"/>
  <c r="F34" i="24"/>
  <c r="G132" i="26"/>
  <c r="R123" i="26" s="1"/>
  <c r="T123" i="26" s="1"/>
  <c r="H20" i="33"/>
  <c r="E13" i="33" s="1"/>
  <c r="G56" i="18"/>
  <c r="G44" i="30"/>
  <c r="I37" i="30"/>
  <c r="F17" i="24" s="1"/>
  <c r="E19" i="25"/>
  <c r="I27" i="26"/>
  <c r="H44" i="31"/>
  <c r="K36" i="31" s="1"/>
  <c r="F28" i="24" s="1"/>
  <c r="E16" i="13"/>
  <c r="I122" i="26"/>
  <c r="I123" i="26" s="1"/>
  <c r="J7" i="30"/>
  <c r="I7" i="30"/>
  <c r="E15" i="16"/>
  <c r="F11" i="24" s="1"/>
  <c r="L18" i="12" s="1"/>
  <c r="I31" i="30"/>
  <c r="F16" i="24" s="1"/>
  <c r="I23" i="30"/>
  <c r="K43" i="18"/>
  <c r="F31" i="24" s="1"/>
  <c r="J43" i="18"/>
  <c r="D107" i="26"/>
  <c r="G107" i="26" s="1"/>
  <c r="I107" i="26" s="1"/>
  <c r="Q105" i="26"/>
  <c r="O5" i="26"/>
  <c r="O31" i="26"/>
  <c r="P31" i="26"/>
  <c r="O72" i="26"/>
  <c r="P72" i="26"/>
  <c r="Q72" i="26"/>
  <c r="Q31" i="26"/>
  <c r="O74" i="26"/>
  <c r="O105" i="26"/>
  <c r="P105" i="26"/>
  <c r="P74" i="26"/>
  <c r="Q74" i="26"/>
  <c r="P109" i="26"/>
  <c r="Q5" i="26"/>
  <c r="Q109" i="26"/>
  <c r="P5" i="26"/>
  <c r="D110" i="26"/>
  <c r="G110" i="26" s="1"/>
  <c r="I110" i="26" s="1"/>
  <c r="Q99" i="26"/>
  <c r="D100" i="26"/>
  <c r="G100" i="26" s="1"/>
  <c r="I100" i="26" s="1"/>
  <c r="O101" i="26"/>
  <c r="P101" i="26"/>
  <c r="O99" i="26"/>
  <c r="Q101" i="26"/>
  <c r="G102" i="26"/>
  <c r="I102" i="26" s="1"/>
  <c r="P99" i="26"/>
  <c r="G98" i="26"/>
  <c r="I98" i="26" s="1"/>
  <c r="O102" i="26"/>
  <c r="P102" i="26"/>
  <c r="O108" i="26"/>
  <c r="O73" i="26"/>
  <c r="P108" i="26"/>
  <c r="P73" i="26"/>
  <c r="O106" i="26"/>
  <c r="Q108" i="26"/>
  <c r="O71" i="26"/>
  <c r="Q73" i="26"/>
  <c r="O98" i="26"/>
  <c r="D103" i="26"/>
  <c r="P106" i="26"/>
  <c r="G106" i="26"/>
  <c r="I106" i="26" s="1"/>
  <c r="G71" i="26"/>
  <c r="I71" i="26" s="1"/>
  <c r="Q98" i="26"/>
  <c r="P71" i="26"/>
  <c r="G109" i="26"/>
  <c r="I109" i="26" s="1"/>
  <c r="P30" i="26"/>
  <c r="Q30" i="26"/>
  <c r="G30" i="26"/>
  <c r="I30" i="26" s="1"/>
  <c r="O30" i="26"/>
  <c r="G6" i="26"/>
  <c r="I6" i="26" s="1"/>
  <c r="O6" i="26"/>
  <c r="P6" i="26"/>
  <c r="G4" i="26"/>
  <c r="I4" i="26" s="1"/>
  <c r="P4" i="26"/>
  <c r="Q4" i="26"/>
  <c r="I11" i="18"/>
  <c r="I26" i="18" s="1"/>
  <c r="K26" i="18"/>
  <c r="J11" i="18"/>
  <c r="J26" i="18" s="1"/>
  <c r="I43" i="18"/>
  <c r="G17" i="3"/>
  <c r="E13" i="3"/>
  <c r="E15" i="3" s="1"/>
  <c r="E48" i="3" s="1"/>
  <c r="E35" i="1"/>
  <c r="F19" i="24" l="1"/>
  <c r="F18" i="24"/>
  <c r="V13" i="12" s="1"/>
  <c r="AB13" i="12" s="1"/>
  <c r="F30" i="24"/>
  <c r="F32" i="24"/>
  <c r="I50" i="18"/>
  <c r="J50" i="18" s="1"/>
  <c r="K50" i="18" s="1"/>
  <c r="I38" i="30"/>
  <c r="J23" i="30"/>
  <c r="F15" i="24" s="1"/>
  <c r="E24" i="13"/>
  <c r="F10" i="24" s="1"/>
  <c r="J4" i="12" s="1"/>
  <c r="F27" i="24"/>
  <c r="F20" i="24"/>
  <c r="I8" i="37"/>
  <c r="B27" i="38"/>
  <c r="V7" i="12"/>
  <c r="AB7" i="12" s="1"/>
  <c r="F12" i="25"/>
  <c r="G12" i="25"/>
  <c r="E12" i="25"/>
  <c r="I9" i="26"/>
  <c r="Q107" i="26"/>
  <c r="E14" i="14"/>
  <c r="F9" i="24" s="1"/>
  <c r="F18" i="12" s="1"/>
  <c r="O107" i="26"/>
  <c r="P107" i="26"/>
  <c r="Q100" i="26"/>
  <c r="Q110" i="26"/>
  <c r="P110" i="26"/>
  <c r="O110" i="26"/>
  <c r="P100" i="26"/>
  <c r="O100" i="26"/>
  <c r="Q103" i="26"/>
  <c r="P103" i="26"/>
  <c r="G103" i="26"/>
  <c r="I103" i="26" s="1"/>
  <c r="I112" i="26" s="1"/>
  <c r="O103" i="26"/>
  <c r="F29" i="24" l="1"/>
  <c r="V16" i="12" s="1"/>
  <c r="AB16" i="12" s="1"/>
  <c r="J38" i="30"/>
  <c r="V6" i="12"/>
  <c r="AB6" i="12" s="1"/>
  <c r="F26" i="24"/>
  <c r="V15" i="12" s="1"/>
  <c r="AB15" i="12" s="1"/>
  <c r="I18" i="12"/>
  <c r="F5" i="24"/>
  <c r="B5" i="38"/>
  <c r="B11" i="38"/>
  <c r="G120" i="26"/>
  <c r="R120" i="26" s="1"/>
  <c r="O115" i="26"/>
  <c r="R115" i="26" s="1"/>
  <c r="S115" i="26" s="1"/>
  <c r="K38" i="30" l="1"/>
  <c r="F14" i="24" s="1"/>
  <c r="V12" i="12" s="1"/>
  <c r="AB12" i="12" s="1"/>
  <c r="B4" i="38"/>
  <c r="V11" i="12"/>
  <c r="AB11" i="12" s="1"/>
  <c r="B13" i="38"/>
  <c r="B14" i="38"/>
  <c r="F8" i="24"/>
  <c r="V5" i="12"/>
  <c r="AB5" i="12" s="1"/>
  <c r="N119" i="26"/>
  <c r="R119" i="26" s="1"/>
  <c r="R122" i="26" s="1"/>
  <c r="N86" i="26"/>
  <c r="R86" i="26" s="1"/>
  <c r="N105" i="26"/>
  <c r="R105" i="26" s="1"/>
  <c r="N87" i="26"/>
  <c r="R87" i="26" s="1"/>
  <c r="N54" i="26"/>
  <c r="R54" i="26" s="1"/>
  <c r="N33" i="26"/>
  <c r="R33" i="26" s="1"/>
  <c r="N50" i="26"/>
  <c r="R50" i="26" s="1"/>
  <c r="N61" i="26"/>
  <c r="R61" i="26" s="1"/>
  <c r="N74" i="26"/>
  <c r="R74" i="26" s="1"/>
  <c r="N71" i="26"/>
  <c r="R71" i="26" s="1"/>
  <c r="S71" i="26" s="1"/>
  <c r="N49" i="26"/>
  <c r="R49" i="26" s="1"/>
  <c r="N101" i="26"/>
  <c r="R101" i="26" s="1"/>
  <c r="N98" i="26"/>
  <c r="R98" i="26" s="1"/>
  <c r="N53" i="26"/>
  <c r="R53" i="26" s="1"/>
  <c r="N59" i="26"/>
  <c r="R59" i="26" s="1"/>
  <c r="N65" i="26"/>
  <c r="R65" i="26" s="1"/>
  <c r="N93" i="26"/>
  <c r="R93" i="26" s="1"/>
  <c r="N102" i="26"/>
  <c r="R102" i="26" s="1"/>
  <c r="N38" i="26"/>
  <c r="R38" i="26" s="1"/>
  <c r="N42" i="26"/>
  <c r="R42" i="26"/>
  <c r="N109" i="26"/>
  <c r="R109" i="26" s="1"/>
  <c r="N108" i="26"/>
  <c r="R108" i="26" s="1"/>
  <c r="N35" i="26"/>
  <c r="R35" i="26" s="1"/>
  <c r="N110" i="26"/>
  <c r="R110" i="26" s="1"/>
  <c r="N100" i="26"/>
  <c r="R100" i="26" s="1"/>
  <c r="N43" i="26"/>
  <c r="R43" i="26" s="1"/>
  <c r="N39" i="26"/>
  <c r="R39" i="26" s="1"/>
  <c r="N30" i="26"/>
  <c r="R30" i="26" s="1"/>
  <c r="N82" i="26"/>
  <c r="R82" i="26" s="1"/>
  <c r="N69" i="26"/>
  <c r="R69" i="26" s="1"/>
  <c r="N36" i="26"/>
  <c r="R36" i="26"/>
  <c r="N67" i="26"/>
  <c r="R67" i="26" s="1"/>
  <c r="N107" i="26"/>
  <c r="R107" i="26" s="1"/>
  <c r="N63" i="26"/>
  <c r="R63" i="26" s="1"/>
  <c r="N75" i="26"/>
  <c r="R75" i="26" s="1"/>
  <c r="N89" i="26"/>
  <c r="R89" i="26" s="1"/>
  <c r="N6" i="26"/>
  <c r="R6" i="26" s="1"/>
  <c r="N84" i="26"/>
  <c r="R84" i="26" s="1"/>
  <c r="N48" i="26"/>
  <c r="R48" i="26" s="1"/>
  <c r="N90" i="26"/>
  <c r="R90" i="26" s="1"/>
  <c r="N103" i="26"/>
  <c r="R103" i="26" s="1"/>
  <c r="N56" i="26"/>
  <c r="R56" i="26" s="1"/>
  <c r="N45" i="26"/>
  <c r="R45" i="26" s="1"/>
  <c r="N95" i="26"/>
  <c r="R95" i="26" s="1"/>
  <c r="N7" i="26"/>
  <c r="R7" i="26" s="1"/>
  <c r="N80" i="26"/>
  <c r="R80" i="26" s="1"/>
  <c r="N106" i="26"/>
  <c r="R106" i="26" s="1"/>
  <c r="N99" i="26"/>
  <c r="R99" i="26" s="1"/>
  <c r="N88" i="26"/>
  <c r="R88" i="26" s="1"/>
  <c r="N34" i="26"/>
  <c r="R34" i="26" s="1"/>
  <c r="N72" i="26"/>
  <c r="R72" i="26" s="1"/>
  <c r="S72" i="26" s="1"/>
  <c r="N62" i="26"/>
  <c r="R62" i="26" s="1"/>
  <c r="N51" i="26"/>
  <c r="R51" i="26" s="1"/>
  <c r="N4" i="26"/>
  <c r="R4" i="26"/>
  <c r="N40" i="26"/>
  <c r="R40" i="26"/>
  <c r="N77" i="26"/>
  <c r="R77" i="26" s="1"/>
  <c r="N68" i="26"/>
  <c r="R68" i="26" s="1"/>
  <c r="N114" i="26"/>
  <c r="R114" i="26"/>
  <c r="N60" i="26"/>
  <c r="R60" i="26" s="1"/>
  <c r="N76" i="26"/>
  <c r="R76" i="26"/>
  <c r="N73" i="26"/>
  <c r="R73" i="26" s="1"/>
  <c r="S73" i="26" s="1"/>
  <c r="N83" i="26"/>
  <c r="R83" i="26" s="1"/>
  <c r="N31" i="26"/>
  <c r="R31" i="26" s="1"/>
  <c r="N5" i="26"/>
  <c r="R5" i="26" s="1"/>
  <c r="N32" i="26"/>
  <c r="R32" i="26"/>
  <c r="N81" i="26"/>
  <c r="R81" i="26" s="1"/>
  <c r="N92" i="26"/>
  <c r="R92" i="26" s="1"/>
  <c r="N96" i="26"/>
  <c r="R96" i="26" s="1"/>
  <c r="N44" i="26"/>
  <c r="R44" i="26"/>
  <c r="N47" i="26"/>
  <c r="R47" i="26" s="1"/>
  <c r="N78" i="26"/>
  <c r="R78" i="26"/>
  <c r="N94" i="26"/>
  <c r="R94" i="26" s="1"/>
  <c r="N66" i="26"/>
  <c r="R66" i="26" s="1"/>
  <c r="N55" i="26"/>
  <c r="R55" i="26" s="1"/>
  <c r="N57" i="26"/>
  <c r="R57" i="26" s="1"/>
  <c r="N41" i="26"/>
  <c r="R41" i="26" s="1"/>
  <c r="F33" i="24" l="1"/>
  <c r="F36" i="24" s="1"/>
  <c r="B9" i="38"/>
  <c r="S112" i="26"/>
  <c r="R117" i="26"/>
  <c r="S114" i="26"/>
  <c r="B10" i="38"/>
  <c r="V4" i="12"/>
  <c r="AB4" i="12" s="1"/>
  <c r="B3" i="38"/>
  <c r="R112" i="26"/>
  <c r="R9" i="26"/>
  <c r="F21" i="24" s="1"/>
  <c r="N18" i="26"/>
  <c r="R18" i="26" s="1"/>
  <c r="S18" i="26" s="1"/>
  <c r="N12" i="26"/>
  <c r="R12" i="26" s="1"/>
  <c r="S12" i="26" s="1"/>
  <c r="S27" i="26" s="1"/>
  <c r="N15" i="26"/>
  <c r="R15" i="26" s="1"/>
  <c r="N25" i="26"/>
  <c r="R25" i="26" s="1"/>
  <c r="N24" i="26"/>
  <c r="R24" i="26" s="1"/>
  <c r="N21" i="26"/>
  <c r="R21" i="26" s="1"/>
  <c r="N20" i="26"/>
  <c r="R20" i="26" s="1"/>
  <c r="N11" i="26"/>
  <c r="R11" i="26" s="1"/>
  <c r="N17" i="26"/>
  <c r="R17" i="26" s="1"/>
  <c r="N13" i="26"/>
  <c r="R13" i="26" s="1"/>
  <c r="N22" i="26"/>
  <c r="R22" i="26" s="1"/>
  <c r="N23" i="26"/>
  <c r="R23" i="26" s="1"/>
  <c r="N14" i="26"/>
  <c r="R14" i="26" s="1"/>
  <c r="N19" i="26"/>
  <c r="R19" i="26" s="1"/>
  <c r="V10" i="12" l="1"/>
  <c r="B2" i="38"/>
  <c r="R27" i="26"/>
  <c r="AB10" i="12" l="1"/>
  <c r="B8" i="38"/>
  <c r="I6" i="37"/>
  <c r="F47" i="24" l="1"/>
  <c r="F46" i="24"/>
  <c r="V14" i="12"/>
  <c r="AB14" i="12" s="1"/>
  <c r="F42" i="24"/>
  <c r="V24" i="12" s="1"/>
  <c r="AB24" i="12" s="1"/>
  <c r="AB42" i="12" l="1"/>
  <c r="G31" i="38" s="1"/>
  <c r="V30" i="12"/>
  <c r="B12" i="38"/>
  <c r="B22" i="38"/>
  <c r="V17" i="12"/>
  <c r="AB17" i="12" s="1"/>
  <c r="F39" i="24"/>
  <c r="F41" i="24"/>
  <c r="V23" i="12" s="1"/>
  <c r="AB23" i="12" s="1"/>
  <c r="F40" i="24"/>
  <c r="V22" i="12" s="1"/>
  <c r="AB22" i="12" s="1"/>
  <c r="AB30" i="12" l="1"/>
  <c r="B28" i="38"/>
  <c r="V20" i="12"/>
  <c r="B20" i="38"/>
  <c r="B21" i="38"/>
  <c r="B15" i="38"/>
  <c r="V21" i="12"/>
  <c r="AB21" i="12" s="1"/>
  <c r="F38" i="24"/>
  <c r="AB20" i="12" l="1"/>
  <c r="F45" i="24"/>
  <c r="V25" i="12"/>
  <c r="AB25" i="12" s="1"/>
  <c r="B19" i="38"/>
  <c r="B18" i="38"/>
  <c r="I7" i="37"/>
  <c r="V31" i="12" l="1"/>
  <c r="AB31" i="12" s="1"/>
  <c r="F49" i="24"/>
  <c r="I27" i="37"/>
  <c r="B23" i="38"/>
  <c r="I9" i="37"/>
  <c r="I10" i="37" s="1"/>
  <c r="B29" i="38" l="1"/>
  <c r="B32" i="38" s="1"/>
  <c r="I20" i="37"/>
  <c r="F57" i="24" s="1"/>
  <c r="V38" i="12" s="1"/>
  <c r="I16" i="37"/>
  <c r="F53" i="24" s="1"/>
  <c r="V35" i="12" s="1"/>
  <c r="AB35" i="12" s="1"/>
  <c r="I14" i="37"/>
  <c r="I17" i="37"/>
  <c r="F54" i="24" s="1"/>
  <c r="B31" i="38" l="1"/>
  <c r="G4" i="38"/>
  <c r="AB38" i="12"/>
  <c r="G8" i="38" s="1"/>
  <c r="G2" i="38"/>
  <c r="X27" i="12"/>
  <c r="I22" i="37"/>
  <c r="F59" i="24" s="1"/>
  <c r="F60" i="24" s="1"/>
  <c r="E62" i="24" s="1"/>
  <c r="AB41" i="12" s="1"/>
  <c r="G30" i="38" s="1"/>
  <c r="F51" i="24"/>
  <c r="V33" i="12" s="1"/>
  <c r="V39" i="12" l="1"/>
  <c r="AB33" i="12"/>
  <c r="G5" i="38"/>
  <c r="G3" i="38" l="1"/>
  <c r="G9" i="38" s="1"/>
  <c r="G29" i="38" s="1"/>
  <c r="V40" i="12"/>
  <c r="AB40" i="12" s="1"/>
  <c r="AB39" i="12"/>
  <c r="G32" i="38"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tc={B1202F90-84CD-4E65-BC94-AE148250C1D4}</author>
  </authors>
  <commentList>
    <comment ref="N26" authorId="0" shapeId="0" xr:uid="{B1202F90-84CD-4E65-BC94-AE148250C1D4}">
      <text>
        <t>[Threaded comment]
Your version of Excel allows you to read this threaded comment; however, any edits to it will get removed if the file is opened in a newer version of Excel. Learn more: https://go.microsoft.com/fwlink/?linkid=870924
Comment:
    @Gage Pickford can we link the estimates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tc={CD88BBCC-3443-49CC-A693-0A1A115AD924}</author>
  </authors>
  <commentList>
    <comment ref="M26" authorId="0" shapeId="0" xr:uid="{CD88BBCC-3443-49CC-A693-0A1A115AD924}">
      <text>
        <t>[Threaded comment]
Your version of Excel allows you to read this threaded comment; however, any edits to it will get removed if the file is opened in a newer version of Excel. Learn more: https://go.microsoft.com/fwlink/?linkid=870924
Comment:
    @Gage Pickford can we link the estimates</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3DE4428-B7B0-4BFB-BD77-955C40239A24}" keepAlive="1" name="Query - Table 1" description="Connection to the 'Table 1' query in the workbook." type="5" refreshedVersion="8" background="1" saveData="1">
    <dbPr connection="Provider=Microsoft.Mashup.OleDb.1;Data Source=$Workbook$;Location=&quot;Table 1&quot;;Extended Properties=&quot;&quot;" command="SELECT * FROM [Table 1]"/>
  </connection>
  <connection id="2" xr16:uid="{1C642BCF-4853-4DB2-8D31-0EFA95E3FEB6}" keepAlive="1" name="Query - Table 1 (2)" description="Connection to the 'Table 1 (2)' query in the workbook." type="5" refreshedVersion="8" background="1" saveData="1">
    <dbPr connection="Provider=Microsoft.Mashup.OleDb.1;Data Source=$Workbook$;Location=&quot;Table 1 (2)&quot;;Extended Properties=&quot;&quot;" command="SELECT * FROM [Table 1 (2)]"/>
  </connection>
  <connection id="3" xr16:uid="{791E4D80-9293-4BC5-9FD1-C715C6290A67}"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4" xr16:uid="{6906B1DD-286F-4F9A-B200-7F192C547C82}" keepAlive="1" name="Query - Table4" description="Connection to the 'Table4' query in the workbook." type="5" refreshedVersion="8" background="1" saveData="1">
    <dbPr connection="Provider=Microsoft.Mashup.OleDb.1;Data Source=$Workbook$;Location=Table4;Extended Properties=&quot;&quot;" command="SELECT * FROM [Table4]"/>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4">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futureMetadata>
  <valueMetadata count="14">
    <bk>
      <rc t="1" v="0"/>
    </bk>
    <bk>
      <rc t="1" v="1"/>
    </bk>
    <bk>
      <rc t="1" v="2"/>
    </bk>
    <bk>
      <rc t="1" v="3"/>
    </bk>
    <bk>
      <rc t="1" v="4"/>
    </bk>
    <bk>
      <rc t="1" v="5"/>
    </bk>
    <bk>
      <rc t="1" v="6"/>
    </bk>
    <bk>
      <rc t="1" v="7"/>
    </bk>
    <bk>
      <rc t="1" v="8"/>
    </bk>
    <bk>
      <rc t="1" v="9"/>
    </bk>
    <bk>
      <rc t="1" v="10"/>
    </bk>
    <bk>
      <rc t="1" v="11"/>
    </bk>
    <bk>
      <rc t="1" v="12"/>
    </bk>
    <bk>
      <rc t="1" v="13"/>
    </bk>
  </valueMetadata>
</metadata>
</file>

<file path=xl/sharedStrings.xml><?xml version="1.0" encoding="utf-8"?>
<sst xmlns="http://schemas.openxmlformats.org/spreadsheetml/2006/main" count="1575" uniqueCount="760">
  <si>
    <t>Burnham RNG CAPEX model</t>
  </si>
  <si>
    <t>Component</t>
  </si>
  <si>
    <t>Cost</t>
  </si>
  <si>
    <t>Notes</t>
  </si>
  <si>
    <t>Equipment</t>
  </si>
  <si>
    <t>Unit: 400 SCFM</t>
  </si>
  <si>
    <t>Construction</t>
  </si>
  <si>
    <t>General Requirements</t>
  </si>
  <si>
    <t>BU GEN</t>
  </si>
  <si>
    <t>Survey/Inspection</t>
  </si>
  <si>
    <t>Flare</t>
  </si>
  <si>
    <t>Structural Concrete</t>
  </si>
  <si>
    <t>Sales Gas Compressor</t>
  </si>
  <si>
    <t>Structural &amp; Misc metals</t>
  </si>
  <si>
    <t>Specialties/Painting</t>
  </si>
  <si>
    <t>Signage</t>
  </si>
  <si>
    <t>Building Systems</t>
  </si>
  <si>
    <t>Fire suppression</t>
  </si>
  <si>
    <t>Plumbing</t>
  </si>
  <si>
    <t>Electrical System</t>
  </si>
  <si>
    <t>Including Switchgear, ATS, and all panels</t>
  </si>
  <si>
    <t>General Civil Work</t>
  </si>
  <si>
    <t>Site Utilities</t>
  </si>
  <si>
    <t>Not interconnect</t>
  </si>
  <si>
    <t>Plant Controls Install</t>
  </si>
  <si>
    <t>Process Piping &amp; Plant Equipment (Labor &amp; material)</t>
  </si>
  <si>
    <t>Underground obstruction Allowance</t>
  </si>
  <si>
    <t>Soil treatment Allowance</t>
  </si>
  <si>
    <t>Other allowances</t>
  </si>
  <si>
    <t>Site improvements</t>
  </si>
  <si>
    <t>Contingency</t>
  </si>
  <si>
    <t>Overhead</t>
  </si>
  <si>
    <t>3% of GC costs</t>
  </si>
  <si>
    <t>Contractor Fee</t>
  </si>
  <si>
    <t>8% of GC Costs</t>
  </si>
  <si>
    <t>Construction Subtotal</t>
  </si>
  <si>
    <t>Interconnections</t>
  </si>
  <si>
    <t>Natural gas Interconnect</t>
  </si>
  <si>
    <t>Electricity Interconnect</t>
  </si>
  <si>
    <t>Permanent Internet</t>
  </si>
  <si>
    <t>Interconnections Subtotal</t>
  </si>
  <si>
    <t>Permitting</t>
  </si>
  <si>
    <t>Various Permits</t>
  </si>
  <si>
    <t>Permitting Subtotal</t>
  </si>
  <si>
    <t>Totals</t>
  </si>
  <si>
    <t>Total Costs for Construction</t>
  </si>
  <si>
    <t>Unit: 800 SCFM</t>
  </si>
  <si>
    <t xml:space="preserve">Equipment </t>
  </si>
  <si>
    <t>Owner supplied equipment</t>
  </si>
  <si>
    <t>GUU</t>
  </si>
  <si>
    <t>Contractor Supplied Equipment</t>
  </si>
  <si>
    <t>Flare, BU generator, product gas compressor (6% mark up)</t>
  </si>
  <si>
    <t>Gas Cromatograph (If required)</t>
  </si>
  <si>
    <t>Other</t>
  </si>
  <si>
    <t>NRU, Liquids receiving, blending skid, ETC</t>
  </si>
  <si>
    <t>Equipment subtotals</t>
  </si>
  <si>
    <t>Engineering</t>
  </si>
  <si>
    <t>BOP Engineering</t>
  </si>
  <si>
    <t>5% of GC Cost</t>
  </si>
  <si>
    <t>Other Engineering</t>
  </si>
  <si>
    <t>Engineering Subtotal</t>
  </si>
  <si>
    <r>
      <rPr>
        <b/>
        <sz val="24"/>
        <color rgb="FF00B050"/>
        <rFont val="Aptos Narrow"/>
        <family val="2"/>
        <scheme val="minor"/>
      </rPr>
      <t>How to Use This Excel File</t>
    </r>
    <r>
      <rPr>
        <sz val="11"/>
        <color theme="1"/>
        <rFont val="Aptos Narrow"/>
        <family val="2"/>
        <scheme val="minor"/>
      </rPr>
      <t xml:space="preserve">
Welcome to Capex Model V2! This Excel file is designed to help you efficiently plan and estimate costs for your gas upgrading unit project. Below are detailed instructions on how to use each section of the file.
</t>
    </r>
    <r>
      <rPr>
        <b/>
        <sz val="16"/>
        <color rgb="FF00B050"/>
        <rFont val="Aptos Narrow"/>
        <family val="2"/>
        <scheme val="minor"/>
      </rPr>
      <t>PFD INPUTS</t>
    </r>
    <r>
      <rPr>
        <b/>
        <sz val="11"/>
        <color theme="1"/>
        <rFont val="Aptos Narrow"/>
        <family val="2"/>
        <scheme val="minor"/>
      </rPr>
      <t xml:space="preserve">
Sheet 1: "Pretty Picture" </t>
    </r>
    <r>
      <rPr>
        <b/>
        <sz val="11"/>
        <color rgb="FFFF0000"/>
        <rFont val="Aptos Narrow"/>
        <family val="2"/>
        <scheme val="minor"/>
      </rPr>
      <t>DO NOT CHANGE OTHER SHEETS</t>
    </r>
    <r>
      <rPr>
        <b/>
        <sz val="11"/>
        <color theme="1"/>
        <rFont val="Aptos Narrow"/>
        <family val="2"/>
        <scheme val="minor"/>
      </rPr>
      <t xml:space="preserve">
</t>
    </r>
    <r>
      <rPr>
        <sz val="11"/>
        <color theme="1"/>
        <rFont val="Aptos Narrow"/>
        <family val="2"/>
        <scheme val="minor"/>
      </rPr>
      <t xml:space="preserve">This sheet contains a flow diagram with 11 inputs and 7 optional inputs. Follow the steps below to complete the inputs:
</t>
    </r>
    <r>
      <rPr>
        <b/>
        <sz val="11"/>
        <color theme="1"/>
        <rFont val="Aptos Narrow"/>
        <family val="2"/>
        <scheme val="minor"/>
      </rPr>
      <t xml:space="preserve">Date of Model: </t>
    </r>
    <r>
      <rPr>
        <sz val="11"/>
        <color theme="1"/>
        <rFont val="Aptos Narrow"/>
        <family val="2"/>
        <scheme val="minor"/>
      </rPr>
      <t xml:space="preserve">Go to data and click refresh all - then type out todays date 
</t>
    </r>
    <r>
      <rPr>
        <b/>
        <sz val="11"/>
        <color theme="1"/>
        <rFont val="Aptos Narrow"/>
        <family val="2"/>
        <scheme val="minor"/>
      </rPr>
      <t>FID Date:</t>
    </r>
    <r>
      <rPr>
        <sz val="11"/>
        <color theme="1"/>
        <rFont val="Aptos Narrow"/>
        <family val="2"/>
        <scheme val="minor"/>
      </rPr>
      <t xml:space="preserve"> Type out the FID date (Final Investment Decision) in the designated cell to calculate escalation assuming a 3.5% inflation rate.
</t>
    </r>
    <r>
      <rPr>
        <b/>
        <sz val="11"/>
        <color theme="1"/>
        <rFont val="Aptos Narrow"/>
        <family val="2"/>
        <scheme val="minor"/>
      </rPr>
      <t xml:space="preserve">Size of Gas Upgrading Unit: </t>
    </r>
    <r>
      <rPr>
        <sz val="11"/>
        <color theme="1"/>
        <rFont val="Aptos Narrow"/>
        <family val="2"/>
        <scheme val="minor"/>
      </rPr>
      <t xml:space="preserve">Select the appropriate size from the dropdown menu.
</t>
    </r>
    <r>
      <rPr>
        <b/>
        <sz val="11"/>
        <color theme="1"/>
        <rFont val="Aptos Narrow"/>
        <family val="2"/>
        <scheme val="minor"/>
      </rPr>
      <t>Gas Chromatograph:</t>
    </r>
    <r>
      <rPr>
        <sz val="11"/>
        <color theme="1"/>
        <rFont val="Aptos Narrow"/>
        <family val="2"/>
        <scheme val="minor"/>
      </rPr>
      <t xml:space="preserve"> Choose whether a gas chromatograph is needed from the dropdown menu.
</t>
    </r>
    <r>
      <rPr>
        <b/>
        <sz val="11"/>
        <color theme="1"/>
        <rFont val="Aptos Narrow"/>
        <family val="2"/>
        <scheme val="minor"/>
      </rPr>
      <t>Flare:</t>
    </r>
    <r>
      <rPr>
        <sz val="11"/>
        <color theme="1"/>
        <rFont val="Aptos Narrow"/>
        <family val="2"/>
        <scheme val="minor"/>
      </rPr>
      <t xml:space="preserve"> Indicate if a flare is needed. If yes, select either "Enclosed" or "Candlestick" flare from the dropdown menu.
</t>
    </r>
    <r>
      <rPr>
        <b/>
        <sz val="11"/>
        <color theme="1"/>
        <rFont val="Aptos Narrow"/>
        <family val="2"/>
        <scheme val="minor"/>
      </rPr>
      <t>Product Gas Compressor:</t>
    </r>
    <r>
      <rPr>
        <sz val="11"/>
        <color theme="1"/>
        <rFont val="Aptos Narrow"/>
        <family val="2"/>
        <scheme val="minor"/>
      </rPr>
      <t xml:space="preserve"> Specify if a compressor is needed. If yes, input the required PSI (Pounds per Square Inch).
</t>
    </r>
    <r>
      <rPr>
        <b/>
        <sz val="11"/>
        <color theme="1"/>
        <rFont val="Aptos Narrow"/>
        <family val="2"/>
        <scheme val="minor"/>
      </rPr>
      <t xml:space="preserve">Backup Generator: </t>
    </r>
    <r>
      <rPr>
        <sz val="11"/>
        <color theme="1"/>
        <rFont val="Aptos Narrow"/>
        <family val="2"/>
        <scheme val="minor"/>
      </rPr>
      <t xml:space="preserve">Decide if a backup generator is needed and select the appropriate option from the dropdown menu.
</t>
    </r>
    <r>
      <rPr>
        <b/>
        <sz val="11"/>
        <color theme="1"/>
        <rFont val="Aptos Narrow"/>
        <family val="2"/>
        <scheme val="minor"/>
      </rPr>
      <t>Location of the Project:</t>
    </r>
    <r>
      <rPr>
        <sz val="11"/>
        <color theme="1"/>
        <rFont val="Aptos Narrow"/>
        <family val="2"/>
        <scheme val="minor"/>
      </rPr>
      <t xml:space="preserve"> Input the state where the project is located.
</t>
    </r>
    <r>
      <rPr>
        <b/>
        <sz val="11"/>
        <color theme="1"/>
        <rFont val="Aptos Narrow"/>
        <family val="2"/>
        <scheme val="minor"/>
      </rPr>
      <t>Tax Exempt Status:</t>
    </r>
    <r>
      <rPr>
        <sz val="11"/>
        <color theme="1"/>
        <rFont val="Aptos Narrow"/>
        <family val="2"/>
        <scheme val="minor"/>
      </rPr>
      <t xml:space="preserve"> Indicate if the project is tax exempt to calculate the sales tax accordingly.
</t>
    </r>
    <r>
      <rPr>
        <b/>
        <sz val="16"/>
        <color rgb="FF00B050"/>
        <rFont val="Aptos Narrow"/>
        <family val="2"/>
        <scheme val="minor"/>
      </rPr>
      <t>SUMMARY OF COSTS</t>
    </r>
    <r>
      <rPr>
        <sz val="11"/>
        <color theme="1"/>
        <rFont val="Aptos Narrow"/>
        <family val="2"/>
        <scheme val="minor"/>
      </rPr>
      <t xml:space="preserve">
To the side of the flow chart, you will find a summary of costs that automatically calculates based on your inputs.
</t>
    </r>
    <r>
      <rPr>
        <b/>
        <sz val="16"/>
        <color rgb="FF00B050"/>
        <rFont val="Aptos Narrow"/>
        <family val="2"/>
        <scheme val="minor"/>
      </rPr>
      <t>TABLE INPUTS</t>
    </r>
    <r>
      <rPr>
        <sz val="11"/>
        <color theme="1"/>
        <rFont val="Aptos Narrow"/>
        <family val="2"/>
        <scheme val="minor"/>
      </rPr>
      <t xml:space="preserve">
</t>
    </r>
    <r>
      <rPr>
        <b/>
        <sz val="11"/>
        <color theme="1"/>
        <rFont val="Aptos Narrow"/>
        <family val="2"/>
        <scheme val="minor"/>
      </rPr>
      <t xml:space="preserve">Additional Equipment: </t>
    </r>
    <r>
      <rPr>
        <sz val="11"/>
        <color theme="1"/>
        <rFont val="Aptos Narrow"/>
        <family val="2"/>
        <scheme val="minor"/>
      </rPr>
      <t xml:space="preserve">Input the cost of any additional equipment, including spare parts, freight, and commissioning.
</t>
    </r>
    <r>
      <rPr>
        <b/>
        <sz val="11"/>
        <color theme="1"/>
        <rFont val="Aptos Narrow"/>
        <family val="2"/>
        <scheme val="minor"/>
      </rPr>
      <t>Additional Direct Costs:</t>
    </r>
    <r>
      <rPr>
        <sz val="11"/>
        <color theme="1"/>
        <rFont val="Aptos Narrow"/>
        <family val="2"/>
        <scheme val="minor"/>
      </rPr>
      <t xml:space="preserve"> Enter the costs for complete quotes received from vendors.
</t>
    </r>
    <r>
      <rPr>
        <b/>
        <sz val="11"/>
        <color theme="1"/>
        <rFont val="Aptos Narrow"/>
        <family val="2"/>
        <scheme val="minor"/>
      </rPr>
      <t>Interconnect:</t>
    </r>
    <r>
      <rPr>
        <sz val="11"/>
        <color theme="1"/>
        <rFont val="Aptos Narrow"/>
        <family val="2"/>
        <scheme val="minor"/>
      </rPr>
      <t xml:space="preserve"> Enter the interconnect facility estimate and the lateral distance in miles.  
</t>
    </r>
    <r>
      <rPr>
        <b/>
        <sz val="11"/>
        <color theme="1"/>
        <rFont val="Aptos Narrow"/>
        <family val="2"/>
        <scheme val="minor"/>
      </rPr>
      <t>Dev Fee:</t>
    </r>
    <r>
      <rPr>
        <sz val="11"/>
        <color theme="1"/>
        <rFont val="Aptos Narrow"/>
        <family val="2"/>
        <scheme val="minor"/>
      </rPr>
      <t xml:space="preserve"> Enter the Dev Fee
</t>
    </r>
    <r>
      <rPr>
        <b/>
        <sz val="16"/>
        <color rgb="FF00B050"/>
        <rFont val="Aptos Narrow"/>
        <family val="2"/>
        <scheme val="minor"/>
      </rPr>
      <t>NOTES</t>
    </r>
    <r>
      <rPr>
        <sz val="11"/>
        <color theme="1"/>
        <rFont val="Aptos Narrow"/>
        <family val="2"/>
        <scheme val="minor"/>
      </rPr>
      <t xml:space="preserve">
Ensure all dropdown selections and inputs are completed accurately to get precise cost calculations.
Review the summary of costs to verify all entries and calculations.
Thank you for using this tool. If you have any questions or need further assistance, please reach out to Gage.</t>
    </r>
  </si>
  <si>
    <t>Protected Sheets Password: Broncosarebad</t>
  </si>
  <si>
    <t>Project Estimate</t>
  </si>
  <si>
    <t>Date of Model:</t>
  </si>
  <si>
    <t>Discipline</t>
  </si>
  <si>
    <t>Estimate ($)</t>
  </si>
  <si>
    <t>SCFM DRPDN</t>
  </si>
  <si>
    <t>Major Equipment</t>
  </si>
  <si>
    <t>Flare DRPDN</t>
  </si>
  <si>
    <t>Compressor</t>
  </si>
  <si>
    <t>GCA DRPDN</t>
  </si>
  <si>
    <t>User-Additional Equip</t>
  </si>
  <si>
    <t>BU Generator DRPDN</t>
  </si>
  <si>
    <t>Subtotal Equipment</t>
  </si>
  <si>
    <t>Compressor DRPDN</t>
  </si>
  <si>
    <t>Civil/Structural</t>
  </si>
  <si>
    <t>Process Piping / Mechanical</t>
  </si>
  <si>
    <t>PSI DRPDN</t>
  </si>
  <si>
    <t>Electrical</t>
  </si>
  <si>
    <t>Instrumentation / Controls / Automation</t>
  </si>
  <si>
    <t>Escalation Calculator</t>
  </si>
  <si>
    <t>Non-Process Infrastructure</t>
  </si>
  <si>
    <t>Flare DRPDN 2</t>
  </si>
  <si>
    <t>User -Additional Direct Costs</t>
  </si>
  <si>
    <t>Month Calc</t>
  </si>
  <si>
    <t>Subtotal Construction Directs</t>
  </si>
  <si>
    <t>General Conditions</t>
  </si>
  <si>
    <t>Building Permits</t>
  </si>
  <si>
    <t>Insurance / G&amp;A</t>
  </si>
  <si>
    <t>EPC Profit</t>
  </si>
  <si>
    <t>Subtotal: Const Mgmt and Indirects</t>
  </si>
  <si>
    <t>User-Interconnect (Base $2,200,000)</t>
  </si>
  <si>
    <t xml:space="preserve">User-Lateral Miles </t>
  </si>
  <si>
    <t>LANG Factor</t>
  </si>
  <si>
    <t xml:space="preserve">Lateral </t>
  </si>
  <si>
    <t>Subtotal Interconnect</t>
  </si>
  <si>
    <t>Sales Tax</t>
  </si>
  <si>
    <t>Total EPC</t>
  </si>
  <si>
    <t>Utility Connection Fee</t>
  </si>
  <si>
    <t>Insurance</t>
  </si>
  <si>
    <t>Project Delivery</t>
  </si>
  <si>
    <t>Dev Costs</t>
  </si>
  <si>
    <t>Ops During Construction</t>
  </si>
  <si>
    <t>Commercial Subtotal</t>
  </si>
  <si>
    <t>Total</t>
  </si>
  <si>
    <t>ITC Eligible</t>
  </si>
  <si>
    <t>Property Tax Eligible</t>
  </si>
  <si>
    <t>Estimate Calculation</t>
  </si>
  <si>
    <t>Estimate</t>
  </si>
  <si>
    <t>3rd Party Testing</t>
  </si>
  <si>
    <t>User Added Equip</t>
  </si>
  <si>
    <t>Earthworks</t>
  </si>
  <si>
    <t>Concrete</t>
  </si>
  <si>
    <t>Process Structural</t>
  </si>
  <si>
    <t>U/G Utilities</t>
  </si>
  <si>
    <t>Electrical Distribution Equipment</t>
  </si>
  <si>
    <t>Generator</t>
  </si>
  <si>
    <t>Cables / Conduits  / Terminations</t>
  </si>
  <si>
    <t>Gas Chromatograph</t>
  </si>
  <si>
    <t>BOP Controls</t>
  </si>
  <si>
    <t>Site Infrastructure</t>
  </si>
  <si>
    <t>Site Electrical</t>
  </si>
  <si>
    <t>Note - ARCO 8.89% Milton 30% 12.30, Swinerton 12.1% Persimmons ROM 11.25, Swinerton Pasco GMP 7.79%</t>
  </si>
  <si>
    <t>User Added Direct Cost</t>
  </si>
  <si>
    <t>Direct Costs Subtotal</t>
  </si>
  <si>
    <t>Construction Management Costs</t>
  </si>
  <si>
    <t>Note - ARCO 6.25% Milton 30% 12.30, Swinerton 27.3% Persimmons ROM 11.25, Swinerton Pasco GMP 1.3%</t>
  </si>
  <si>
    <t>Interconnect</t>
  </si>
  <si>
    <t>Lateral</t>
  </si>
  <si>
    <t>EPC Subtotal w/out tax</t>
  </si>
  <si>
    <t>Sales Tax (State)</t>
  </si>
  <si>
    <t>Escalation - summary</t>
  </si>
  <si>
    <t>Summary - applied through the buckets above</t>
  </si>
  <si>
    <t>See Commercial Tab</t>
  </si>
  <si>
    <t>Dev Fee</t>
  </si>
  <si>
    <t>Total Commercial Items</t>
  </si>
  <si>
    <t>Total project cost less Utility Connection fee,Non-process, Interconnect</t>
  </si>
  <si>
    <t>Unit Size</t>
  </si>
  <si>
    <t>Vlookup</t>
  </si>
  <si>
    <t>Unit Price ($)</t>
  </si>
  <si>
    <t>Domestic Content</t>
  </si>
  <si>
    <t>Percent Payment</t>
  </si>
  <si>
    <t>Timeline wks</t>
  </si>
  <si>
    <t>Term</t>
  </si>
  <si>
    <t>Yes</t>
  </si>
  <si>
    <t>400 SCFM</t>
  </si>
  <si>
    <t>Vpack US</t>
  </si>
  <si>
    <t>Vpack FR</t>
  </si>
  <si>
    <t>Signing LNTP</t>
  </si>
  <si>
    <t>No</t>
  </si>
  <si>
    <t>800 SCFM</t>
  </si>
  <si>
    <t>Delivery of commencement of Manufacturing Certificate</t>
  </si>
  <si>
    <t>1200 SCFM</t>
  </si>
  <si>
    <t>Delivery of completion of Manufacturing Certificate</t>
  </si>
  <si>
    <t>Chosen Price PFD</t>
  </si>
  <si>
    <t>Optional</t>
  </si>
  <si>
    <t>Needed?</t>
  </si>
  <si>
    <t>Estimated Cost ($)</t>
  </si>
  <si>
    <t>Allen Bradley</t>
  </si>
  <si>
    <t>Default to Yes</t>
  </si>
  <si>
    <t>Spare Parts</t>
  </si>
  <si>
    <t xml:space="preserve">Link to Quote: </t>
  </si>
  <si>
    <t>Prodeval MPA</t>
  </si>
  <si>
    <t>Allan Bradley</t>
  </si>
  <si>
    <t>Size</t>
  </si>
  <si>
    <t>Terms</t>
  </si>
  <si>
    <t>Acceptance of order</t>
  </si>
  <si>
    <t>Enclosed</t>
  </si>
  <si>
    <t>Issuance of customer submittal package</t>
  </si>
  <si>
    <t>Candlestick</t>
  </si>
  <si>
    <t>Notice of availability for shipment</t>
  </si>
  <si>
    <t xml:space="preserve">Total </t>
  </si>
  <si>
    <t>Freight</t>
  </si>
  <si>
    <t>Default to Yes - Mark Swag</t>
  </si>
  <si>
    <t>Field Service</t>
  </si>
  <si>
    <t>One Access Ladder</t>
  </si>
  <si>
    <t>Industrial Surface Finish</t>
  </si>
  <si>
    <t>Extended Warranty - Equip</t>
  </si>
  <si>
    <t>Extended Warranty - Preventative Maintenance</t>
  </si>
  <si>
    <t>Spare parts</t>
  </si>
  <si>
    <t>Enclosed Flare Quotes</t>
  </si>
  <si>
    <t>DO NOT DELETE</t>
  </si>
  <si>
    <t>Chosen Compressor</t>
  </si>
  <si>
    <t>Quote</t>
  </si>
  <si>
    <t>Chromatograph</t>
  </si>
  <si>
    <t>Shipping</t>
  </si>
  <si>
    <t>Default Yes</t>
  </si>
  <si>
    <t>Field Commissioning</t>
  </si>
  <si>
    <t>22037004-026 RKA POA.pdf</t>
  </si>
  <si>
    <t>Generator Unit Size</t>
  </si>
  <si>
    <t>50KW Generator,  Nat. gas +  ATS</t>
  </si>
  <si>
    <t>(Genset $21,300 Means 26 32 13.16 0520) + $8k ATS</t>
  </si>
  <si>
    <t>60KW Generator,  Nat. gas + ATS</t>
  </si>
  <si>
    <t>(Genset $42,000: Means 26 32 13.16 0600) + $8k ATS</t>
  </si>
  <si>
    <t>80Kw Generator, Nat. Gas + ATS</t>
  </si>
  <si>
    <t>(Genset $42,000: Means 26 32 13.16 0600) + $8K ATS</t>
  </si>
  <si>
    <t>QTY</t>
  </si>
  <si>
    <t>Geotech</t>
  </si>
  <si>
    <t>inc. Development Budget</t>
  </si>
  <si>
    <t>Survey (Topo/Alta)</t>
  </si>
  <si>
    <t>BOP Design</t>
  </si>
  <si>
    <t>BOP Construction Admin</t>
  </si>
  <si>
    <t>400 SCFM AEI-Columbia Quote $188,390 (225 mi distance), 1200 SCFM Purpose -Persimmons $94,320 (45mi)</t>
  </si>
  <si>
    <t>ARCO Milton 12.30 Quote $83,500</t>
  </si>
  <si>
    <t>As-Builts</t>
  </si>
  <si>
    <t>Permitting Fees (Enviro)</t>
  </si>
  <si>
    <t>Engineering Additional Equipment</t>
  </si>
  <si>
    <t>Equipment Cost</t>
  </si>
  <si>
    <t>Factor</t>
  </si>
  <si>
    <t>Factored Cost</t>
  </si>
  <si>
    <t>Piping / Mechanical</t>
  </si>
  <si>
    <t>Piping Unit Size</t>
  </si>
  <si>
    <t>75% of 800 SCFM</t>
  </si>
  <si>
    <t>Setting Equipment</t>
  </si>
  <si>
    <t>Piping / Mechanical Additional Equipment</t>
  </si>
  <si>
    <t>Min</t>
  </si>
  <si>
    <t>Max</t>
  </si>
  <si>
    <t>Selected Factor</t>
  </si>
  <si>
    <t xml:space="preserve">BOP Controls </t>
  </si>
  <si>
    <t>IT/OT</t>
  </si>
  <si>
    <t>BOP Hardware</t>
  </si>
  <si>
    <t>Make</t>
  </si>
  <si>
    <t>Model</t>
  </si>
  <si>
    <t>Quantity</t>
  </si>
  <si>
    <t>UOM</t>
  </si>
  <si>
    <t>Base Cost</t>
  </si>
  <si>
    <t>Estimated Cost</t>
  </si>
  <si>
    <t>Procurement Source</t>
  </si>
  <si>
    <t>IT</t>
  </si>
  <si>
    <t>Firewall</t>
  </si>
  <si>
    <t>Fortigate</t>
  </si>
  <si>
    <t>90G</t>
  </si>
  <si>
    <t>EA</t>
  </si>
  <si>
    <t>Burnham</t>
  </si>
  <si>
    <t>OT</t>
  </si>
  <si>
    <t>5G cellular failover SD-WAN router</t>
  </si>
  <si>
    <t>Fortigate </t>
  </si>
  <si>
    <t>FEX-511F</t>
  </si>
  <si>
    <t>Managed Switches</t>
  </si>
  <si>
    <t>Ubiqiti</t>
  </si>
  <si>
    <t>USW Pro Max</t>
  </si>
  <si>
    <t>Core Switch</t>
  </si>
  <si>
    <t>Cisco</t>
  </si>
  <si>
    <t>Catalyst 9200</t>
  </si>
  <si>
    <t>WAPs</t>
  </si>
  <si>
    <t>U7 Pro Indoor/Outdoor</t>
  </si>
  <si>
    <t>Allen-Bradley</t>
  </si>
  <si>
    <t>Stratix 5200 20 port</t>
  </si>
  <si>
    <t>Fiber Tranceiver modules</t>
  </si>
  <si>
    <t>SFP1GSX</t>
  </si>
  <si>
    <t>Miscellaneous electrical</t>
  </si>
  <si>
    <t>N/A</t>
  </si>
  <si>
    <t>Industrial rack mounted UPS</t>
  </si>
  <si>
    <t>Vertiv</t>
  </si>
  <si>
    <t>Liebert GXT5</t>
  </si>
  <si>
    <t>On-Premise data backup</t>
  </si>
  <si>
    <t>Synology</t>
  </si>
  <si>
    <t>2423RP+</t>
  </si>
  <si>
    <t>On-Premise hard drives</t>
  </si>
  <si>
    <t>HAT5300</t>
  </si>
  <si>
    <t>Balance of plant BOP PLC hardware</t>
  </si>
  <si>
    <t>Misc.</t>
  </si>
  <si>
    <t>Project General Engineer</t>
  </si>
  <si>
    <t>Balance of plant BOP media converters</t>
  </si>
  <si>
    <t>RedLion</t>
  </si>
  <si>
    <t>Balance of plant BOP panel build</t>
  </si>
  <si>
    <t>Hoffman</t>
  </si>
  <si>
    <t>Panel</t>
  </si>
  <si>
    <t>IT </t>
  </si>
  <si>
    <t>Office printer</t>
  </si>
  <si>
    <t>Konica Minolta</t>
  </si>
  <si>
    <t>SCADA workstations in office </t>
  </si>
  <si>
    <t>OnLogic</t>
  </si>
  <si>
    <t>Helix</t>
  </si>
  <si>
    <t>Balance of plant PLC/SCADA Programming</t>
  </si>
  <si>
    <t>Ignition</t>
  </si>
  <si>
    <t>Vision</t>
  </si>
  <si>
    <t>OT Redundant Servers</t>
  </si>
  <si>
    <t>Dell</t>
  </si>
  <si>
    <t>PowerEdge</t>
  </si>
  <si>
    <t>General IT Server</t>
  </si>
  <si>
    <t>Microsoft/Server Licensing</t>
  </si>
  <si>
    <t>Microsoft</t>
  </si>
  <si>
    <t>Windows Server 2025</t>
  </si>
  <si>
    <t>Ignition SCADA Licensing</t>
  </si>
  <si>
    <t>Inductive Automation</t>
  </si>
  <si>
    <t>Ignition Vision/Historian</t>
  </si>
  <si>
    <t>Allen-Bradley software</t>
  </si>
  <si>
    <t>Rockwell Automation</t>
  </si>
  <si>
    <t>Studio 5000</t>
  </si>
  <si>
    <t>Installation</t>
  </si>
  <si>
    <t>Subtotal</t>
  </si>
  <si>
    <t>Field Technicians</t>
  </si>
  <si>
    <t>Prodeval Techs</t>
  </si>
  <si>
    <t>HR</t>
  </si>
  <si>
    <t>Other Equipment Vendor Techs</t>
  </si>
  <si>
    <t>Instrumentation / Controls</t>
  </si>
  <si>
    <t>Controls Additional Equipment</t>
  </si>
  <si>
    <t>Civil / Structural</t>
  </si>
  <si>
    <t>Base 400 SCFM</t>
  </si>
  <si>
    <t>Addtl 800</t>
  </si>
  <si>
    <t>Addtl 1200</t>
  </si>
  <si>
    <t>Unit Cost</t>
  </si>
  <si>
    <t>Clear and Grub Site</t>
  </si>
  <si>
    <t>ACRE</t>
  </si>
  <si>
    <t>Strip &amp; Stockpile Topsoil (1ft deep)</t>
  </si>
  <si>
    <t>Soil Remova/ Hauling</t>
  </si>
  <si>
    <t>CY</t>
  </si>
  <si>
    <t>Rough Grading</t>
  </si>
  <si>
    <t>Fine Grading</t>
  </si>
  <si>
    <t>SF</t>
  </si>
  <si>
    <t>Structural Excavation (fnd/slab)</t>
  </si>
  <si>
    <t>LS</t>
  </si>
  <si>
    <t>Structural Backfill</t>
  </si>
  <si>
    <t>Seed Site</t>
  </si>
  <si>
    <t>Survey (Construction Control)</t>
  </si>
  <si>
    <t xml:space="preserve"> Earthworks Allowance</t>
  </si>
  <si>
    <t xml:space="preserve">Footers 10'x2'x4' </t>
  </si>
  <si>
    <t>Generator Equip Pad- 5'x5'x8"</t>
  </si>
  <si>
    <t>Ea</t>
  </si>
  <si>
    <t>Transformer,SG Equip Pad- 5'x5'x8"</t>
  </si>
  <si>
    <t>Compressor Foundation- 12' X 20' X 6"</t>
  </si>
  <si>
    <t>Concrete Footing 1.5'x1.5'x2'</t>
  </si>
  <si>
    <t>Pipe Support</t>
  </si>
  <si>
    <t>Ea.</t>
  </si>
  <si>
    <t>Civil Additional Equipment</t>
  </si>
  <si>
    <t>Electrical Ductbank</t>
  </si>
  <si>
    <t>Qty</t>
  </si>
  <si>
    <t>Unit</t>
  </si>
  <si>
    <t>Man Hrs.</t>
  </si>
  <si>
    <t>STD MH</t>
  </si>
  <si>
    <t>MH Adj</t>
  </si>
  <si>
    <t>Total MH</t>
  </si>
  <si>
    <t>Wage Rate</t>
  </si>
  <si>
    <t>Unit Mat</t>
  </si>
  <si>
    <t>Unit Sub</t>
  </si>
  <si>
    <t>Unit Equip</t>
  </si>
  <si>
    <t>Labor</t>
  </si>
  <si>
    <t>Material</t>
  </si>
  <si>
    <t>Sub Cont.</t>
  </si>
  <si>
    <t>Equip</t>
  </si>
  <si>
    <t>grading for duct bank</t>
  </si>
  <si>
    <t>cy</t>
  </si>
  <si>
    <t>4" of sand in bottom of duct bank</t>
  </si>
  <si>
    <t>concrete duct bank for 1600 amp feeders</t>
  </si>
  <si>
    <t>conduit spacers</t>
  </si>
  <si>
    <t>ea</t>
  </si>
  <si>
    <t>1600 amp switch gear 277/480vac 3 ph</t>
  </si>
  <si>
    <t>2 600 amps breaker</t>
  </si>
  <si>
    <t>1 400amp breaker</t>
  </si>
  <si>
    <t>1 100 amp breaker</t>
  </si>
  <si>
    <t>2 60 amp breakers</t>
  </si>
  <si>
    <t>Genset - Install only</t>
  </si>
  <si>
    <t>30 KVA XFMR 277/480 3 ph</t>
  </si>
  <si>
    <t>600 amp fused disconnects</t>
  </si>
  <si>
    <t>EMDP Panel 100 amp 277/480 3p 30 circuit</t>
  </si>
  <si>
    <t>EMP Panel 100 amp 120/208 3p 30 circuit</t>
  </si>
  <si>
    <t>20 amp 3 ph breakers</t>
  </si>
  <si>
    <t>50 amp 3 ph breakers</t>
  </si>
  <si>
    <t>20 amp 1ph breakers</t>
  </si>
  <si>
    <t>60amp fused disconnect for office panel</t>
  </si>
  <si>
    <t>100amp ATS for EMDP Panels</t>
  </si>
  <si>
    <t>1600 amp feed from XFMR To Switch gear</t>
  </si>
  <si>
    <t>500 mcm cu 4 parallel feeds 50ft run</t>
  </si>
  <si>
    <t>ft</t>
  </si>
  <si>
    <t>4/0 cu gnd conductors</t>
  </si>
  <si>
    <t>500 mcm terminations</t>
  </si>
  <si>
    <t>4" Rigid Conduit</t>
  </si>
  <si>
    <t>90 deg bends</t>
  </si>
  <si>
    <t>GND Bushings</t>
  </si>
  <si>
    <t>4/0 terminations</t>
  </si>
  <si>
    <t>300 amp feed from Switch gear to Prodeval Panel</t>
  </si>
  <si>
    <t>350 mcm cu 250ft run</t>
  </si>
  <si>
    <t>4" conduit</t>
  </si>
  <si>
    <t>4/0 GND</t>
  </si>
  <si>
    <t>supports</t>
  </si>
  <si>
    <t>350 mcm terminations</t>
  </si>
  <si>
    <t>4" fittings</t>
  </si>
  <si>
    <t>60 amp feed to Office panel xfmr</t>
  </si>
  <si>
    <t>#6 awg</t>
  </si>
  <si>
    <t>1" conduit</t>
  </si>
  <si>
    <t>fittings</t>
  </si>
  <si>
    <t>terminations</t>
  </si>
  <si>
    <t># 10 gnd</t>
  </si>
  <si>
    <t>60 amp feed from switch gear to EMDP ATS</t>
  </si>
  <si>
    <t>100 amp feed to Office panel from XFMR</t>
  </si>
  <si>
    <t>#3 awg</t>
  </si>
  <si>
    <t>60 amp feed from ATS to EMDP</t>
  </si>
  <si>
    <t>Feeder from switch gear to Comp 1&amp; 2</t>
  </si>
  <si>
    <t>500 mcm cu 250 ft run</t>
  </si>
  <si>
    <t>100 amp feed from T-1 XFMR to EMP Panel</t>
  </si>
  <si>
    <t>ls</t>
  </si>
  <si>
    <t xml:space="preserve">50 amp feed from EMDP to T-1 XFMR  </t>
  </si>
  <si>
    <t>100 amp feed fromn Gen/set to ATS</t>
  </si>
  <si>
    <t>EMDP Branch circuits (20amp 3 ph) 150 ft runs (E8-E31-E14-E32)</t>
  </si>
  <si>
    <t>ea of below</t>
  </si>
  <si>
    <t>3/4" EMT Conduit</t>
  </si>
  <si>
    <t>Connectors</t>
  </si>
  <si>
    <t>Couplings</t>
  </si>
  <si>
    <t>Flex connectors</t>
  </si>
  <si>
    <t xml:space="preserve">ST Flex </t>
  </si>
  <si>
    <t>#12 THHN cu</t>
  </si>
  <si>
    <t>EMP Branch circuits (20amp 1 ph) 150 ft runs (E10,E11, E13, E12.1, E12.2,E12.3,E1, E23, E27, E9, E26)</t>
  </si>
  <si>
    <t>Grounding System</t>
  </si>
  <si>
    <t>Elect Consumables (5% of Electrical Material)</t>
  </si>
  <si>
    <t>lt</t>
  </si>
  <si>
    <t>Supervision</t>
  </si>
  <si>
    <t>Electrical Superintendent</t>
  </si>
  <si>
    <t>wk</t>
  </si>
  <si>
    <t>Per Diem</t>
  </si>
  <si>
    <t>Process Electrical</t>
  </si>
  <si>
    <t>Electrical  Additional Equipment</t>
  </si>
  <si>
    <t>Additional Notes</t>
  </si>
  <si>
    <t>Office Buildng</t>
  </si>
  <si>
    <t>Specialties / Painting</t>
  </si>
  <si>
    <t>Handrails / Misc Metal</t>
  </si>
  <si>
    <t>Parking Lot / Hardscape</t>
  </si>
  <si>
    <t>Precast Bumpers</t>
  </si>
  <si>
    <t>RS Means 32 17 13.19 1000 wheel stops, precast conctete incl. dowels, 6"x10" x 6'</t>
  </si>
  <si>
    <t>Pavement Marking</t>
  </si>
  <si>
    <t>stall</t>
  </si>
  <si>
    <t>RS Means 32 17 23.14 0825 lines in pvmt, parking stall, small quantities</t>
  </si>
  <si>
    <t>Handicap Marking + Sign</t>
  </si>
  <si>
    <t>RS Means 32 17 23.14 1200 handicap symbol, 1210 habdicpa parking sign and post</t>
  </si>
  <si>
    <t>Paving</t>
  </si>
  <si>
    <t>s.f.</t>
  </si>
  <si>
    <t>RS Means 32 12 16.44 0050 Ashpalt Paving, 4" binder course, 3" topping, 6" stone base</t>
  </si>
  <si>
    <t>Curb</t>
  </si>
  <si>
    <t>l.f.</t>
  </si>
  <si>
    <t>RS Means 32 16 13 0435 Curb and Gutter, straight with 6" high curb and 6" thick gutter, wood forms</t>
  </si>
  <si>
    <t>Sidewalk</t>
  </si>
  <si>
    <t xml:space="preserve">RS Means 32 06 10.10 0350 Concrete 3000 psi, CIP 6X6 WWF </t>
  </si>
  <si>
    <t>Bollards</t>
  </si>
  <si>
    <t>RS Means 32 17 13.13 1400 - 8" diameter, filled concrete w/ paint</t>
  </si>
  <si>
    <t>12.30.24 Milton Arco Estimate 50 bollards ( $150/ea + paint $150/ea + concrete $250/ea = $550 /ea</t>
  </si>
  <si>
    <t>Flagpole</t>
  </si>
  <si>
    <t>Landscaping</t>
  </si>
  <si>
    <t>Fencing</t>
  </si>
  <si>
    <t>Means 32 31 11.10 8' H, 6ga. Wire 2 1/2" line post, galv steel in concrete</t>
  </si>
  <si>
    <t>12.30.24 Milton Arco Estimate 421 L.F. $56.33/L.F.</t>
  </si>
  <si>
    <t>Vehicular Gate</t>
  </si>
  <si>
    <t>Means 32 31 13.20 3120 Double Swing Gate, inc. posts &amp; hardware, in concrete 20ft opening</t>
  </si>
  <si>
    <t>12.30.24 Milton Arco Estimate $10,000 per gate</t>
  </si>
  <si>
    <t>Pedestrian Gate</t>
  </si>
  <si>
    <t>Means 32 31 13 1400 Gate for 6" high fence 1-5/8" frame 3' wide 2" line post in concrete</t>
  </si>
  <si>
    <t>12.30.24 Milton Arco Estimate $2,000 per gate</t>
  </si>
  <si>
    <t>Storage Container</t>
  </si>
  <si>
    <t>Stone / Rock Overlay</t>
  </si>
  <si>
    <t>ton</t>
  </si>
  <si>
    <t>ARCO Milton Estimate - 12.30.24</t>
  </si>
  <si>
    <t>Fire Suppression / Hydrant</t>
  </si>
  <si>
    <t>Fire Hydrant 4"</t>
  </si>
  <si>
    <t>RS Means 33 14  19.30 1170</t>
  </si>
  <si>
    <t>4" Water Line</t>
  </si>
  <si>
    <t>lf</t>
  </si>
  <si>
    <t>RS Means 33 14 13.15 2020 (Pipe, Class 50 Ducticle Iron)</t>
  </si>
  <si>
    <t>Nat Gas Supply</t>
  </si>
  <si>
    <t>Nat Gas Metering</t>
  </si>
  <si>
    <t>Nat Gas Piping</t>
  </si>
  <si>
    <t>Septic Tank / System</t>
  </si>
  <si>
    <t>5000 Gallon, precast</t>
  </si>
  <si>
    <t>Tank $5000 RS Means 33 34 12 0200 + Excavation / Backfill $5000</t>
  </si>
  <si>
    <t>4" Sanitary Line + Backfill</t>
  </si>
  <si>
    <t>Domestic Water</t>
  </si>
  <si>
    <t>Water Metering</t>
  </si>
  <si>
    <t>2" Water Line</t>
  </si>
  <si>
    <t>Valves</t>
  </si>
  <si>
    <t>Mark ROM</t>
  </si>
  <si>
    <t>Security System</t>
  </si>
  <si>
    <t>Pasco 182,549.56 *400/2500 (note - Pasco included door controls)</t>
  </si>
  <si>
    <t>Site Lighting</t>
  </si>
  <si>
    <t>RS Means 26 56 13.1 2880 16' high light pole</t>
  </si>
  <si>
    <t>Office/Storage Exterior Lighting</t>
  </si>
  <si>
    <t>2024 Sales Tax Rates by State (July) | State &amp; Local Sales Taxes</t>
  </si>
  <si>
    <t>Chosen State</t>
  </si>
  <si>
    <t>PPI Commodity data for Final demand-Construction for private capital investment, seasonally adjusted WPSFD431</t>
  </si>
  <si>
    <t>CPI All items in U.S. city average, all urban consumers, not seasonally adjusted CUUR0000SA0 (Adjusted by -116.33)</t>
  </si>
  <si>
    <t>State</t>
  </si>
  <si>
    <t>State Tax Rate</t>
  </si>
  <si>
    <t>State Tax Rank</t>
  </si>
  <si>
    <t>Avg. Local Tax Rate</t>
  </si>
  <si>
    <t>Combined Rate</t>
  </si>
  <si>
    <t>Combined Rank</t>
  </si>
  <si>
    <t>Max Local Tax Rate</t>
  </si>
  <si>
    <t>Year</t>
  </si>
  <si>
    <t>Jan</t>
  </si>
  <si>
    <t>Feb</t>
  </si>
  <si>
    <t>Mar</t>
  </si>
  <si>
    <t>Apr</t>
  </si>
  <si>
    <t>May</t>
  </si>
  <si>
    <t>Jun</t>
  </si>
  <si>
    <t>Jul</t>
  </si>
  <si>
    <t>Aug</t>
  </si>
  <si>
    <t>Sep</t>
  </si>
  <si>
    <t>Oct</t>
  </si>
  <si>
    <t>Nov</t>
  </si>
  <si>
    <t>Dec</t>
  </si>
  <si>
    <t>Alabama</t>
  </si>
  <si>
    <t>Tax Exempt?</t>
  </si>
  <si>
    <t xml:space="preserve"> </t>
  </si>
  <si>
    <t>Alaska</t>
  </si>
  <si>
    <t>Arizona</t>
  </si>
  <si>
    <t>Arkansas</t>
  </si>
  <si>
    <t>California (a)</t>
  </si>
  <si>
    <t>Colorado</t>
  </si>
  <si>
    <t>Connecticut</t>
  </si>
  <si>
    <t>Delaware</t>
  </si>
  <si>
    <t>Florida</t>
  </si>
  <si>
    <t>Georgia</t>
  </si>
  <si>
    <t>Hawaii (b)</t>
  </si>
  <si>
    <t>Idaho</t>
  </si>
  <si>
    <t>Illinois</t>
  </si>
  <si>
    <t>Indiana</t>
  </si>
  <si>
    <t>Iowa</t>
  </si>
  <si>
    <t>Kansas</t>
  </si>
  <si>
    <t>Kentucky</t>
  </si>
  <si>
    <t>Louisiana</t>
  </si>
  <si>
    <t>Maine</t>
  </si>
  <si>
    <t>Maryland</t>
  </si>
  <si>
    <t>P : Preliminary. All indexes are subject to monthly revisions up to four months after original publication.</t>
  </si>
  <si>
    <t>Massachusetts</t>
  </si>
  <si>
    <t>Michigan</t>
  </si>
  <si>
    <t>Date</t>
  </si>
  <si>
    <t>Value</t>
  </si>
  <si>
    <t>Minnesota</t>
  </si>
  <si>
    <t>Mississippi</t>
  </si>
  <si>
    <t>Missouri</t>
  </si>
  <si>
    <t>Montana (c)</t>
  </si>
  <si>
    <t>Nebraska</t>
  </si>
  <si>
    <t>Nevada</t>
  </si>
  <si>
    <t>New Hampshire</t>
  </si>
  <si>
    <t>New Jersey (d)</t>
  </si>
  <si>
    <t>New Mexico (b)</t>
  </si>
  <si>
    <t>New York</t>
  </si>
  <si>
    <t>North Carolina</t>
  </si>
  <si>
    <t>North Dakota</t>
  </si>
  <si>
    <t>Ohio</t>
  </si>
  <si>
    <t>Oklahoma</t>
  </si>
  <si>
    <t>Oregon</t>
  </si>
  <si>
    <t>Pennsylvania</t>
  </si>
  <si>
    <t>Rhode Island</t>
  </si>
  <si>
    <t>South Carolina</t>
  </si>
  <si>
    <t>South Dakota (b)</t>
  </si>
  <si>
    <t>Index</t>
  </si>
  <si>
    <t>OG</t>
  </si>
  <si>
    <t>Current</t>
  </si>
  <si>
    <t>Percent</t>
  </si>
  <si>
    <t>Tennessee</t>
  </si>
  <si>
    <t>PPI</t>
  </si>
  <si>
    <t>Texas</t>
  </si>
  <si>
    <t>CPI</t>
  </si>
  <si>
    <t>Utah (a)</t>
  </si>
  <si>
    <t>Vermont</t>
  </si>
  <si>
    <t>Virginia (a)</t>
  </si>
  <si>
    <t>Calendar</t>
  </si>
  <si>
    <t>GMT</t>
  </si>
  <si>
    <t>Reference</t>
  </si>
  <si>
    <t>Reference_1</t>
  </si>
  <si>
    <t>Actual</t>
  </si>
  <si>
    <t>Previous</t>
  </si>
  <si>
    <t>Consensus</t>
  </si>
  <si>
    <t>TEForecast</t>
  </si>
  <si>
    <t>Washington</t>
  </si>
  <si>
    <t>West Virginia</t>
  </si>
  <si>
    <t>Wisconsin</t>
  </si>
  <si>
    <t>Wyoming</t>
  </si>
  <si>
    <t>District of Columbia</t>
  </si>
  <si>
    <t>Column1</t>
  </si>
  <si>
    <t>Column2</t>
  </si>
  <si>
    <t>Column3</t>
  </si>
  <si>
    <t/>
  </si>
  <si>
    <t>Note: City, county and municipal rates vary. Local rates are weighted by population to compute an average local tax rate.</t>
  </si>
  <si>
    <t>(a) Three states levy mandatory, statewide, local add-on sales taxes at the state level: California (1.25%), Utah (1.25%), and Virginia (1%). We include these in their state sales tax.</t>
  </si>
  <si>
    <t>(b) The sales taxes in Hawaii, New Mexico, and South Dakota have broad bases that include many business-to-business services.</t>
  </si>
  <si>
    <t>(c) Special taxes in local resort areas are not counted here.</t>
  </si>
  <si>
    <t>(d) Salem County, N.J., is not subject to the statewide sales tax rate and collects a local rate of 3.3125%. New Jersey’s local score is represented as a negative.</t>
  </si>
  <si>
    <t>View All</t>
  </si>
  <si>
    <t>Sources: Sales Tax Clearinghouse; Tax Foundation calculations; State Revenue Department websites.</t>
  </si>
  <si>
    <t>Includes:</t>
  </si>
  <si>
    <t>Flare / Product Gas Compressor / Gas Chromotpgraph</t>
  </si>
  <si>
    <t>Exludes:</t>
  </si>
  <si>
    <t>Owner's Cost</t>
  </si>
  <si>
    <t>Site Specific Issues</t>
  </si>
  <si>
    <t xml:space="preserve">
</t>
  </si>
  <si>
    <t>BOP Estimate*</t>
  </si>
  <si>
    <t>Firm</t>
  </si>
  <si>
    <t>Site</t>
  </si>
  <si>
    <t>Stage</t>
  </si>
  <si>
    <t>Size (SCFM)</t>
  </si>
  <si>
    <t xml:space="preserve">Construction </t>
  </si>
  <si>
    <t>Flare?</t>
  </si>
  <si>
    <t>Compressor?</t>
  </si>
  <si>
    <t>Major Exclusions / Notes</t>
  </si>
  <si>
    <t>Estimate Link</t>
  </si>
  <si>
    <t>Conceptual</t>
  </si>
  <si>
    <t>IFC</t>
  </si>
  <si>
    <t>GUU4</t>
  </si>
  <si>
    <t>Capex Model</t>
  </si>
  <si>
    <t>12.11.2024</t>
  </si>
  <si>
    <t>ARCO Murray</t>
  </si>
  <si>
    <t>Milton</t>
  </si>
  <si>
    <t>Burnham $</t>
  </si>
  <si>
    <t>n/a</t>
  </si>
  <si>
    <t>Removed contingency for GMP. Note 30% eng not included. Building Cost missing, includes demo</t>
  </si>
  <si>
    <t>Link</t>
  </si>
  <si>
    <t>1.31.2025</t>
  </si>
  <si>
    <t>T Diamond Bar</t>
  </si>
  <si>
    <t>OB-3 / Jedi</t>
  </si>
  <si>
    <t>Proj doenst require flare, excludes lagoon work</t>
  </si>
  <si>
    <t>1.23.2025</t>
  </si>
  <si>
    <t>Crowder</t>
  </si>
  <si>
    <t>Columbia</t>
  </si>
  <si>
    <t>Includes ~$1.7MM in site specific earthworks. Biogas line quoted separately</t>
  </si>
  <si>
    <t>11.25.2024</t>
  </si>
  <si>
    <t>Swinerton</t>
  </si>
  <si>
    <t>Persimmon</t>
  </si>
  <si>
    <t>Swinerton $</t>
  </si>
  <si>
    <t>Doesn’t include cost for a back-up generator / ATS, excluded lagoon work, doesnt include H2S and Blending</t>
  </si>
  <si>
    <t>Capex_V2</t>
  </si>
  <si>
    <t>4.8.25</t>
  </si>
  <si>
    <t>Peoria</t>
  </si>
  <si>
    <t>scatter plot each stage and each size</t>
  </si>
  <si>
    <t>Scatter plot will need to adjust based on equipment</t>
  </si>
  <si>
    <t>Company</t>
  </si>
  <si>
    <t>Actual?</t>
  </si>
  <si>
    <t>Total Estimate</t>
  </si>
  <si>
    <t>Lateral Estimate</t>
  </si>
  <si>
    <t>Lateral Distance</t>
  </si>
  <si>
    <t>$/mile</t>
  </si>
  <si>
    <t>Interconnect Facility</t>
  </si>
  <si>
    <t>ONG</t>
  </si>
  <si>
    <t>Pasco</t>
  </si>
  <si>
    <t>OB-3</t>
  </si>
  <si>
    <t>UGI</t>
  </si>
  <si>
    <t>Dominion</t>
  </si>
  <si>
    <t>Averages</t>
  </si>
  <si>
    <t>Commercial Items</t>
  </si>
  <si>
    <t>Category</t>
  </si>
  <si>
    <t>Ref.</t>
  </si>
  <si>
    <t>Metric</t>
  </si>
  <si>
    <t>Amount</t>
  </si>
  <si>
    <t>Supporting Calculations</t>
  </si>
  <si>
    <t xml:space="preserve">(1) </t>
  </si>
  <si>
    <t>Project Delivery (Mark's Team)</t>
  </si>
  <si>
    <t>Subtotal Construction Direct</t>
  </si>
  <si>
    <t>Annual Cost</t>
  </si>
  <si>
    <t>Allocation</t>
  </si>
  <si>
    <t>Duration</t>
  </si>
  <si>
    <t>$K</t>
  </si>
  <si>
    <t>%</t>
  </si>
  <si>
    <t>Months</t>
  </si>
  <si>
    <t>Subtotal Construction Management &amp; Indirects</t>
  </si>
  <si>
    <t>SPM</t>
  </si>
  <si>
    <t>EPC</t>
  </si>
  <si>
    <t>C-PM</t>
  </si>
  <si>
    <t>C-PE</t>
  </si>
  <si>
    <t>Trailer</t>
  </si>
  <si>
    <t>Initial fee to connect to utilities (Pasco $450k)</t>
  </si>
  <si>
    <t>% of EPC (quotes from McGriff/Marsh)</t>
  </si>
  <si>
    <t>(1)</t>
  </si>
  <si>
    <t>% of EPC. Project standard</t>
  </si>
  <si>
    <t>% of EPC. Unique to project</t>
  </si>
  <si>
    <t>(2)</t>
  </si>
  <si>
    <t xml:space="preserve">(2) </t>
  </si>
  <si>
    <t>Person A</t>
  </si>
  <si>
    <t>Person B</t>
  </si>
  <si>
    <t>Training/Travel/Etc.</t>
  </si>
  <si>
    <t>Escalation % based on CPI</t>
  </si>
  <si>
    <t>(3)</t>
  </si>
  <si>
    <t>% of sum of equipment + direct costs</t>
  </si>
  <si>
    <r>
      <rPr>
        <b/>
        <i/>
        <u/>
        <sz val="11"/>
        <color theme="1"/>
        <rFont val="Calibri"/>
        <family val="2"/>
      </rPr>
      <t>Source:</t>
    </r>
    <r>
      <rPr>
        <b/>
        <i/>
        <sz val="11"/>
        <color theme="1"/>
        <rFont val="Calibri"/>
        <family val="2"/>
      </rPr>
      <t xml:space="preserve"> </t>
    </r>
    <r>
      <rPr>
        <i/>
        <sz val="11"/>
        <color theme="1"/>
        <rFont val="Calibri"/>
        <family val="2"/>
      </rPr>
      <t>https://www.bls.gov/news.release/cpi.t01.htm</t>
    </r>
  </si>
  <si>
    <t>Prodeval Price Adjustment</t>
  </si>
  <si>
    <t>Effective Date</t>
  </si>
  <si>
    <t>COD Date</t>
  </si>
  <si>
    <t>Inflation</t>
  </si>
  <si>
    <t>Periods</t>
  </si>
  <si>
    <t>Adjustment Factor</t>
  </si>
  <si>
    <t>Start</t>
  </si>
  <si>
    <t>End</t>
  </si>
  <si>
    <t>Period</t>
  </si>
  <si>
    <t>Adj. Period</t>
  </si>
  <si>
    <t>CPI Change</t>
  </si>
  <si>
    <t>400 scfm GUU</t>
  </si>
  <si>
    <t>800 scfm GUU</t>
  </si>
  <si>
    <t>1200 scfm GUU</t>
  </si>
  <si>
    <t>400 scfm</t>
  </si>
  <si>
    <t>800 scfm</t>
  </si>
  <si>
    <t>1200 scfm</t>
  </si>
  <si>
    <t>FID</t>
  </si>
  <si>
    <t>Biogas scfm</t>
  </si>
  <si>
    <t>Total Burnham Costs</t>
  </si>
  <si>
    <t>Total Capex</t>
  </si>
  <si>
    <t>Check vs. sum</t>
  </si>
  <si>
    <t>Check vs. pretty picture tab</t>
  </si>
  <si>
    <t>Enable</t>
  </si>
  <si>
    <t>Addtl 1200 is additional from 800 so both must be added</t>
  </si>
  <si>
    <t>1200 is addtl from 400 so do not add both 800 and 1200</t>
  </si>
  <si>
    <t>Note - exludes tariffs, exclues extra contringency for early GMP. Note - flare in construction</t>
  </si>
  <si>
    <t>4.18.25</t>
  </si>
  <si>
    <t>Velocity</t>
  </si>
  <si>
    <t>Persimmons</t>
  </si>
  <si>
    <t>Note - equipment was for blending only. All equip except GUU in EPC. Add $100k for Burnham office</t>
  </si>
  <si>
    <t>Ameren</t>
  </si>
  <si>
    <t>GPSD</t>
  </si>
  <si>
    <t>Nashville</t>
  </si>
  <si>
    <t>Piedmont</t>
  </si>
  <si>
    <t>ANAEROBIC DIGESTER</t>
  </si>
  <si>
    <t>GAS UPGRADER</t>
  </si>
  <si>
    <t>CHROMATOGRAPH</t>
  </si>
  <si>
    <t>INTERCONNECT</t>
  </si>
  <si>
    <t>FLARE</t>
  </si>
  <si>
    <t>UTILITY COMPANY</t>
  </si>
  <si>
    <t>TRANSFORMER</t>
  </si>
  <si>
    <t>SWITCHGEAR</t>
  </si>
  <si>
    <t>GENERATOR</t>
  </si>
  <si>
    <t>PROJECT STATE</t>
  </si>
  <si>
    <t>TAX EXEMPT?</t>
  </si>
  <si>
    <t>Expected FID Date:</t>
  </si>
  <si>
    <t>1754 SCFM</t>
  </si>
  <si>
    <t>incl. manual hoist, first charge carbon, domestic content</t>
  </si>
  <si>
    <t>Deflagration Arrester</t>
  </si>
  <si>
    <t>Kockout Drum</t>
  </si>
  <si>
    <t>Automated Purge Gas Spool</t>
  </si>
  <si>
    <t>PLC Base Logic Control Panel</t>
  </si>
  <si>
    <t>Zeeco 1200 scfm candlestick</t>
  </si>
  <si>
    <t>1750 SCFM</t>
  </si>
  <si>
    <t>Candlestick vapor blower skid</t>
  </si>
  <si>
    <t>*Only use with Zeeco candlestick pricing</t>
  </si>
  <si>
    <t>Product Gas Compressor</t>
  </si>
  <si>
    <t>RNG COMPRESSOR</t>
  </si>
  <si>
    <t>0-100 PSI</t>
  </si>
  <si>
    <t>100-300 PSI</t>
  </si>
  <si>
    <t>300-1000 PSI</t>
  </si>
  <si>
    <t>2.5 Compressors (Ariel)</t>
  </si>
  <si>
    <t xml:space="preserve">Flare </t>
  </si>
  <si>
    <t>400 SCFM AEI-Columbia Quote $358,050, GPSD ARCO Quote - 102.5 committed 350 on GMP, 1200 SCFM - Purpose $582,476</t>
  </si>
  <si>
    <t>ARCO GMP</t>
  </si>
  <si>
    <t>Note - 800-1200 layout sizes are very similar</t>
  </si>
  <si>
    <t>Adjustment per 2025 GMP Pricing</t>
  </si>
  <si>
    <t>Erosion Control</t>
  </si>
  <si>
    <t>Light Pole Foundations</t>
  </si>
  <si>
    <t>ea.</t>
  </si>
  <si>
    <t>Stoop</t>
  </si>
  <si>
    <t>Misc. Concrete (unknown site req)</t>
  </si>
  <si>
    <t>Storm Water Piping</t>
  </si>
  <si>
    <t>Dec 2025:</t>
  </si>
  <si>
    <t>185.450</t>
  </si>
  <si>
    <t>Nov 2025:</t>
  </si>
  <si>
    <t>185.291</t>
  </si>
  <si>
    <t>Oct 2025:</t>
  </si>
  <si>
    <t>185.311</t>
  </si>
  <si>
    <t>Sep 2025:</t>
  </si>
  <si>
    <t>182.054</t>
  </si>
  <si>
    <t>Aug 2025:</t>
  </si>
  <si>
    <t>182.072</t>
  </si>
  <si>
    <t>Internal Labor Cost Estimator</t>
  </si>
  <si>
    <t>Fixtures and Furnishings</t>
  </si>
  <si>
    <t xml:space="preserve">   Fixtures and Furnishings</t>
  </si>
  <si>
    <t>(Scaled to Feb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</si>
</sst>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6">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quot;$&quot;#,##0.00"/>
    <numFmt numFmtId="165" formatCode="_(&quot;$&quot;* #,##0_);_(&quot;$&quot;* \(#,##0\);_(&quot;$&quot;* &quot;-&quot;??_);_(@_)"/>
    <numFmt numFmtId="166" formatCode="General_)"/>
    <numFmt numFmtId="167" formatCode="0.0%"/>
    <numFmt numFmtId="168" formatCode="[$-F800]dddd\,\ mmmm\ dd\,\ yyyy"/>
    <numFmt numFmtId="169" formatCode="[$$-409]#,##0_);\([$$-409]#,##0\)"/>
    <numFmt numFmtId="170" formatCode="#,##0.000_);\(#,##0.000\)"/>
    <numFmt numFmtId="171" formatCode="[$-F400]h:mm:ss\ AM/PM"/>
    <numFmt numFmtId="172" formatCode="0.0"/>
    <numFmt numFmtId="173" formatCode="_(* #,##0.0_);_(* \(#,##0.0\);_(* &quot;-&quot;_);_(@_)"/>
    <numFmt numFmtId="174" formatCode="m/d/yy;@"/>
  </numFmts>
  <fonts count="45" x14ac:knownFonts="1">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9"/>
      <name val="Aptos Narrow"/>
      <family val="2"/>
      <scheme val="minor"/>
    </font>
    <font>
      <sz val="11"/>
      <name val="Aptos Narrow"/>
      <family val="2"/>
      <scheme val="minor"/>
    </font>
    <font>
      <sz val="12"/>
      <color theme="1"/>
      <name val="Calibri"/>
      <family val="2"/>
    </font>
    <font>
      <b/>
      <sz val="12"/>
      <color theme="1"/>
      <name val="Calibri"/>
      <family val="2"/>
    </font>
    <font>
      <b/>
      <sz val="16"/>
      <color theme="0"/>
      <name val="Aptos Narrow"/>
      <family val="2"/>
      <scheme val="minor"/>
    </font>
    <font>
      <u/>
      <sz val="11"/>
      <color theme="10"/>
      <name val="Aptos Narrow"/>
      <family val="2"/>
      <scheme val="minor"/>
    </font>
    <font>
      <sz val="11"/>
      <color rgb="FF242424"/>
      <name val="Aptos Narrow"/>
      <family val="2"/>
    </font>
    <font>
      <sz val="11"/>
      <color theme="1"/>
      <name val="Aptos Narrow"/>
      <family val="2"/>
    </font>
    <font>
      <sz val="11"/>
      <color theme="0"/>
      <name val="Aptos Narrow"/>
      <family val="2"/>
      <scheme val="minor"/>
    </font>
    <font>
      <sz val="12"/>
      <name val="Courier"/>
    </font>
    <font>
      <sz val="10"/>
      <name val="Arial"/>
      <family val="2"/>
    </font>
    <font>
      <sz val="8"/>
      <color theme="1"/>
      <name val="Aptos Narrow"/>
      <family val="2"/>
      <scheme val="minor"/>
    </font>
    <font>
      <sz val="11"/>
      <name val="Calibri"/>
      <family val="2"/>
    </font>
    <font>
      <sz val="10"/>
      <name val="Aptos Narrow"/>
      <family val="2"/>
      <scheme val="minor"/>
    </font>
    <font>
      <sz val="8"/>
      <name val="Aptos Narrow"/>
      <family val="2"/>
      <scheme val="minor"/>
    </font>
    <font>
      <sz val="9"/>
      <color theme="1"/>
      <name val="Aptos Narrow"/>
      <family val="2"/>
      <scheme val="minor"/>
    </font>
    <font>
      <b/>
      <sz val="11"/>
      <color theme="0"/>
      <name val="Calibri"/>
      <family val="2"/>
    </font>
    <font>
      <sz val="9"/>
      <color theme="0" tint="-0.499984740745262"/>
      <name val="Aptos Narrow"/>
      <family val="2"/>
      <scheme val="minor"/>
    </font>
    <font>
      <sz val="11"/>
      <color theme="0" tint="-0.499984740745262"/>
      <name val="Aptos Narrow"/>
      <family val="2"/>
      <scheme val="minor"/>
    </font>
    <font>
      <sz val="11"/>
      <color theme="0" tint="-0.499984740745262"/>
      <name val="Aptos Narrow"/>
      <family val="2"/>
    </font>
    <font>
      <b/>
      <sz val="11"/>
      <name val="Aptos Narrow"/>
      <family val="2"/>
      <scheme val="minor"/>
    </font>
    <font>
      <b/>
      <sz val="16"/>
      <color rgb="FF00B050"/>
      <name val="Aptos Narrow"/>
      <family val="2"/>
      <scheme val="minor"/>
    </font>
    <font>
      <b/>
      <sz val="24"/>
      <color rgb="FF00B050"/>
      <name val="Aptos Narrow"/>
      <family val="2"/>
      <scheme val="minor"/>
    </font>
    <font>
      <b/>
      <sz val="11"/>
      <color rgb="FFFF0000"/>
      <name val="Aptos Narrow"/>
      <family val="2"/>
      <scheme val="minor"/>
    </font>
    <font>
      <sz val="11"/>
      <color rgb="FF0000FF"/>
      <name val="Aptos Narrow"/>
      <family val="2"/>
      <scheme val="minor"/>
    </font>
    <font>
      <i/>
      <sz val="11"/>
      <color theme="1"/>
      <name val="Aptos Narrow"/>
      <family val="2"/>
      <scheme val="minor"/>
    </font>
    <font>
      <sz val="11"/>
      <color theme="9" tint="-0.249977111117893"/>
      <name val="Aptos Narrow"/>
      <family val="2"/>
      <scheme val="minor"/>
    </font>
    <font>
      <sz val="11"/>
      <color indexed="8"/>
      <name val="Aptos Narrow"/>
      <family val="2"/>
      <scheme val="minor"/>
    </font>
    <font>
      <b/>
      <i/>
      <u/>
      <sz val="11"/>
      <color theme="1"/>
      <name val="Calibri"/>
      <family val="2"/>
    </font>
    <font>
      <b/>
      <i/>
      <sz val="11"/>
      <color theme="1"/>
      <name val="Calibri"/>
      <family val="2"/>
    </font>
    <font>
      <i/>
      <sz val="11"/>
      <color theme="1"/>
      <name val="Calibri"/>
      <family val="2"/>
    </font>
    <font>
      <b/>
      <sz val="11"/>
      <color theme="1"/>
      <name val="Calibri"/>
      <family val="2"/>
    </font>
    <font>
      <sz val="11"/>
      <color theme="1"/>
      <name val="Calibri"/>
      <family val="2"/>
    </font>
    <font>
      <sz val="11"/>
      <color theme="0"/>
      <name val="Calibri"/>
      <family val="2"/>
    </font>
    <font>
      <sz val="11"/>
      <color rgb="FF0000FF"/>
      <name val="Calibri"/>
      <family val="2"/>
    </font>
    <font>
      <b/>
      <sz val="11"/>
      <name val="Calibri"/>
      <family val="2"/>
    </font>
    <font>
      <sz val="11"/>
      <color theme="9" tint="-0.249977111117893"/>
      <name val="Calibri"/>
      <family val="2"/>
    </font>
    <font>
      <sz val="11"/>
      <color indexed="8"/>
      <name val="Calibri"/>
      <family val="2"/>
    </font>
    <font>
      <b/>
      <u val="singleAccounting"/>
      <sz val="11"/>
      <color theme="0"/>
      <name val="Aptos Narrow"/>
      <family val="2"/>
      <scheme val="minor"/>
    </font>
    <font>
      <sz val="11"/>
      <color rgb="FFFF0000"/>
      <name val="Aptos Narrow"/>
      <family val="2"/>
      <scheme val="minor"/>
    </font>
    <font>
      <b/>
      <sz val="11"/>
      <color theme="9" tint="-0.249977111117893"/>
      <name val="Aptos Narrow"/>
      <family val="2"/>
      <scheme val="minor"/>
    </font>
  </fonts>
  <fills count="16">
    <fill>
      <patternFill patternType="none"/>
    </fill>
    <fill>
      <patternFill patternType="gray125"/>
    </fill>
    <fill>
      <patternFill patternType="solid">
        <fgColor theme="0"/>
        <bgColor indexed="64"/>
      </patternFill>
    </fill>
    <fill>
      <patternFill patternType="solid">
        <fgColor theme="1"/>
        <bgColor indexed="64"/>
      </patternFill>
    </fill>
    <fill>
      <patternFill patternType="solid">
        <fgColor theme="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3" tint="0.89999084444715716"/>
        <bgColor indexed="64"/>
      </patternFill>
    </fill>
    <fill>
      <patternFill patternType="solid">
        <fgColor rgb="FF00B050"/>
        <bgColor indexed="64"/>
      </patternFill>
    </fill>
    <fill>
      <patternFill patternType="solid">
        <fgColor rgb="FFD4DBE4"/>
        <bgColor indexed="64"/>
      </patternFill>
    </fill>
    <fill>
      <patternFill patternType="solid">
        <fgColor rgb="FF44546A"/>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3"/>
        <bgColor indexed="64"/>
      </patternFill>
    </fill>
    <fill>
      <patternFill patternType="solid">
        <fgColor rgb="FFFFFFCC"/>
        <bgColor indexed="64"/>
      </patternFill>
    </fill>
    <fill>
      <patternFill patternType="solid">
        <fgColor rgb="FFFFFF00"/>
        <bgColor indexed="64"/>
      </patternFill>
    </fill>
  </fills>
  <borders count="67">
    <border>
      <left/>
      <right/>
      <top/>
      <bottom/>
      <diagonal/>
    </border>
    <border>
      <left/>
      <right style="medium">
        <color indexed="64"/>
      </right>
      <top style="medium">
        <color indexed="64"/>
      </top>
      <bottom/>
      <diagonal/>
    </border>
    <border>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thin">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top/>
      <bottom/>
      <diagonal/>
    </border>
    <border>
      <left style="medium">
        <color indexed="64"/>
      </left>
      <right/>
      <top/>
      <bottom/>
      <diagonal/>
    </border>
    <border>
      <left/>
      <right/>
      <top/>
      <bottom style="medium">
        <color indexed="64"/>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style="medium">
        <color theme="3" tint="0.89999084444715716"/>
      </right>
      <top/>
      <bottom/>
      <diagonal/>
    </border>
    <border>
      <left style="medium">
        <color theme="3" tint="0.89999084444715716"/>
      </left>
      <right/>
      <top/>
      <bottom/>
      <diagonal/>
    </border>
    <border>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bottom style="dotted">
        <color rgb="FF00B050"/>
      </bottom>
      <diagonal/>
    </border>
    <border>
      <left style="dotted">
        <color rgb="FF00B050"/>
      </left>
      <right/>
      <top/>
      <bottom style="dotted">
        <color rgb="FF00B050"/>
      </bottom>
      <diagonal/>
    </border>
    <border>
      <left style="dotted">
        <color rgb="FF00B050"/>
      </left>
      <right/>
      <top/>
      <bottom/>
      <diagonal/>
    </border>
    <border>
      <left/>
      <right style="dotted">
        <color rgb="FF00B050"/>
      </right>
      <top/>
      <bottom/>
      <diagonal/>
    </border>
    <border>
      <left/>
      <right style="dotted">
        <color rgb="FF00B050"/>
      </right>
      <top/>
      <bottom style="dotted">
        <color rgb="FF00B050"/>
      </bottom>
      <diagonal/>
    </border>
    <border>
      <left style="dotted">
        <color rgb="FF00B050"/>
      </left>
      <right/>
      <top style="dotted">
        <color rgb="FF00B050"/>
      </top>
      <bottom/>
      <diagonal/>
    </border>
    <border>
      <left/>
      <right/>
      <top style="dotted">
        <color rgb="FF00B050"/>
      </top>
      <bottom/>
      <diagonal/>
    </border>
    <border>
      <left style="dotted">
        <color rgb="FF0000FF"/>
      </left>
      <right/>
      <top style="dotted">
        <color rgb="FF0000FF"/>
      </top>
      <bottom/>
      <diagonal/>
    </border>
    <border>
      <left/>
      <right/>
      <top style="dotted">
        <color rgb="FF0000FF"/>
      </top>
      <bottom/>
      <diagonal/>
    </border>
    <border>
      <left/>
      <right style="dotted">
        <color rgb="FF0000FF"/>
      </right>
      <top style="dotted">
        <color rgb="FF0000FF"/>
      </top>
      <bottom/>
      <diagonal/>
    </border>
    <border>
      <left style="dotted">
        <color rgb="FF0000FF"/>
      </left>
      <right/>
      <top/>
      <bottom/>
      <diagonal/>
    </border>
    <border>
      <left/>
      <right style="dotted">
        <color rgb="FF0000FF"/>
      </right>
      <top/>
      <bottom/>
      <diagonal/>
    </border>
    <border>
      <left style="dotted">
        <color rgb="FF0000FF"/>
      </left>
      <right/>
      <top/>
      <bottom style="dotted">
        <color rgb="FF0000FF"/>
      </bottom>
      <diagonal/>
    </border>
    <border>
      <left/>
      <right/>
      <top/>
      <bottom style="dotted">
        <color rgb="FF0000FF"/>
      </bottom>
      <diagonal/>
    </border>
    <border>
      <left/>
      <right style="dotted">
        <color rgb="FF0000FF"/>
      </right>
      <top/>
      <bottom style="dotted">
        <color rgb="FF0000FF"/>
      </bottom>
      <diagonal/>
    </border>
    <border>
      <left style="thin">
        <color theme="0" tint="-0.14999847407452621"/>
      </left>
      <right/>
      <top style="thin">
        <color theme="0" tint="-0.14999847407452621"/>
      </top>
      <bottom style="thin">
        <color theme="0" tint="-0.14999847407452621"/>
      </bottom>
      <diagonal/>
    </border>
    <border>
      <left/>
      <right style="thin">
        <color theme="0" tint="-0.14999847407452621"/>
      </right>
      <top style="thin">
        <color theme="0" tint="-0.14999847407452621"/>
      </top>
      <bottom style="thin">
        <color theme="0" tint="-0.14999847407452621"/>
      </bottom>
      <diagonal/>
    </border>
    <border>
      <left style="medium">
        <color rgb="FF44546A"/>
      </left>
      <right/>
      <top style="medium">
        <color rgb="FF44546A"/>
      </top>
      <bottom/>
      <diagonal/>
    </border>
    <border>
      <left/>
      <right/>
      <top style="medium">
        <color rgb="FF44546A"/>
      </top>
      <bottom/>
      <diagonal/>
    </border>
    <border>
      <left/>
      <right style="medium">
        <color rgb="FF44546A"/>
      </right>
      <top style="medium">
        <color rgb="FF44546A"/>
      </top>
      <bottom/>
      <diagonal/>
    </border>
    <border>
      <left style="medium">
        <color rgb="FF44546A"/>
      </left>
      <right/>
      <top/>
      <bottom/>
      <diagonal/>
    </border>
    <border>
      <left/>
      <right style="medium">
        <color rgb="FF44546A"/>
      </right>
      <top/>
      <bottom/>
      <diagonal/>
    </border>
    <border>
      <left style="medium">
        <color rgb="FF44546A"/>
      </left>
      <right/>
      <top/>
      <bottom style="medium">
        <color rgb="FF44546A"/>
      </bottom>
      <diagonal/>
    </border>
    <border>
      <left/>
      <right/>
      <top/>
      <bottom style="medium">
        <color rgb="FF44546A"/>
      </bottom>
      <diagonal/>
    </border>
    <border>
      <left/>
      <right style="medium">
        <color rgb="FF44546A"/>
      </right>
      <top/>
      <bottom style="medium">
        <color rgb="FF44546A"/>
      </bottom>
      <diagonal/>
    </border>
    <border>
      <left style="medium">
        <color rgb="FF44546A"/>
      </left>
      <right style="medium">
        <color rgb="FF44546A"/>
      </right>
      <top/>
      <bottom/>
      <diagonal/>
    </border>
    <border>
      <left style="medium">
        <color rgb="FF44546A"/>
      </left>
      <right style="medium">
        <color rgb="FF44546A"/>
      </right>
      <top style="medium">
        <color rgb="FF44546A"/>
      </top>
      <bottom/>
      <diagonal/>
    </border>
    <border>
      <left style="medium">
        <color rgb="FF44546A"/>
      </left>
      <right style="medium">
        <color rgb="FF44546A"/>
      </right>
      <top/>
      <bottom style="medium">
        <color rgb="FF44546A"/>
      </bottom>
      <diagonal/>
    </border>
  </borders>
  <cellStyleXfs count="8">
    <xf numFmtId="0" fontId="0" fillId="0" borderId="0"/>
    <xf numFmtId="44" fontId="1" fillId="0" borderId="0" applyFont="0" applyFill="0" applyBorder="0" applyAlignment="0" applyProtection="0"/>
    <xf numFmtId="0" fontId="9" fillId="0" borderId="0" applyNumberFormat="0" applyFill="0" applyBorder="0" applyAlignment="0" applyProtection="0"/>
    <xf numFmtId="9" fontId="1" fillId="0" borderId="0" applyFont="0" applyFill="0" applyBorder="0" applyAlignment="0" applyProtection="0"/>
    <xf numFmtId="166" fontId="13" fillId="0" borderId="0"/>
    <xf numFmtId="0" fontId="16" fillId="0" borderId="0"/>
    <xf numFmtId="0" fontId="31" fillId="0" borderId="0"/>
    <xf numFmtId="43" fontId="1" fillId="0" borderId="0" applyFont="0" applyFill="0" applyBorder="0" applyAlignment="0" applyProtection="0"/>
  </cellStyleXfs>
  <cellXfs count="477">
    <xf numFmtId="0" fontId="0" fillId="0" borderId="0" xfId="0"/>
    <xf numFmtId="44" fontId="0" fillId="0" borderId="0" xfId="1" applyFont="1"/>
    <xf numFmtId="44" fontId="0" fillId="0" borderId="4" xfId="1" applyFont="1" applyBorder="1"/>
    <xf numFmtId="0" fontId="3" fillId="0" borderId="0" xfId="0" applyFont="1"/>
    <xf numFmtId="44" fontId="3" fillId="0" borderId="0" xfId="1" applyFont="1"/>
    <xf numFmtId="0" fontId="6" fillId="0" borderId="0" xfId="0" applyFont="1"/>
    <xf numFmtId="0" fontId="6" fillId="2" borderId="0" xfId="0" applyFont="1" applyFill="1"/>
    <xf numFmtId="0" fontId="7" fillId="2" borderId="0" xfId="0" applyFont="1" applyFill="1" applyAlignment="1">
      <alignment horizontal="left" indent="1"/>
    </xf>
    <xf numFmtId="0" fontId="7" fillId="2" borderId="0" xfId="0" applyFont="1" applyFill="1"/>
    <xf numFmtId="0" fontId="0" fillId="2" borderId="0" xfId="0" applyFill="1"/>
    <xf numFmtId="0" fontId="0" fillId="0" borderId="8" xfId="0" applyBorder="1" applyAlignment="1">
      <alignment horizontal="right" vertical="center"/>
    </xf>
    <xf numFmtId="0" fontId="0" fillId="0" borderId="9" xfId="0" applyBorder="1"/>
    <xf numFmtId="6" fontId="0" fillId="0" borderId="9" xfId="0" applyNumberFormat="1" applyBorder="1" applyAlignment="1">
      <alignment horizontal="left"/>
    </xf>
    <xf numFmtId="0" fontId="3" fillId="0" borderId="8" xfId="0" applyFont="1" applyBorder="1" applyAlignment="1">
      <alignment horizontal="right"/>
    </xf>
    <xf numFmtId="0" fontId="3" fillId="0" borderId="8" xfId="0" applyFont="1" applyBorder="1" applyAlignment="1">
      <alignment horizontal="right" vertical="center"/>
    </xf>
    <xf numFmtId="44" fontId="3" fillId="0" borderId="8" xfId="1" applyFont="1" applyBorder="1" applyAlignment="1">
      <alignment horizontal="right" vertical="center"/>
    </xf>
    <xf numFmtId="0" fontId="3" fillId="0" borderId="10" xfId="0" applyFont="1" applyBorder="1" applyAlignment="1">
      <alignment horizontal="right"/>
    </xf>
    <xf numFmtId="44" fontId="0" fillId="0" borderId="11" xfId="1" applyFont="1" applyBorder="1"/>
    <xf numFmtId="0" fontId="0" fillId="0" borderId="12" xfId="0" applyBorder="1"/>
    <xf numFmtId="0" fontId="8" fillId="3" borderId="5" xfId="0" applyFont="1" applyFill="1" applyBorder="1" applyAlignment="1">
      <alignment horizontal="center" vertical="center"/>
    </xf>
    <xf numFmtId="44" fontId="8" fillId="3" borderId="6" xfId="1" applyFont="1" applyFill="1" applyBorder="1" applyAlignment="1">
      <alignment horizontal="center" vertical="center"/>
    </xf>
    <xf numFmtId="0" fontId="8" fillId="3" borderId="7" xfId="0" applyFont="1" applyFill="1" applyBorder="1" applyAlignment="1">
      <alignment horizontal="center" vertical="center"/>
    </xf>
    <xf numFmtId="0" fontId="3" fillId="4" borderId="8" xfId="0" applyFont="1" applyFill="1" applyBorder="1" applyAlignment="1">
      <alignment horizontal="center" vertical="center"/>
    </xf>
    <xf numFmtId="44" fontId="3" fillId="4" borderId="4" xfId="1" applyFont="1" applyFill="1" applyBorder="1" applyAlignment="1">
      <alignment vertical="center"/>
    </xf>
    <xf numFmtId="0" fontId="3" fillId="4" borderId="9" xfId="0" applyFont="1" applyFill="1" applyBorder="1" applyAlignment="1">
      <alignment vertical="center"/>
    </xf>
    <xf numFmtId="0" fontId="3" fillId="4" borderId="8" xfId="0" applyFont="1" applyFill="1" applyBorder="1" applyAlignment="1">
      <alignment horizontal="center"/>
    </xf>
    <xf numFmtId="44" fontId="0" fillId="4" borderId="4" xfId="1" applyFont="1" applyFill="1" applyBorder="1"/>
    <xf numFmtId="0" fontId="0" fillId="4" borderId="9" xfId="0" applyFill="1" applyBorder="1"/>
    <xf numFmtId="0" fontId="0" fillId="0" borderId="0" xfId="0" applyAlignment="1">
      <alignment horizontal="center"/>
    </xf>
    <xf numFmtId="9" fontId="0" fillId="0" borderId="0" xfId="0" applyNumberFormat="1" applyAlignment="1">
      <alignment horizontal="center"/>
    </xf>
    <xf numFmtId="0" fontId="0" fillId="0" borderId="0" xfId="0" applyAlignment="1">
      <alignment horizontal="left" indent="1"/>
    </xf>
    <xf numFmtId="0" fontId="0" fillId="6" borderId="0" xfId="0" applyFill="1"/>
    <xf numFmtId="3" fontId="0" fillId="0" borderId="0" xfId="1" applyNumberFormat="1" applyFont="1" applyBorder="1"/>
    <xf numFmtId="3" fontId="0" fillId="5" borderId="0" xfId="1" applyNumberFormat="1" applyFont="1" applyFill="1" applyBorder="1"/>
    <xf numFmtId="0" fontId="0" fillId="2" borderId="0" xfId="0" applyFill="1" applyAlignment="1">
      <alignment horizontal="center"/>
    </xf>
    <xf numFmtId="0" fontId="3" fillId="7" borderId="0" xfId="0" applyFont="1" applyFill="1"/>
    <xf numFmtId="0" fontId="3" fillId="7" borderId="0" xfId="0" applyFont="1" applyFill="1" applyAlignment="1">
      <alignment horizontal="center"/>
    </xf>
    <xf numFmtId="164" fontId="3" fillId="7" borderId="0" xfId="0" applyNumberFormat="1" applyFont="1" applyFill="1"/>
    <xf numFmtId="1" fontId="0" fillId="0" borderId="0" xfId="0" applyNumberFormat="1"/>
    <xf numFmtId="0" fontId="0" fillId="0" borderId="0" xfId="0" applyAlignment="1">
      <alignment horizontal="left"/>
    </xf>
    <xf numFmtId="164" fontId="3" fillId="7" borderId="28" xfId="0" applyNumberFormat="1" applyFont="1" applyFill="1" applyBorder="1"/>
    <xf numFmtId="0" fontId="2" fillId="8" borderId="0" xfId="0" applyFont="1" applyFill="1" applyAlignment="1">
      <alignment horizontal="center"/>
    </xf>
    <xf numFmtId="0" fontId="2" fillId="8" borderId="14" xfId="0" applyFont="1" applyFill="1" applyBorder="1"/>
    <xf numFmtId="0" fontId="2" fillId="8" borderId="0" xfId="0" applyFont="1" applyFill="1"/>
    <xf numFmtId="0" fontId="12" fillId="8" borderId="0" xfId="0" applyFont="1" applyFill="1"/>
    <xf numFmtId="0" fontId="2" fillId="8" borderId="27" xfId="0" applyFont="1" applyFill="1" applyBorder="1"/>
    <xf numFmtId="164" fontId="2" fillId="8" borderId="29" xfId="0" applyNumberFormat="1" applyFont="1" applyFill="1" applyBorder="1"/>
    <xf numFmtId="164" fontId="2" fillId="8" borderId="0" xfId="0" applyNumberFormat="1" applyFont="1" applyFill="1"/>
    <xf numFmtId="9" fontId="0" fillId="0" borderId="0" xfId="3" applyFont="1" applyFill="1" applyBorder="1"/>
    <xf numFmtId="0" fontId="2" fillId="0" borderId="0" xfId="0" applyFont="1"/>
    <xf numFmtId="0" fontId="0" fillId="0" borderId="0" xfId="0" applyAlignment="1">
      <alignment wrapText="1"/>
    </xf>
    <xf numFmtId="164" fontId="0" fillId="0" borderId="0" xfId="0" applyNumberFormat="1"/>
    <xf numFmtId="41" fontId="0" fillId="0" borderId="0" xfId="0" applyNumberFormat="1"/>
    <xf numFmtId="43" fontId="0" fillId="0" borderId="0" xfId="0" applyNumberFormat="1"/>
    <xf numFmtId="0" fontId="0" fillId="0" borderId="0" xfId="0" applyAlignment="1">
      <alignment horizontal="left" wrapText="1" indent="1"/>
    </xf>
    <xf numFmtId="0" fontId="0" fillId="0" borderId="0" xfId="0" applyAlignment="1">
      <alignment horizontal="left" vertical="center" wrapText="1" indent="1"/>
    </xf>
    <xf numFmtId="49" fontId="14" fillId="0" borderId="0" xfId="4" applyNumberFormat="1" applyFont="1" applyAlignment="1" applyProtection="1">
      <alignment wrapText="1"/>
      <protection locked="0"/>
    </xf>
    <xf numFmtId="9" fontId="1" fillId="0" borderId="0" xfId="3" applyFont="1" applyFill="1" applyBorder="1"/>
    <xf numFmtId="9" fontId="1" fillId="6" borderId="0" xfId="3" applyFont="1" applyFill="1" applyBorder="1"/>
    <xf numFmtId="0" fontId="0" fillId="6" borderId="0" xfId="0" applyFill="1" applyAlignment="1">
      <alignment horizontal="left" vertical="center" wrapText="1" indent="1"/>
    </xf>
    <xf numFmtId="1" fontId="0" fillId="6" borderId="0" xfId="0" applyNumberFormat="1" applyFill="1"/>
    <xf numFmtId="43" fontId="0" fillId="6" borderId="0" xfId="0" applyNumberFormat="1" applyFill="1"/>
    <xf numFmtId="0" fontId="0" fillId="6" borderId="0" xfId="0" applyFill="1" applyAlignment="1">
      <alignment vertical="center" wrapText="1"/>
    </xf>
    <xf numFmtId="9" fontId="0" fillId="6" borderId="0" xfId="3" applyFont="1" applyFill="1" applyBorder="1"/>
    <xf numFmtId="0" fontId="3" fillId="6" borderId="0" xfId="0" applyFont="1" applyFill="1"/>
    <xf numFmtId="0" fontId="15" fillId="6" borderId="0" xfId="0" applyFont="1" applyFill="1" applyAlignment="1">
      <alignment vertical="center" wrapText="1"/>
    </xf>
    <xf numFmtId="0" fontId="15" fillId="6" borderId="0" xfId="0" applyFont="1" applyFill="1"/>
    <xf numFmtId="9" fontId="15" fillId="6" borderId="0" xfId="3" applyFont="1" applyFill="1" applyBorder="1"/>
    <xf numFmtId="43" fontId="15" fillId="6" borderId="0" xfId="0" applyNumberFormat="1" applyFont="1" applyFill="1"/>
    <xf numFmtId="43" fontId="0" fillId="0" borderId="0" xfId="3" applyNumberFormat="1" applyFont="1" applyFill="1" applyBorder="1"/>
    <xf numFmtId="41" fontId="3" fillId="7" borderId="0" xfId="0" applyNumberFormat="1" applyFont="1" applyFill="1"/>
    <xf numFmtId="1" fontId="3" fillId="7" borderId="0" xfId="0" applyNumberFormat="1" applyFont="1" applyFill="1"/>
    <xf numFmtId="2" fontId="3" fillId="7" borderId="0" xfId="0" applyNumberFormat="1" applyFont="1" applyFill="1"/>
    <xf numFmtId="43" fontId="3" fillId="7" borderId="0" xfId="0" applyNumberFormat="1" applyFont="1" applyFill="1"/>
    <xf numFmtId="164" fontId="0" fillId="6" borderId="0" xfId="0" applyNumberFormat="1" applyFill="1"/>
    <xf numFmtId="43" fontId="0" fillId="9" borderId="0" xfId="0" applyNumberFormat="1" applyFill="1"/>
    <xf numFmtId="0" fontId="0" fillId="9" borderId="0" xfId="0" applyFill="1"/>
    <xf numFmtId="9" fontId="0" fillId="9" borderId="0" xfId="3" applyFont="1" applyFill="1" applyBorder="1"/>
    <xf numFmtId="0" fontId="0" fillId="8" borderId="0" xfId="0" applyFill="1"/>
    <xf numFmtId="164" fontId="0" fillId="8" borderId="0" xfId="0" applyNumberFormat="1" applyFill="1"/>
    <xf numFmtId="1" fontId="3" fillId="8" borderId="0" xfId="0" applyNumberFormat="1" applyFont="1" applyFill="1"/>
    <xf numFmtId="2" fontId="0" fillId="0" borderId="15" xfId="0" applyNumberFormat="1" applyBorder="1"/>
    <xf numFmtId="44" fontId="2" fillId="0" borderId="15" xfId="0" applyNumberFormat="1" applyFont="1" applyBorder="1"/>
    <xf numFmtId="44" fontId="3" fillId="7" borderId="15" xfId="0" applyNumberFormat="1" applyFont="1" applyFill="1" applyBorder="1"/>
    <xf numFmtId="43" fontId="0" fillId="0" borderId="15" xfId="0" applyNumberFormat="1" applyBorder="1"/>
    <xf numFmtId="164" fontId="0" fillId="6" borderId="15" xfId="0" applyNumberFormat="1" applyFill="1" applyBorder="1"/>
    <xf numFmtId="43" fontId="0" fillId="6" borderId="15" xfId="0" applyNumberFormat="1" applyFill="1" applyBorder="1"/>
    <xf numFmtId="43" fontId="15" fillId="6" borderId="15" xfId="0" applyNumberFormat="1" applyFont="1" applyFill="1" applyBorder="1"/>
    <xf numFmtId="0" fontId="0" fillId="0" borderId="15" xfId="0" applyBorder="1"/>
    <xf numFmtId="41" fontId="0" fillId="0" borderId="15" xfId="0" applyNumberFormat="1" applyBorder="1"/>
    <xf numFmtId="164" fontId="2" fillId="8" borderId="3" xfId="0" applyNumberFormat="1" applyFont="1" applyFill="1" applyBorder="1"/>
    <xf numFmtId="0" fontId="17" fillId="0" borderId="0" xfId="0" applyFont="1"/>
    <xf numFmtId="9" fontId="0" fillId="0" borderId="0" xfId="0" applyNumberFormat="1"/>
    <xf numFmtId="0" fontId="12" fillId="10" borderId="0" xfId="0" applyFont="1" applyFill="1"/>
    <xf numFmtId="0" fontId="2" fillId="10" borderId="0" xfId="0" applyFont="1" applyFill="1"/>
    <xf numFmtId="0" fontId="0" fillId="7" borderId="0" xfId="0" applyFill="1"/>
    <xf numFmtId="0" fontId="0" fillId="2" borderId="0" xfId="0" applyFill="1" applyAlignment="1">
      <alignment horizontal="left"/>
    </xf>
    <xf numFmtId="9" fontId="11" fillId="2" borderId="0" xfId="0" applyNumberFormat="1" applyFont="1" applyFill="1" applyAlignment="1">
      <alignment horizontal="center"/>
    </xf>
    <xf numFmtId="0" fontId="5" fillId="2" borderId="0" xfId="0" applyFont="1" applyFill="1"/>
    <xf numFmtId="9" fontId="0" fillId="2" borderId="0" xfId="3" applyFont="1" applyFill="1" applyAlignment="1">
      <alignment horizontal="center"/>
    </xf>
    <xf numFmtId="165" fontId="0" fillId="2" borderId="0" xfId="1" applyNumberFormat="1" applyFont="1" applyFill="1"/>
    <xf numFmtId="165" fontId="5" fillId="2" borderId="0" xfId="1" applyNumberFormat="1" applyFont="1" applyFill="1"/>
    <xf numFmtId="165" fontId="0" fillId="7" borderId="0" xfId="1" applyNumberFormat="1" applyFont="1" applyFill="1"/>
    <xf numFmtId="0" fontId="12" fillId="10" borderId="0" xfId="0" applyFont="1" applyFill="1" applyAlignment="1">
      <alignment horizontal="center"/>
    </xf>
    <xf numFmtId="0" fontId="0" fillId="2" borderId="0" xfId="0" applyFill="1" applyAlignment="1">
      <alignment horizontal="left" indent="1"/>
    </xf>
    <xf numFmtId="0" fontId="0" fillId="2" borderId="28" xfId="0" applyFill="1" applyBorder="1"/>
    <xf numFmtId="1" fontId="0" fillId="2" borderId="0" xfId="0" applyNumberFormat="1" applyFill="1" applyAlignment="1">
      <alignment horizontal="center"/>
    </xf>
    <xf numFmtId="1" fontId="0" fillId="2" borderId="28" xfId="0" applyNumberFormat="1" applyFill="1" applyBorder="1"/>
    <xf numFmtId="1" fontId="0" fillId="2" borderId="0" xfId="0" applyNumberFormat="1" applyFill="1"/>
    <xf numFmtId="0" fontId="0" fillId="2" borderId="0" xfId="0" applyFill="1" applyAlignment="1">
      <alignment horizontal="left" indent="2"/>
    </xf>
    <xf numFmtId="0" fontId="4" fillId="2" borderId="0" xfId="0" applyFont="1" applyFill="1"/>
    <xf numFmtId="0" fontId="19" fillId="2" borderId="0" xfId="0" applyFont="1" applyFill="1"/>
    <xf numFmtId="3" fontId="0" fillId="2" borderId="0" xfId="0" applyNumberFormat="1" applyFill="1" applyAlignment="1">
      <alignment horizontal="center" vertical="center"/>
    </xf>
    <xf numFmtId="0" fontId="2" fillId="10" borderId="0" xfId="0" applyFont="1" applyFill="1" applyAlignment="1">
      <alignment horizontal="center"/>
    </xf>
    <xf numFmtId="165" fontId="2" fillId="8" borderId="0" xfId="1" applyNumberFormat="1" applyFont="1" applyFill="1" applyBorder="1" applyAlignment="1">
      <alignment horizontal="center"/>
    </xf>
    <xf numFmtId="0" fontId="0" fillId="2" borderId="30" xfId="0" applyFill="1" applyBorder="1"/>
    <xf numFmtId="0" fontId="2" fillId="0" borderId="30" xfId="0" applyFont="1" applyBorder="1"/>
    <xf numFmtId="44" fontId="2" fillId="10" borderId="0" xfId="1" applyFont="1" applyFill="1" applyBorder="1" applyAlignment="1">
      <alignment horizontal="center"/>
    </xf>
    <xf numFmtId="3" fontId="0" fillId="7" borderId="0" xfId="1" applyNumberFormat="1" applyFont="1" applyFill="1" applyBorder="1"/>
    <xf numFmtId="0" fontId="2" fillId="2" borderId="0" xfId="0" applyFont="1" applyFill="1"/>
    <xf numFmtId="3" fontId="0" fillId="2" borderId="0" xfId="1" applyNumberFormat="1" applyFont="1" applyFill="1" applyBorder="1"/>
    <xf numFmtId="0" fontId="0" fillId="7" borderId="0" xfId="0" applyFill="1" applyAlignment="1">
      <alignment horizontal="left"/>
    </xf>
    <xf numFmtId="44" fontId="0" fillId="2" borderId="0" xfId="1" applyFont="1" applyFill="1"/>
    <xf numFmtId="3" fontId="0" fillId="2" borderId="0" xfId="1" applyNumberFormat="1" applyFont="1" applyFill="1" applyBorder="1" applyAlignment="1">
      <alignment horizontal="right"/>
    </xf>
    <xf numFmtId="0" fontId="2" fillId="2" borderId="30" xfId="0" applyFont="1" applyFill="1" applyBorder="1"/>
    <xf numFmtId="164" fontId="0" fillId="2" borderId="0" xfId="0" applyNumberFormat="1" applyFill="1"/>
    <xf numFmtId="14" fontId="2" fillId="10" borderId="0" xfId="0" applyNumberFormat="1" applyFont="1" applyFill="1"/>
    <xf numFmtId="0" fontId="2" fillId="10" borderId="15" xfId="0" applyFont="1" applyFill="1" applyBorder="1"/>
    <xf numFmtId="0" fontId="16" fillId="2" borderId="0" xfId="5" applyFill="1"/>
    <xf numFmtId="1" fontId="16" fillId="2" borderId="0" xfId="5" applyNumberFormat="1" applyFill="1"/>
    <xf numFmtId="9" fontId="16" fillId="2" borderId="0" xfId="5" applyNumberFormat="1" applyFill="1"/>
    <xf numFmtId="165" fontId="12" fillId="10" borderId="0" xfId="0" applyNumberFormat="1" applyFont="1" applyFill="1"/>
    <xf numFmtId="165" fontId="0" fillId="2" borderId="0" xfId="1" applyNumberFormat="1" applyFont="1" applyFill="1" applyBorder="1" applyAlignment="1">
      <alignment horizontal="center"/>
    </xf>
    <xf numFmtId="165" fontId="0" fillId="7" borderId="0" xfId="1" applyNumberFormat="1" applyFont="1" applyFill="1" applyBorder="1"/>
    <xf numFmtId="165" fontId="0" fillId="7" borderId="0" xfId="1" applyNumberFormat="1" applyFont="1" applyFill="1" applyBorder="1" applyAlignment="1">
      <alignment horizontal="center"/>
    </xf>
    <xf numFmtId="165" fontId="0" fillId="2" borderId="0" xfId="0" applyNumberFormat="1" applyFill="1"/>
    <xf numFmtId="6" fontId="0" fillId="0" borderId="0" xfId="0" applyNumberFormat="1"/>
    <xf numFmtId="0" fontId="21" fillId="2" borderId="0" xfId="0" applyFont="1" applyFill="1" applyAlignment="1">
      <alignment horizontal="left" indent="1"/>
    </xf>
    <xf numFmtId="0" fontId="22" fillId="2" borderId="0" xfId="0" applyFont="1" applyFill="1"/>
    <xf numFmtId="165" fontId="21" fillId="2" borderId="0" xfId="1" applyNumberFormat="1" applyFont="1" applyFill="1"/>
    <xf numFmtId="0" fontId="21" fillId="2" borderId="0" xfId="0" applyFont="1" applyFill="1"/>
    <xf numFmtId="9" fontId="23" fillId="2" borderId="0" xfId="0" applyNumberFormat="1" applyFont="1" applyFill="1" applyAlignment="1">
      <alignment horizontal="center"/>
    </xf>
    <xf numFmtId="167" fontId="21" fillId="2" borderId="0" xfId="3" applyNumberFormat="1" applyFont="1" applyFill="1" applyAlignment="1">
      <alignment horizontal="center"/>
    </xf>
    <xf numFmtId="167" fontId="21" fillId="2" borderId="0" xfId="0" applyNumberFormat="1" applyFont="1" applyFill="1" applyAlignment="1">
      <alignment horizontal="center"/>
    </xf>
    <xf numFmtId="0" fontId="2" fillId="8" borderId="0" xfId="0" applyFont="1" applyFill="1" applyAlignment="1">
      <alignment horizontal="left"/>
    </xf>
    <xf numFmtId="165" fontId="0" fillId="2" borderId="0" xfId="1" applyNumberFormat="1" applyFont="1" applyFill="1" applyAlignment="1"/>
    <xf numFmtId="165" fontId="5" fillId="2" borderId="0" xfId="1" applyNumberFormat="1" applyFont="1" applyFill="1" applyAlignment="1"/>
    <xf numFmtId="165" fontId="0" fillId="0" borderId="0" xfId="1" applyNumberFormat="1" applyFont="1"/>
    <xf numFmtId="0" fontId="12" fillId="2" borderId="0" xfId="0" applyFont="1" applyFill="1"/>
    <xf numFmtId="44" fontId="12" fillId="2" borderId="0" xfId="1" applyFont="1" applyFill="1" applyBorder="1"/>
    <xf numFmtId="44" fontId="0" fillId="2" borderId="0" xfId="1" applyFont="1" applyFill="1" applyAlignment="1">
      <alignment horizontal="left"/>
    </xf>
    <xf numFmtId="9" fontId="0" fillId="2" borderId="0" xfId="3" applyFont="1" applyFill="1" applyBorder="1" applyAlignment="1">
      <alignment horizontal="center"/>
    </xf>
    <xf numFmtId="0" fontId="2" fillId="2" borderId="0" xfId="0" applyFont="1" applyFill="1" applyAlignment="1">
      <alignment horizontal="center"/>
    </xf>
    <xf numFmtId="1" fontId="3" fillId="2" borderId="0" xfId="0" applyNumberFormat="1" applyFont="1" applyFill="1"/>
    <xf numFmtId="164" fontId="2" fillId="2" borderId="0" xfId="0" applyNumberFormat="1" applyFont="1" applyFill="1"/>
    <xf numFmtId="165" fontId="0" fillId="7" borderId="0" xfId="1" applyNumberFormat="1" applyFont="1" applyFill="1" applyAlignment="1"/>
    <xf numFmtId="9" fontId="0" fillId="0" borderId="0" xfId="3" applyFont="1" applyAlignment="1">
      <alignment horizontal="center"/>
    </xf>
    <xf numFmtId="9" fontId="3" fillId="2" borderId="0" xfId="3" applyFont="1" applyFill="1" applyBorder="1" applyAlignment="1">
      <alignment horizontal="center"/>
    </xf>
    <xf numFmtId="14" fontId="0" fillId="2" borderId="0" xfId="0" applyNumberFormat="1" applyFill="1"/>
    <xf numFmtId="2" fontId="3" fillId="0" borderId="0" xfId="0" applyNumberFormat="1" applyFont="1"/>
    <xf numFmtId="165" fontId="0" fillId="0" borderId="0" xfId="0" applyNumberFormat="1"/>
    <xf numFmtId="0" fontId="12" fillId="10" borderId="0" xfId="0" applyFont="1" applyFill="1" applyAlignment="1">
      <alignment horizontal="left"/>
    </xf>
    <xf numFmtId="0" fontId="3" fillId="11" borderId="0" xfId="0" applyFont="1" applyFill="1" applyAlignment="1">
      <alignment horizontal="center"/>
    </xf>
    <xf numFmtId="165" fontId="24" fillId="11" borderId="0" xfId="1" applyNumberFormat="1" applyFont="1" applyFill="1" applyBorder="1" applyAlignment="1">
      <alignment vertical="center"/>
    </xf>
    <xf numFmtId="165" fontId="12" fillId="10" borderId="0" xfId="1" applyNumberFormat="1" applyFont="1" applyFill="1" applyBorder="1" applyAlignment="1">
      <alignment vertical="center"/>
    </xf>
    <xf numFmtId="0" fontId="5" fillId="2" borderId="0" xfId="0" applyFont="1" applyFill="1" applyAlignment="1">
      <alignment horizontal="left" indent="1"/>
    </xf>
    <xf numFmtId="165" fontId="12" fillId="8" borderId="0" xfId="0" applyNumberFormat="1" applyFont="1" applyFill="1"/>
    <xf numFmtId="168" fontId="0" fillId="2" borderId="0" xfId="0" applyNumberFormat="1" applyFill="1" applyAlignment="1">
      <alignment horizontal="center"/>
    </xf>
    <xf numFmtId="9" fontId="0" fillId="2" borderId="0" xfId="0" applyNumberFormat="1" applyFill="1" applyAlignment="1">
      <alignment horizontal="center"/>
    </xf>
    <xf numFmtId="0" fontId="9" fillId="2" borderId="0" xfId="2" applyFill="1" applyBorder="1" applyAlignment="1">
      <alignment horizontal="center"/>
    </xf>
    <xf numFmtId="9" fontId="0" fillId="2" borderId="0" xfId="3" applyFont="1" applyFill="1" applyBorder="1" applyAlignment="1">
      <alignment horizontal="center" vertical="center"/>
    </xf>
    <xf numFmtId="42" fontId="28" fillId="0" borderId="0" xfId="0" applyNumberFormat="1" applyFont="1"/>
    <xf numFmtId="0" fontId="29" fillId="0" borderId="0" xfId="0" applyFont="1"/>
    <xf numFmtId="10" fontId="0" fillId="0" borderId="0" xfId="0" applyNumberFormat="1" applyAlignment="1">
      <alignment horizontal="center"/>
    </xf>
    <xf numFmtId="10" fontId="28" fillId="0" borderId="0" xfId="0" applyNumberFormat="1" applyFont="1" applyAlignment="1">
      <alignment horizontal="center"/>
    </xf>
    <xf numFmtId="0" fontId="3" fillId="0" borderId="23" xfId="0" applyFont="1" applyBorder="1"/>
    <xf numFmtId="0" fontId="3" fillId="0" borderId="23" xfId="0" applyFont="1" applyBorder="1" applyAlignment="1">
      <alignment horizontal="center"/>
    </xf>
    <xf numFmtId="42" fontId="30" fillId="0" borderId="0" xfId="0" applyNumberFormat="1" applyFont="1"/>
    <xf numFmtId="42" fontId="24" fillId="0" borderId="23" xfId="0" applyNumberFormat="1" applyFont="1" applyBorder="1"/>
    <xf numFmtId="42" fontId="5" fillId="0" borderId="0" xfId="0" applyNumberFormat="1" applyFont="1"/>
    <xf numFmtId="0" fontId="0" fillId="0" borderId="0" xfId="0" quotePrefix="1" applyAlignment="1">
      <alignment horizontal="center"/>
    </xf>
    <xf numFmtId="0" fontId="2" fillId="8" borderId="0" xfId="0" applyFont="1" applyFill="1" applyAlignment="1">
      <alignment horizontal="centerContinuous"/>
    </xf>
    <xf numFmtId="0" fontId="3" fillId="0" borderId="0" xfId="0" quotePrefix="1" applyFont="1" applyAlignment="1">
      <alignment horizontal="center"/>
    </xf>
    <xf numFmtId="167" fontId="28" fillId="12" borderId="0" xfId="0" applyNumberFormat="1" applyFont="1" applyFill="1" applyAlignment="1">
      <alignment horizontal="center"/>
    </xf>
    <xf numFmtId="167" fontId="0" fillId="0" borderId="0" xfId="0" applyNumberFormat="1" applyAlignment="1">
      <alignment horizontal="center"/>
    </xf>
    <xf numFmtId="0" fontId="35" fillId="0" borderId="0" xfId="0" quotePrefix="1" applyFont="1"/>
    <xf numFmtId="0" fontId="36" fillId="0" borderId="0" xfId="0" applyFont="1"/>
    <xf numFmtId="0" fontId="20" fillId="8" borderId="0" xfId="0" applyFont="1" applyFill="1"/>
    <xf numFmtId="0" fontId="20" fillId="8" borderId="0" xfId="0" applyFont="1" applyFill="1" applyAlignment="1">
      <alignment horizontal="center"/>
    </xf>
    <xf numFmtId="0" fontId="37" fillId="8" borderId="0" xfId="0" applyFont="1" applyFill="1" applyAlignment="1">
      <alignment horizontal="center"/>
    </xf>
    <xf numFmtId="169" fontId="38" fillId="0" borderId="0" xfId="0" applyNumberFormat="1" applyFont="1"/>
    <xf numFmtId="9" fontId="38" fillId="0" borderId="0" xfId="0" applyNumberFormat="1" applyFont="1"/>
    <xf numFmtId="0" fontId="38" fillId="0" borderId="0" xfId="0" applyFont="1"/>
    <xf numFmtId="169" fontId="36" fillId="0" borderId="0" xfId="0" applyNumberFormat="1" applyFont="1"/>
    <xf numFmtId="0" fontId="36" fillId="0" borderId="26" xfId="0" applyFont="1" applyBorder="1"/>
    <xf numFmtId="169" fontId="38" fillId="0" borderId="26" xfId="0" applyNumberFormat="1" applyFont="1" applyBorder="1"/>
    <xf numFmtId="9" fontId="38" fillId="0" borderId="26" xfId="0" applyNumberFormat="1" applyFont="1" applyBorder="1"/>
    <xf numFmtId="0" fontId="38" fillId="0" borderId="26" xfId="0" applyFont="1" applyBorder="1"/>
    <xf numFmtId="169" fontId="36" fillId="0" borderId="26" xfId="0" applyNumberFormat="1" applyFont="1" applyBorder="1"/>
    <xf numFmtId="0" fontId="35" fillId="0" borderId="0" xfId="0" applyFont="1"/>
    <xf numFmtId="169" fontId="35" fillId="0" borderId="0" xfId="0" applyNumberFormat="1" applyFont="1"/>
    <xf numFmtId="0" fontId="39" fillId="6" borderId="0" xfId="0" applyFont="1" applyFill="1" applyAlignment="1">
      <alignment horizontal="left"/>
    </xf>
    <xf numFmtId="14" fontId="40" fillId="14" borderId="4" xfId="0" applyNumberFormat="1" applyFont="1" applyFill="1" applyBorder="1" applyAlignment="1">
      <alignment horizontal="right"/>
    </xf>
    <xf numFmtId="10" fontId="38" fillId="14" borderId="4" xfId="0" applyNumberFormat="1" applyFont="1" applyFill="1" applyBorder="1"/>
    <xf numFmtId="37" fontId="36" fillId="0" borderId="0" xfId="0" applyNumberFormat="1" applyFont="1"/>
    <xf numFmtId="170" fontId="36" fillId="0" borderId="26" xfId="0" applyNumberFormat="1" applyFont="1" applyBorder="1"/>
    <xf numFmtId="0" fontId="39" fillId="6" borderId="0" xfId="0" applyFont="1" applyFill="1" applyAlignment="1">
      <alignment horizontal="center"/>
    </xf>
    <xf numFmtId="170" fontId="36" fillId="0" borderId="0" xfId="0" applyNumberFormat="1" applyFont="1"/>
    <xf numFmtId="0" fontId="41" fillId="0" borderId="0" xfId="6" applyFont="1"/>
    <xf numFmtId="0" fontId="36" fillId="0" borderId="0" xfId="0" applyFont="1" applyAlignment="1">
      <alignment horizontal="left" indent="1"/>
    </xf>
    <xf numFmtId="10" fontId="36" fillId="0" borderId="0" xfId="0" applyNumberFormat="1" applyFont="1"/>
    <xf numFmtId="44" fontId="42" fillId="8" borderId="0" xfId="0" applyNumberFormat="1" applyFont="1" applyFill="1" applyAlignment="1">
      <alignment horizontal="centerContinuous"/>
    </xf>
    <xf numFmtId="165" fontId="0" fillId="15" borderId="0" xfId="0" applyNumberFormat="1" applyFill="1"/>
    <xf numFmtId="14" fontId="0" fillId="2" borderId="0" xfId="0" applyNumberFormat="1" applyFill="1" applyAlignment="1">
      <alignment horizontal="center"/>
    </xf>
    <xf numFmtId="165" fontId="0" fillId="2" borderId="0" xfId="1" applyNumberFormat="1" applyFont="1" applyFill="1" applyAlignment="1">
      <alignment horizontal="center"/>
    </xf>
    <xf numFmtId="165" fontId="0" fillId="2" borderId="0" xfId="1" applyNumberFormat="1" applyFont="1" applyFill="1" applyAlignment="1">
      <alignment horizontal="center" vertical="center"/>
    </xf>
    <xf numFmtId="2" fontId="0" fillId="2" borderId="0" xfId="0" applyNumberFormat="1" applyFill="1" applyAlignment="1">
      <alignment horizontal="center"/>
    </xf>
    <xf numFmtId="2" fontId="0" fillId="2" borderId="0" xfId="0" applyNumberFormat="1" applyFill="1"/>
    <xf numFmtId="42" fontId="30" fillId="0" borderId="0" xfId="0" applyNumberFormat="1" applyFont="1" applyAlignment="1">
      <alignment horizontal="center"/>
    </xf>
    <xf numFmtId="0" fontId="3" fillId="0" borderId="32" xfId="0" applyFont="1" applyBorder="1"/>
    <xf numFmtId="42" fontId="3" fillId="0" borderId="32" xfId="0" applyNumberFormat="1" applyFont="1" applyBorder="1" applyAlignment="1">
      <alignment horizontal="center"/>
    </xf>
    <xf numFmtId="42" fontId="44" fillId="0" borderId="23" xfId="0" applyNumberFormat="1" applyFont="1" applyBorder="1" applyAlignment="1">
      <alignment horizontal="center"/>
    </xf>
    <xf numFmtId="42" fontId="44" fillId="0" borderId="0" xfId="0" applyNumberFormat="1" applyFont="1" applyAlignment="1">
      <alignment horizontal="center"/>
    </xf>
    <xf numFmtId="14" fontId="30" fillId="0" borderId="0" xfId="0" applyNumberFormat="1" applyFont="1" applyAlignment="1">
      <alignment horizontal="center"/>
    </xf>
    <xf numFmtId="42" fontId="24" fillId="0" borderId="32" xfId="0" applyNumberFormat="1" applyFont="1" applyBorder="1" applyAlignment="1">
      <alignment horizontal="center"/>
    </xf>
    <xf numFmtId="0" fontId="43" fillId="0" borderId="0" xfId="0" applyFont="1"/>
    <xf numFmtId="0" fontId="43" fillId="15" borderId="0" xfId="0" applyFont="1" applyFill="1"/>
    <xf numFmtId="41" fontId="43" fillId="15" borderId="0" xfId="0" applyNumberFormat="1" applyFont="1" applyFill="1"/>
    <xf numFmtId="41" fontId="30" fillId="0" borderId="0" xfId="0" applyNumberFormat="1" applyFont="1" applyAlignment="1">
      <alignment horizontal="center"/>
    </xf>
    <xf numFmtId="0" fontId="3" fillId="0" borderId="32" xfId="0" applyFont="1" applyBorder="1" applyAlignment="1">
      <alignment horizontal="center"/>
    </xf>
    <xf numFmtId="0" fontId="34" fillId="0" borderId="0" xfId="0" applyFont="1"/>
    <xf numFmtId="0" fontId="20" fillId="13" borderId="0" xfId="0" applyFont="1" applyFill="1" applyAlignment="1">
      <alignment horizontal="left"/>
    </xf>
    <xf numFmtId="0" fontId="20" fillId="13" borderId="0" xfId="0" applyFont="1" applyFill="1" applyAlignment="1">
      <alignment horizontal="center"/>
    </xf>
    <xf numFmtId="0" fontId="20" fillId="6" borderId="0" xfId="0" applyFont="1" applyFill="1" applyAlignment="1">
      <alignment horizontal="center"/>
    </xf>
    <xf numFmtId="0" fontId="38" fillId="0" borderId="0" xfId="6" applyFont="1"/>
    <xf numFmtId="14" fontId="38" fillId="0" borderId="0" xfId="0" applyNumberFormat="1" applyFont="1"/>
    <xf numFmtId="14" fontId="16" fillId="0" borderId="0" xfId="0" applyNumberFormat="1" applyFont="1"/>
    <xf numFmtId="14" fontId="16" fillId="0" borderId="26" xfId="0" applyNumberFormat="1" applyFont="1" applyBorder="1"/>
    <xf numFmtId="0" fontId="9" fillId="2" borderId="0" xfId="2" applyFill="1" applyAlignment="1">
      <alignment horizontal="center"/>
    </xf>
    <xf numFmtId="3" fontId="2" fillId="8" borderId="0" xfId="0" applyNumberFormat="1" applyFont="1" applyFill="1"/>
    <xf numFmtId="165" fontId="2" fillId="8" borderId="0" xfId="0" applyNumberFormat="1" applyFont="1" applyFill="1"/>
    <xf numFmtId="167" fontId="0" fillId="2" borderId="0" xfId="3" applyNumberFormat="1" applyFont="1" applyFill="1" applyAlignment="1">
      <alignment horizontal="center"/>
    </xf>
    <xf numFmtId="0" fontId="12" fillId="8" borderId="22" xfId="0" applyFont="1" applyFill="1" applyBorder="1"/>
    <xf numFmtId="0" fontId="0" fillId="0" borderId="33" xfId="0" applyBorder="1"/>
    <xf numFmtId="0" fontId="12" fillId="8" borderId="33" xfId="0" applyFont="1" applyFill="1" applyBorder="1"/>
    <xf numFmtId="0" fontId="0" fillId="0" borderId="34" xfId="0" applyBorder="1"/>
    <xf numFmtId="0" fontId="16" fillId="0" borderId="0" xfId="5"/>
    <xf numFmtId="14" fontId="0" fillId="0" borderId="0" xfId="0" applyNumberFormat="1"/>
    <xf numFmtId="14" fontId="2" fillId="0" borderId="0" xfId="0" applyNumberFormat="1" applyFont="1"/>
    <xf numFmtId="14" fontId="16" fillId="0" borderId="0" xfId="5" applyNumberFormat="1"/>
    <xf numFmtId="37" fontId="3" fillId="0" borderId="32" xfId="0" applyNumberFormat="1" applyFont="1" applyBorder="1" applyAlignment="1">
      <alignment horizontal="center"/>
    </xf>
    <xf numFmtId="42" fontId="0" fillId="0" borderId="0" xfId="0" applyNumberFormat="1"/>
    <xf numFmtId="0" fontId="27" fillId="15" borderId="0" xfId="0" applyFont="1" applyFill="1"/>
    <xf numFmtId="42" fontId="28" fillId="12" borderId="0" xfId="0" applyNumberFormat="1" applyFont="1" applyFill="1"/>
    <xf numFmtId="42" fontId="3" fillId="0" borderId="0" xfId="0" applyNumberFormat="1" applyFont="1"/>
    <xf numFmtId="171" fontId="0" fillId="0" borderId="0" xfId="0" applyNumberFormat="1"/>
    <xf numFmtId="0" fontId="2" fillId="10" borderId="24" xfId="0" applyFont="1" applyFill="1" applyBorder="1"/>
    <xf numFmtId="0" fontId="2" fillId="10" borderId="38" xfId="0" applyFont="1" applyFill="1" applyBorder="1"/>
    <xf numFmtId="0" fontId="0" fillId="2" borderId="24" xfId="0" applyFill="1" applyBorder="1"/>
    <xf numFmtId="0" fontId="0" fillId="2" borderId="38" xfId="0" applyFill="1" applyBorder="1"/>
    <xf numFmtId="0" fontId="0" fillId="2" borderId="36" xfId="0" applyFill="1" applyBorder="1"/>
    <xf numFmtId="0" fontId="0" fillId="2" borderId="32" xfId="0" applyFill="1" applyBorder="1"/>
    <xf numFmtId="0" fontId="0" fillId="2" borderId="37" xfId="0" applyFill="1" applyBorder="1"/>
    <xf numFmtId="172" fontId="0" fillId="2" borderId="0" xfId="1" applyNumberFormat="1" applyFont="1" applyFill="1" applyAlignment="1"/>
    <xf numFmtId="0" fontId="0" fillId="2" borderId="0" xfId="0" applyFill="1" applyAlignment="1">
      <alignment horizontal="right"/>
    </xf>
    <xf numFmtId="6" fontId="44" fillId="0" borderId="23" xfId="0" applyNumberFormat="1" applyFont="1" applyBorder="1" applyAlignment="1">
      <alignment horizontal="center"/>
    </xf>
    <xf numFmtId="42" fontId="29" fillId="0" borderId="0" xfId="0" applyNumberFormat="1" applyFont="1"/>
    <xf numFmtId="173" fontId="30" fillId="0" borderId="0" xfId="0" applyNumberFormat="1" applyFont="1" applyAlignment="1">
      <alignment horizontal="center"/>
    </xf>
    <xf numFmtId="0" fontId="30" fillId="0" borderId="0" xfId="0" applyFont="1" applyAlignment="1">
      <alignment horizontal="center"/>
    </xf>
    <xf numFmtId="3" fontId="0" fillId="0" borderId="0" xfId="0" applyNumberFormat="1"/>
    <xf numFmtId="2" fontId="0" fillId="0" borderId="0" xfId="0" applyNumberFormat="1"/>
    <xf numFmtId="44" fontId="2" fillId="0" borderId="0" xfId="0" applyNumberFormat="1" applyFont="1"/>
    <xf numFmtId="44" fontId="3" fillId="7" borderId="0" xfId="0" applyNumberFormat="1" applyFont="1" applyFill="1"/>
    <xf numFmtId="165" fontId="0" fillId="2" borderId="0" xfId="1" applyNumberFormat="1" applyFont="1" applyFill="1" applyBorder="1" applyAlignment="1">
      <alignment horizontal="center" vertical="center"/>
    </xf>
    <xf numFmtId="3" fontId="0" fillId="2" borderId="0" xfId="0" applyNumberFormat="1" applyFill="1" applyAlignment="1">
      <alignment horizontal="center"/>
    </xf>
    <xf numFmtId="3" fontId="0" fillId="2" borderId="0" xfId="1" applyNumberFormat="1" applyFont="1" applyFill="1" applyBorder="1" applyAlignment="1">
      <alignment horizontal="center"/>
    </xf>
    <xf numFmtId="0" fontId="0" fillId="2" borderId="39" xfId="0" applyFill="1" applyBorder="1"/>
    <xf numFmtId="0" fontId="0" fillId="0" borderId="39" xfId="0" applyBorder="1"/>
    <xf numFmtId="0" fontId="0" fillId="2" borderId="45" xfId="0" applyFill="1" applyBorder="1"/>
    <xf numFmtId="0" fontId="0" fillId="0" borderId="43" xfId="0" applyBorder="1"/>
    <xf numFmtId="0" fontId="0" fillId="2" borderId="47" xfId="0" applyFill="1" applyBorder="1"/>
    <xf numFmtId="0" fontId="0" fillId="2" borderId="52" xfId="0" applyFill="1" applyBorder="1"/>
    <xf numFmtId="0" fontId="0" fillId="2" borderId="41" xfId="0" applyFill="1" applyBorder="1"/>
    <xf numFmtId="0" fontId="0" fillId="0" borderId="40" xfId="0" applyBorder="1"/>
    <xf numFmtId="0" fontId="3" fillId="2" borderId="0" xfId="0" applyFont="1" applyFill="1"/>
    <xf numFmtId="2" fontId="0" fillId="2" borderId="0" xfId="7" applyNumberFormat="1" applyFont="1" applyFill="1" applyAlignment="1"/>
    <xf numFmtId="174" fontId="3" fillId="2" borderId="0" xfId="0" applyNumberFormat="1" applyFont="1" applyFill="1"/>
    <xf numFmtId="0" fontId="2" fillId="8" borderId="56" xfId="0" applyFont="1" applyFill="1" applyBorder="1" applyAlignment="1">
      <alignment vertical="center"/>
    </xf>
    <xf numFmtId="0" fontId="2" fillId="8" borderId="57" xfId="0" applyFont="1" applyFill="1" applyBorder="1" applyAlignment="1">
      <alignment vertical="center"/>
    </xf>
    <xf numFmtId="0" fontId="2" fillId="8" borderId="58" xfId="0" applyFont="1" applyFill="1" applyBorder="1" applyAlignment="1">
      <alignment vertical="center"/>
    </xf>
    <xf numFmtId="0" fontId="2" fillId="10" borderId="59" xfId="0" applyFont="1" applyFill="1" applyBorder="1"/>
    <xf numFmtId="0" fontId="2" fillId="10" borderId="60" xfId="0" applyFont="1" applyFill="1" applyBorder="1" applyAlignment="1">
      <alignment horizontal="center"/>
    </xf>
    <xf numFmtId="0" fontId="0" fillId="0" borderId="59" xfId="0" applyBorder="1"/>
    <xf numFmtId="0" fontId="0" fillId="0" borderId="0" xfId="0" applyAlignment="1">
      <alignment horizontal="center" vertical="center"/>
    </xf>
    <xf numFmtId="44" fontId="0" fillId="0" borderId="60" xfId="1" applyFont="1" applyBorder="1"/>
    <xf numFmtId="0" fontId="0" fillId="7" borderId="59" xfId="0" applyFill="1" applyBorder="1"/>
    <xf numFmtId="0" fontId="0" fillId="7" borderId="0" xfId="0" applyFill="1" applyAlignment="1">
      <alignment horizontal="center" vertical="center"/>
    </xf>
    <xf numFmtId="0" fontId="0" fillId="0" borderId="60" xfId="0" applyBorder="1"/>
    <xf numFmtId="0" fontId="2" fillId="8" borderId="61" xfId="0" applyFont="1" applyFill="1" applyBorder="1" applyAlignment="1">
      <alignment vertical="center"/>
    </xf>
    <xf numFmtId="0" fontId="2" fillId="8" borderId="62" xfId="0" applyFont="1" applyFill="1" applyBorder="1" applyAlignment="1">
      <alignment vertical="center"/>
    </xf>
    <xf numFmtId="165" fontId="12" fillId="8" borderId="62" xfId="1" applyNumberFormat="1" applyFont="1" applyFill="1" applyBorder="1" applyAlignment="1">
      <alignment vertical="center"/>
    </xf>
    <xf numFmtId="0" fontId="2" fillId="8" borderId="63" xfId="0" applyFont="1" applyFill="1" applyBorder="1" applyAlignment="1">
      <alignment vertical="center"/>
    </xf>
    <xf numFmtId="0" fontId="2" fillId="8" borderId="56" xfId="0" applyFont="1" applyFill="1" applyBorder="1" applyAlignment="1">
      <alignment horizontal="center"/>
    </xf>
    <xf numFmtId="0" fontId="2" fillId="8" borderId="57" xfId="0" applyFont="1" applyFill="1" applyBorder="1" applyAlignment="1">
      <alignment horizontal="center"/>
    </xf>
    <xf numFmtId="0" fontId="2" fillId="8" borderId="58" xfId="0" applyFont="1" applyFill="1" applyBorder="1" applyAlignment="1">
      <alignment horizontal="center"/>
    </xf>
    <xf numFmtId="9" fontId="0" fillId="0" borderId="59" xfId="0" applyNumberFormat="1" applyBorder="1" applyAlignment="1">
      <alignment horizontal="center"/>
    </xf>
    <xf numFmtId="0" fontId="3" fillId="0" borderId="61" xfId="0" applyFont="1" applyBorder="1" applyAlignment="1">
      <alignment horizontal="center"/>
    </xf>
    <xf numFmtId="0" fontId="0" fillId="0" borderId="62" xfId="0" applyBorder="1" applyAlignment="1">
      <alignment horizontal="center"/>
    </xf>
    <xf numFmtId="0" fontId="0" fillId="0" borderId="63" xfId="0" applyBorder="1"/>
    <xf numFmtId="0" fontId="9" fillId="2" borderId="59" xfId="2" applyFill="1" applyBorder="1" applyAlignment="1">
      <alignment horizontal="center"/>
    </xf>
    <xf numFmtId="0" fontId="9" fillId="2" borderId="60" xfId="2" applyFill="1" applyBorder="1" applyAlignment="1">
      <alignment horizontal="center"/>
    </xf>
    <xf numFmtId="0" fontId="0" fillId="2" borderId="59" xfId="0" applyFill="1" applyBorder="1"/>
    <xf numFmtId="0" fontId="0" fillId="2" borderId="60" xfId="0" applyFill="1" applyBorder="1"/>
    <xf numFmtId="0" fontId="0" fillId="5" borderId="59" xfId="0" applyFill="1" applyBorder="1"/>
    <xf numFmtId="0" fontId="0" fillId="5" borderId="0" xfId="0" applyFill="1" applyAlignment="1">
      <alignment horizontal="center" vertical="center"/>
    </xf>
    <xf numFmtId="44" fontId="0" fillId="5" borderId="60" xfId="1" applyFont="1" applyFill="1" applyBorder="1"/>
    <xf numFmtId="0" fontId="0" fillId="2" borderId="0" xfId="0" applyFill="1" applyAlignment="1">
      <alignment horizontal="center" vertical="center"/>
    </xf>
    <xf numFmtId="44" fontId="0" fillId="2" borderId="60" xfId="1" applyFont="1" applyFill="1" applyBorder="1"/>
    <xf numFmtId="0" fontId="0" fillId="5" borderId="0" xfId="0" applyFill="1" applyAlignment="1">
      <alignment horizontal="center"/>
    </xf>
    <xf numFmtId="0" fontId="2" fillId="8" borderId="59" xfId="0" applyFont="1" applyFill="1" applyBorder="1"/>
    <xf numFmtId="0" fontId="2" fillId="8" borderId="60" xfId="0" applyFont="1" applyFill="1" applyBorder="1"/>
    <xf numFmtId="9" fontId="0" fillId="0" borderId="60" xfId="0" applyNumberFormat="1" applyBorder="1" applyAlignment="1">
      <alignment horizontal="center"/>
    </xf>
    <xf numFmtId="9" fontId="0" fillId="0" borderId="61" xfId="0" applyNumberFormat="1" applyBorder="1" applyAlignment="1">
      <alignment horizontal="center"/>
    </xf>
    <xf numFmtId="9" fontId="0" fillId="0" borderId="63" xfId="0" applyNumberFormat="1" applyBorder="1" applyAlignment="1">
      <alignment horizontal="center"/>
    </xf>
    <xf numFmtId="0" fontId="2" fillId="10" borderId="59" xfId="0" applyFont="1" applyFill="1" applyBorder="1" applyAlignment="1">
      <alignment horizontal="center"/>
    </xf>
    <xf numFmtId="3" fontId="3" fillId="0" borderId="0" xfId="1" applyNumberFormat="1" applyFont="1" applyBorder="1"/>
    <xf numFmtId="3" fontId="3" fillId="0" borderId="0" xfId="1" applyNumberFormat="1" applyFont="1" applyBorder="1" applyAlignment="1">
      <alignment horizontal="right"/>
    </xf>
    <xf numFmtId="0" fontId="2" fillId="8" borderId="56" xfId="0" applyFont="1" applyFill="1" applyBorder="1"/>
    <xf numFmtId="0" fontId="0" fillId="8" borderId="57" xfId="0" applyFill="1" applyBorder="1"/>
    <xf numFmtId="0" fontId="0" fillId="8" borderId="58" xfId="0" applyFill="1" applyBorder="1"/>
    <xf numFmtId="0" fontId="2" fillId="10" borderId="64" xfId="0" applyFont="1" applyFill="1" applyBorder="1" applyAlignment="1">
      <alignment horizontal="center"/>
    </xf>
    <xf numFmtId="3" fontId="3" fillId="0" borderId="60" xfId="1" applyNumberFormat="1" applyFont="1" applyBorder="1"/>
    <xf numFmtId="3" fontId="0" fillId="0" borderId="60" xfId="1" applyNumberFormat="1" applyFont="1" applyBorder="1"/>
    <xf numFmtId="0" fontId="12" fillId="8" borderId="61" xfId="0" applyFont="1" applyFill="1" applyBorder="1"/>
    <xf numFmtId="0" fontId="12" fillId="8" borderId="62" xfId="0" applyFont="1" applyFill="1" applyBorder="1"/>
    <xf numFmtId="44" fontId="12" fillId="8" borderId="62" xfId="1" applyFont="1" applyFill="1" applyBorder="1"/>
    <xf numFmtId="0" fontId="0" fillId="8" borderId="62" xfId="0" applyFill="1" applyBorder="1"/>
    <xf numFmtId="0" fontId="0" fillId="8" borderId="63" xfId="0" applyFill="1" applyBorder="1"/>
    <xf numFmtId="0" fontId="0" fillId="7" borderId="60" xfId="0" applyFill="1" applyBorder="1"/>
    <xf numFmtId="0" fontId="2" fillId="10" borderId="56" xfId="0" applyFont="1" applyFill="1" applyBorder="1"/>
    <xf numFmtId="0" fontId="2" fillId="10" borderId="57" xfId="0" applyFont="1" applyFill="1" applyBorder="1" applyAlignment="1">
      <alignment horizontal="center"/>
    </xf>
    <xf numFmtId="3" fontId="0" fillId="0" borderId="59" xfId="1" applyNumberFormat="1" applyFont="1" applyBorder="1"/>
    <xf numFmtId="9" fontId="0" fillId="6" borderId="0" xfId="0" applyNumberFormat="1" applyFill="1" applyAlignment="1">
      <alignment horizontal="center"/>
    </xf>
    <xf numFmtId="0" fontId="2" fillId="6" borderId="5" xfId="0" applyFont="1" applyFill="1" applyBorder="1" applyAlignment="1">
      <alignment horizontal="center"/>
    </xf>
    <xf numFmtId="0" fontId="0" fillId="6" borderId="2" xfId="0" applyFill="1" applyBorder="1"/>
    <xf numFmtId="0" fontId="3" fillId="6" borderId="0" xfId="0" applyFont="1" applyFill="1" applyAlignment="1">
      <alignment horizontal="center"/>
    </xf>
    <xf numFmtId="0" fontId="0" fillId="6" borderId="0" xfId="0" applyFill="1" applyAlignment="1">
      <alignment horizontal="center"/>
    </xf>
    <xf numFmtId="0" fontId="0" fillId="6" borderId="25" xfId="0" applyFill="1" applyBorder="1"/>
    <xf numFmtId="0" fontId="0" fillId="2" borderId="59" xfId="0" applyFill="1" applyBorder="1" applyAlignment="1">
      <alignment horizontal="left"/>
    </xf>
    <xf numFmtId="0" fontId="10" fillId="2" borderId="60" xfId="0" applyFont="1" applyFill="1" applyBorder="1"/>
    <xf numFmtId="0" fontId="2" fillId="8" borderId="65" xfId="0" applyFont="1" applyFill="1" applyBorder="1"/>
    <xf numFmtId="0" fontId="9" fillId="0" borderId="66" xfId="2" applyBorder="1"/>
    <xf numFmtId="0" fontId="0" fillId="6" borderId="0" xfId="0" applyFill="1" applyAlignment="1">
      <alignment horizontal="center" vertical="center"/>
    </xf>
    <xf numFmtId="3" fontId="0" fillId="6" borderId="0" xfId="1" applyNumberFormat="1" applyFont="1" applyFill="1" applyBorder="1"/>
    <xf numFmtId="44" fontId="0" fillId="6" borderId="0" xfId="1" applyFont="1" applyFill="1" applyBorder="1"/>
    <xf numFmtId="44" fontId="3" fillId="6" borderId="0" xfId="1" applyFont="1" applyFill="1" applyBorder="1" applyAlignment="1">
      <alignment horizontal="center"/>
    </xf>
    <xf numFmtId="44" fontId="0" fillId="2" borderId="60" xfId="1" applyFont="1" applyFill="1" applyBorder="1" applyAlignment="1">
      <alignment horizontal="left"/>
    </xf>
    <xf numFmtId="0" fontId="10" fillId="2" borderId="60" xfId="0" applyFont="1" applyFill="1" applyBorder="1" applyAlignment="1">
      <alignment horizontal="left"/>
    </xf>
    <xf numFmtId="0" fontId="0" fillId="2" borderId="60" xfId="0" applyFill="1" applyBorder="1" applyAlignment="1">
      <alignment horizontal="left"/>
    </xf>
    <xf numFmtId="0" fontId="2" fillId="8" borderId="58" xfId="0" applyFont="1" applyFill="1" applyBorder="1" applyAlignment="1">
      <alignment horizontal="right" vertical="center"/>
    </xf>
    <xf numFmtId="3" fontId="0" fillId="8" borderId="57" xfId="0" applyNumberFormat="1" applyFill="1" applyBorder="1" applyAlignment="1">
      <alignment horizontal="center"/>
    </xf>
    <xf numFmtId="0" fontId="2" fillId="10" borderId="60" xfId="0" applyFont="1" applyFill="1" applyBorder="1" applyAlignment="1">
      <alignment horizontal="left"/>
    </xf>
    <xf numFmtId="0" fontId="0" fillId="2" borderId="59" xfId="0" applyFill="1" applyBorder="1" applyAlignment="1">
      <alignment horizontal="left" vertical="center"/>
    </xf>
    <xf numFmtId="0" fontId="0" fillId="2" borderId="0" xfId="0" applyFill="1" applyAlignment="1">
      <alignment horizontal="left" vertical="center"/>
    </xf>
    <xf numFmtId="0" fontId="0" fillId="2" borderId="60" xfId="0" applyFill="1" applyBorder="1" applyAlignment="1">
      <alignment wrapText="1"/>
    </xf>
    <xf numFmtId="3" fontId="0" fillId="2" borderId="0" xfId="0" applyNumberFormat="1" applyFill="1" applyAlignment="1">
      <alignment horizontal="left" vertical="center"/>
    </xf>
    <xf numFmtId="165" fontId="2" fillId="8" borderId="62" xfId="1" applyNumberFormat="1" applyFont="1" applyFill="1" applyBorder="1" applyAlignment="1">
      <alignment horizontal="center"/>
    </xf>
    <xf numFmtId="0" fontId="12" fillId="6" borderId="0" xfId="0" applyFont="1" applyFill="1"/>
    <xf numFmtId="44" fontId="12" fillId="6" borderId="0" xfId="1" applyFont="1" applyFill="1" applyBorder="1"/>
    <xf numFmtId="44" fontId="0" fillId="2" borderId="59" xfId="1" applyFont="1" applyFill="1" applyBorder="1" applyAlignment="1">
      <alignment horizontal="left"/>
    </xf>
    <xf numFmtId="44" fontId="10" fillId="2" borderId="60" xfId="1" applyFont="1" applyFill="1" applyBorder="1"/>
    <xf numFmtId="44" fontId="12" fillId="8" borderId="63" xfId="1" applyFont="1" applyFill="1" applyBorder="1"/>
    <xf numFmtId="0" fontId="2" fillId="8" borderId="61" xfId="0" applyFont="1" applyFill="1" applyBorder="1"/>
    <xf numFmtId="0" fontId="12" fillId="8" borderId="58" xfId="0" applyFont="1" applyFill="1" applyBorder="1" applyAlignment="1">
      <alignment vertical="center"/>
    </xf>
    <xf numFmtId="0" fontId="2" fillId="10" borderId="60" xfId="0" applyFont="1" applyFill="1" applyBorder="1"/>
    <xf numFmtId="0" fontId="0" fillId="2" borderId="59" xfId="0" applyFill="1" applyBorder="1" applyAlignment="1">
      <alignment horizontal="center"/>
    </xf>
    <xf numFmtId="3" fontId="0" fillId="2" borderId="0" xfId="0" applyNumberFormat="1" applyFill="1"/>
    <xf numFmtId="0" fontId="24" fillId="11" borderId="59" xfId="0" applyFont="1" applyFill="1" applyBorder="1" applyAlignment="1">
      <alignment vertical="center"/>
    </xf>
    <xf numFmtId="0" fontId="24" fillId="11" borderId="0" xfId="0" applyFont="1" applyFill="1" applyAlignment="1">
      <alignment vertical="center"/>
    </xf>
    <xf numFmtId="165" fontId="24" fillId="11" borderId="60" xfId="1" applyNumberFormat="1" applyFont="1" applyFill="1" applyBorder="1" applyAlignment="1">
      <alignment vertical="center"/>
    </xf>
    <xf numFmtId="0" fontId="2" fillId="10" borderId="59" xfId="0" applyFont="1" applyFill="1" applyBorder="1" applyAlignment="1">
      <alignment vertical="center"/>
    </xf>
    <xf numFmtId="0" fontId="2" fillId="10" borderId="0" xfId="0" applyFont="1" applyFill="1" applyAlignment="1">
      <alignment vertical="center"/>
    </xf>
    <xf numFmtId="0" fontId="12" fillId="10" borderId="0" xfId="0" applyFont="1" applyFill="1" applyAlignment="1">
      <alignment vertical="center"/>
    </xf>
    <xf numFmtId="165" fontId="12" fillId="10" borderId="60" xfId="1" applyNumberFormat="1" applyFont="1" applyFill="1" applyBorder="1" applyAlignment="1">
      <alignment vertical="center"/>
    </xf>
    <xf numFmtId="0" fontId="24" fillId="11" borderId="59" xfId="0" applyFont="1" applyFill="1" applyBorder="1" applyAlignment="1">
      <alignment horizontal="left" vertical="center"/>
    </xf>
    <xf numFmtId="0" fontId="24" fillId="11" borderId="60" xfId="0" applyFont="1" applyFill="1" applyBorder="1" applyAlignment="1">
      <alignment vertical="center"/>
    </xf>
    <xf numFmtId="44" fontId="2" fillId="8" borderId="62" xfId="0" applyNumberFormat="1" applyFont="1" applyFill="1" applyBorder="1" applyAlignment="1">
      <alignment vertical="center"/>
    </xf>
    <xf numFmtId="9" fontId="0" fillId="0" borderId="0" xfId="3" applyFont="1" applyBorder="1" applyAlignment="1">
      <alignment horizontal="center"/>
    </xf>
    <xf numFmtId="0" fontId="2" fillId="2" borderId="0" xfId="0" applyFont="1" applyFill="1" applyAlignment="1">
      <alignment vertical="center"/>
    </xf>
    <xf numFmtId="44" fontId="2" fillId="2" borderId="0" xfId="0" applyNumberFormat="1" applyFont="1" applyFill="1" applyAlignment="1">
      <alignment vertical="center"/>
    </xf>
    <xf numFmtId="0" fontId="12" fillId="6" borderId="0" xfId="0" applyFont="1" applyFill="1" applyAlignment="1">
      <alignment vertical="center"/>
    </xf>
    <xf numFmtId="0" fontId="2" fillId="6" borderId="0" xfId="0" applyFont="1" applyFill="1" applyAlignment="1">
      <alignment vertical="center"/>
    </xf>
    <xf numFmtId="0" fontId="12" fillId="10" borderId="15" xfId="0" applyFont="1" applyFill="1" applyBorder="1" applyAlignment="1">
      <alignment horizontal="center"/>
    </xf>
    <xf numFmtId="0" fontId="0" fillId="2" borderId="15" xfId="0" applyFill="1" applyBorder="1"/>
    <xf numFmtId="1" fontId="0" fillId="2" borderId="15" xfId="0" applyNumberFormat="1" applyFill="1" applyBorder="1"/>
    <xf numFmtId="164" fontId="3" fillId="7" borderId="15" xfId="0" applyNumberFormat="1" applyFont="1" applyFill="1" applyBorder="1"/>
    <xf numFmtId="0" fontId="12" fillId="10" borderId="15" xfId="0" applyFont="1" applyFill="1" applyBorder="1"/>
    <xf numFmtId="0" fontId="2" fillId="8" borderId="57" xfId="0" applyFont="1" applyFill="1" applyBorder="1" applyAlignment="1">
      <alignment vertical="center"/>
    </xf>
    <xf numFmtId="0" fontId="12" fillId="8" borderId="57" xfId="0" applyFont="1" applyFill="1" applyBorder="1" applyAlignment="1">
      <alignment vertical="center"/>
    </xf>
    <xf numFmtId="0" fontId="24" fillId="11" borderId="0" xfId="0" applyFont="1" applyFill="1" applyAlignment="1">
      <alignment vertical="center"/>
    </xf>
    <xf numFmtId="44" fontId="12" fillId="8" borderId="62" xfId="1" applyFont="1" applyFill="1" applyBorder="1" applyAlignment="1">
      <alignment horizontal="center"/>
    </xf>
    <xf numFmtId="44" fontId="12" fillId="8" borderId="63" xfId="1" applyFont="1" applyFill="1" applyBorder="1" applyAlignment="1">
      <alignment horizontal="center"/>
    </xf>
    <xf numFmtId="0" fontId="0" fillId="8" borderId="57" xfId="0" applyFill="1" applyBorder="1" applyAlignment="1">
      <alignment horizontal="center"/>
    </xf>
    <xf numFmtId="0" fontId="0" fillId="8" borderId="58" xfId="0" applyFill="1" applyBorder="1" applyAlignment="1">
      <alignment horizontal="center"/>
    </xf>
    <xf numFmtId="0" fontId="2" fillId="10" borderId="0" xfId="0" applyFont="1" applyFill="1" applyAlignment="1">
      <alignment horizontal="center"/>
    </xf>
    <xf numFmtId="0" fontId="2" fillId="10" borderId="60" xfId="0" applyFont="1" applyFill="1" applyBorder="1" applyAlignment="1">
      <alignment horizontal="center"/>
    </xf>
    <xf numFmtId="44" fontId="0" fillId="2" borderId="0" xfId="1" applyFont="1" applyFill="1" applyBorder="1" applyAlignment="1">
      <alignment horizontal="center"/>
    </xf>
    <xf numFmtId="44" fontId="0" fillId="2" borderId="60" xfId="1" applyFont="1" applyFill="1" applyBorder="1" applyAlignment="1">
      <alignment horizontal="center"/>
    </xf>
    <xf numFmtId="44" fontId="10" fillId="2" borderId="0" xfId="1" applyFont="1" applyFill="1" applyBorder="1" applyAlignment="1">
      <alignment horizontal="center"/>
    </xf>
    <xf numFmtId="44" fontId="10" fillId="2" borderId="60" xfId="1" applyFont="1" applyFill="1" applyBorder="1" applyAlignment="1">
      <alignment horizontal="center"/>
    </xf>
    <xf numFmtId="0" fontId="8" fillId="3" borderId="17" xfId="0" applyFont="1" applyFill="1" applyBorder="1" applyAlignment="1">
      <alignment horizontal="center"/>
    </xf>
    <xf numFmtId="0" fontId="8" fillId="3" borderId="18" xfId="0" applyFont="1" applyFill="1" applyBorder="1" applyAlignment="1">
      <alignment horizontal="center"/>
    </xf>
    <xf numFmtId="0" fontId="2" fillId="3" borderId="17" xfId="0" applyFont="1" applyFill="1" applyBorder="1" applyAlignment="1">
      <alignment horizontal="center"/>
    </xf>
    <xf numFmtId="0" fontId="2" fillId="3" borderId="18" xfId="0" applyFont="1" applyFill="1" applyBorder="1" applyAlignment="1">
      <alignment horizontal="center"/>
    </xf>
    <xf numFmtId="0" fontId="3" fillId="4" borderId="19" xfId="0" applyFont="1" applyFill="1" applyBorder="1" applyAlignment="1">
      <alignment horizontal="center" vertical="center"/>
    </xf>
    <xf numFmtId="0" fontId="0" fillId="4" borderId="20" xfId="0" applyFill="1" applyBorder="1" applyAlignment="1">
      <alignment horizontal="center" vertical="center"/>
    </xf>
    <xf numFmtId="0" fontId="0" fillId="4" borderId="21" xfId="0" applyFill="1" applyBorder="1" applyAlignment="1">
      <alignment horizontal="center" vertical="center"/>
    </xf>
    <xf numFmtId="0" fontId="0" fillId="0" borderId="0" xfId="0" applyAlignment="1">
      <alignment horizontal="left" vertical="top" wrapText="1" indent="2"/>
    </xf>
    <xf numFmtId="0" fontId="3" fillId="2" borderId="0" xfId="0" applyFont="1" applyFill="1" applyAlignment="1">
      <alignment horizontal="right"/>
    </xf>
    <xf numFmtId="0" fontId="0" fillId="2" borderId="44" xfId="0" applyFill="1" applyBorder="1" applyAlignment="1">
      <alignment horizontal="center"/>
    </xf>
    <xf numFmtId="0" fontId="0" fillId="2" borderId="45" xfId="0" applyFill="1" applyBorder="1" applyAlignment="1">
      <alignment horizontal="center"/>
    </xf>
    <xf numFmtId="0" fontId="0" fillId="2" borderId="41" xfId="0" applyFill="1" applyBorder="1" applyAlignment="1">
      <alignment horizontal="center"/>
    </xf>
    <xf numFmtId="0" fontId="0" fillId="2" borderId="0" xfId="0" applyFill="1" applyAlignment="1">
      <alignment horizontal="center"/>
    </xf>
    <xf numFmtId="0" fontId="0" fillId="2" borderId="40" xfId="0" applyFill="1" applyBorder="1" applyAlignment="1">
      <alignment horizontal="center"/>
    </xf>
    <xf numFmtId="0" fontId="0" fillId="2" borderId="39" xfId="0" applyFill="1" applyBorder="1" applyAlignment="1">
      <alignment horizontal="center"/>
    </xf>
    <xf numFmtId="165" fontId="0" fillId="2" borderId="54" xfId="0" applyNumberFormat="1" applyFill="1" applyBorder="1" applyAlignment="1">
      <alignment horizontal="center"/>
    </xf>
    <xf numFmtId="165" fontId="0" fillId="2" borderId="55" xfId="0" applyNumberFormat="1" applyFill="1" applyBorder="1" applyAlignment="1">
      <alignment horizontal="center"/>
    </xf>
    <xf numFmtId="0" fontId="0" fillId="2" borderId="46" xfId="0" applyFill="1" applyBorder="1" applyAlignment="1">
      <alignment horizontal="center"/>
    </xf>
    <xf numFmtId="0" fontId="0" fillId="2" borderId="47" xfId="0" applyFill="1" applyBorder="1" applyAlignment="1">
      <alignment horizontal="center"/>
    </xf>
    <xf numFmtId="0" fontId="0" fillId="2" borderId="49" xfId="0" applyFill="1" applyBorder="1" applyAlignment="1">
      <alignment horizontal="center"/>
    </xf>
    <xf numFmtId="0" fontId="0" fillId="2" borderId="51" xfId="0" applyFill="1" applyBorder="1" applyAlignment="1">
      <alignment horizontal="center"/>
    </xf>
    <xf numFmtId="0" fontId="0" fillId="2" borderId="52" xfId="0" applyFill="1" applyBorder="1" applyAlignment="1">
      <alignment horizontal="center"/>
    </xf>
    <xf numFmtId="0" fontId="0" fillId="2" borderId="48" xfId="0" applyFill="1" applyBorder="1" applyAlignment="1">
      <alignment horizontal="center"/>
    </xf>
    <xf numFmtId="0" fontId="0" fillId="2" borderId="50" xfId="0" applyFill="1" applyBorder="1" applyAlignment="1">
      <alignment horizontal="center"/>
    </xf>
    <xf numFmtId="0" fontId="0" fillId="2" borderId="53" xfId="0" applyFill="1" applyBorder="1" applyAlignment="1">
      <alignment horizontal="center"/>
    </xf>
    <xf numFmtId="0" fontId="0" fillId="2" borderId="42" xfId="0" applyFill="1" applyBorder="1" applyAlignment="1">
      <alignment horizontal="center"/>
    </xf>
    <xf numFmtId="0" fontId="0" fillId="2" borderId="43" xfId="0" applyFill="1" applyBorder="1" applyAlignment="1">
      <alignment horizontal="center"/>
    </xf>
    <xf numFmtId="0" fontId="2" fillId="8" borderId="0" xfId="0" applyFont="1" applyFill="1"/>
    <xf numFmtId="0" fontId="0" fillId="0" borderId="0" xfId="0"/>
    <xf numFmtId="0" fontId="0" fillId="2" borderId="0" xfId="0" applyFill="1" applyAlignment="1">
      <alignment horizontal="left"/>
    </xf>
    <xf numFmtId="0" fontId="0" fillId="7" borderId="0" xfId="0" applyFill="1" applyAlignment="1">
      <alignment horizontal="left"/>
    </xf>
    <xf numFmtId="0" fontId="0" fillId="7" borderId="31" xfId="0" applyFill="1" applyBorder="1" applyAlignment="1">
      <alignment horizontal="left"/>
    </xf>
    <xf numFmtId="0" fontId="2" fillId="10" borderId="0" xfId="0" applyFont="1" applyFill="1"/>
    <xf numFmtId="0" fontId="5" fillId="2" borderId="0" xfId="0" applyFont="1" applyFill="1"/>
    <xf numFmtId="0" fontId="0" fillId="2" borderId="0" xfId="0" applyFill="1"/>
    <xf numFmtId="0" fontId="0" fillId="2" borderId="31" xfId="0" applyFill="1" applyBorder="1" applyAlignment="1">
      <alignment horizontal="left"/>
    </xf>
    <xf numFmtId="0" fontId="2" fillId="8" borderId="56" xfId="0" applyFont="1" applyFill="1" applyBorder="1" applyAlignment="1">
      <alignment horizontal="center"/>
    </xf>
    <xf numFmtId="0" fontId="2" fillId="8" borderId="58" xfId="0" applyFont="1" applyFill="1" applyBorder="1" applyAlignment="1">
      <alignment horizontal="center"/>
    </xf>
    <xf numFmtId="0" fontId="9" fillId="0" borderId="59" xfId="2" applyFill="1" applyBorder="1" applyAlignment="1">
      <alignment horizontal="center"/>
    </xf>
    <xf numFmtId="0" fontId="9" fillId="0" borderId="60" xfId="2" applyFill="1" applyBorder="1" applyAlignment="1">
      <alignment horizontal="center"/>
    </xf>
    <xf numFmtId="0" fontId="9" fillId="0" borderId="61" xfId="2" applyFill="1" applyBorder="1" applyAlignment="1">
      <alignment horizontal="center"/>
    </xf>
    <xf numFmtId="0" fontId="9" fillId="0" borderId="63" xfId="2" applyFill="1" applyBorder="1" applyAlignment="1">
      <alignment horizontal="center"/>
    </xf>
    <xf numFmtId="0" fontId="9" fillId="0" borderId="61" xfId="2" applyFill="1" applyBorder="1" applyAlignment="1">
      <alignment horizontal="left"/>
    </xf>
    <xf numFmtId="0" fontId="9" fillId="0" borderId="63" xfId="2" applyFill="1" applyBorder="1" applyAlignment="1">
      <alignment horizontal="left"/>
    </xf>
    <xf numFmtId="0" fontId="2" fillId="8" borderId="56" xfId="0" applyFont="1" applyFill="1" applyBorder="1" applyAlignment="1">
      <alignment horizontal="left"/>
    </xf>
    <xf numFmtId="0" fontId="2" fillId="8" borderId="58" xfId="0" applyFont="1" applyFill="1" applyBorder="1" applyAlignment="1">
      <alignment horizontal="left"/>
    </xf>
    <xf numFmtId="0" fontId="5" fillId="7" borderId="59" xfId="0" applyFont="1" applyFill="1" applyBorder="1"/>
    <xf numFmtId="0" fontId="5" fillId="7" borderId="0" xfId="0" applyFont="1" applyFill="1"/>
    <xf numFmtId="0" fontId="0" fillId="6" borderId="13" xfId="0" applyFill="1" applyBorder="1" applyAlignment="1">
      <alignment horizontal="center"/>
    </xf>
    <xf numFmtId="0" fontId="0" fillId="6" borderId="1" xfId="0" applyFill="1" applyBorder="1" applyAlignment="1">
      <alignment horizontal="center"/>
    </xf>
    <xf numFmtId="3" fontId="0" fillId="0" borderId="0" xfId="1" applyNumberFormat="1" applyFont="1" applyBorder="1" applyAlignment="1">
      <alignment horizontal="left"/>
    </xf>
    <xf numFmtId="3" fontId="0" fillId="0" borderId="60" xfId="1" applyNumberFormat="1" applyFont="1" applyBorder="1" applyAlignment="1">
      <alignment horizontal="left"/>
    </xf>
    <xf numFmtId="0" fontId="2" fillId="10" borderId="57" xfId="0" applyFont="1" applyFill="1" applyBorder="1" applyAlignment="1">
      <alignment horizontal="left"/>
    </xf>
    <xf numFmtId="0" fontId="2" fillId="10" borderId="58" xfId="0" applyFont="1" applyFill="1" applyBorder="1" applyAlignment="1">
      <alignment horizontal="left"/>
    </xf>
    <xf numFmtId="44" fontId="12" fillId="8" borderId="0" xfId="1" applyFont="1" applyFill="1" applyAlignment="1">
      <alignment horizontal="center"/>
    </xf>
    <xf numFmtId="0" fontId="0" fillId="8" borderId="0" xfId="0" applyFill="1"/>
    <xf numFmtId="44" fontId="0" fillId="2" borderId="0" xfId="1" applyFont="1" applyFill="1" applyAlignment="1">
      <alignment horizontal="center"/>
    </xf>
    <xf numFmtId="44" fontId="10" fillId="2" borderId="0" xfId="1" applyFont="1" applyFill="1" applyAlignment="1">
      <alignment horizontal="center"/>
    </xf>
    <xf numFmtId="0" fontId="0" fillId="8" borderId="0" xfId="0" applyFill="1" applyAlignment="1">
      <alignment horizontal="center"/>
    </xf>
    <xf numFmtId="0" fontId="2" fillId="8" borderId="0" xfId="0" applyFont="1" applyFill="1" applyAlignment="1">
      <alignment horizontal="center"/>
    </xf>
    <xf numFmtId="0" fontId="16" fillId="2" borderId="0" xfId="5" applyFill="1"/>
    <xf numFmtId="0" fontId="17" fillId="2" borderId="0" xfId="0" applyFont="1" applyFill="1" applyAlignment="1">
      <alignment wrapText="1"/>
    </xf>
    <xf numFmtId="0" fontId="20" fillId="8" borderId="0" xfId="5" applyFont="1" applyFill="1" applyAlignment="1">
      <alignment horizontal="center"/>
    </xf>
    <xf numFmtId="0" fontId="20" fillId="8" borderId="0" xfId="5" applyFont="1" applyFill="1"/>
    <xf numFmtId="0" fontId="2" fillId="8" borderId="16" xfId="0" applyFont="1" applyFill="1" applyBorder="1" applyAlignment="1">
      <alignment horizontal="center"/>
    </xf>
    <xf numFmtId="0" fontId="2" fillId="8" borderId="23" xfId="0" applyFont="1" applyFill="1" applyBorder="1" applyAlignment="1">
      <alignment horizontal="center"/>
    </xf>
    <xf numFmtId="0" fontId="2" fillId="8" borderId="35" xfId="0" applyFont="1" applyFill="1" applyBorder="1" applyAlignment="1">
      <alignment horizontal="center"/>
    </xf>
  </cellXfs>
  <cellStyles count="8">
    <cellStyle name="Comma" xfId="7" builtinId="3"/>
    <cellStyle name="Currency" xfId="1" builtinId="4"/>
    <cellStyle name="Hyperlink" xfId="2" builtinId="8"/>
    <cellStyle name="Normal" xfId="0" builtinId="0"/>
    <cellStyle name="Normal 2" xfId="5" xr:uid="{4A2E694F-FD8E-4EDE-B5AD-75AF8D1409CE}"/>
    <cellStyle name="Normal 3" xfId="6" xr:uid="{73BE9FC4-8403-4B75-B42F-85458F335F5D}"/>
    <cellStyle name="Normal 4" xfId="4" xr:uid="{0A6A2B96-9140-4563-9999-FA3344DF5CE1}"/>
    <cellStyle name="Percent" xfId="3" builtinId="5"/>
  </cellStyles>
  <dxfs count="86">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2"/>
        </patternFill>
      </fill>
    </dxf>
    <dxf>
      <fill>
        <patternFill>
          <bgColor them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fgColor theme="0" tint="-4.9989318521683403E-2"/>
        </patternFill>
      </fill>
    </dxf>
    <dxf>
      <fill>
        <patternFill>
          <bgColor theme="0" tint="-4.9989318521683403E-2"/>
        </patternFill>
      </fill>
    </dxf>
    <dxf>
      <fill>
        <patternFill>
          <fgColor theme="0" tint="-4.9989318521683403E-2"/>
        </patternFill>
      </fill>
    </dxf>
    <dxf>
      <fill>
        <patternFill>
          <bgColor theme="0" tint="-4.9989318521683403E-2"/>
        </patternFill>
      </fill>
    </dxf>
    <dxf>
      <fill>
        <patternFill>
          <fgColor theme="0" tint="-4.9989318521683403E-2"/>
        </patternFill>
      </fill>
    </dxf>
    <dxf>
      <fill>
        <patternFill>
          <fgColor theme="0" tint="-4.9989318521683403E-2"/>
        </patternFill>
      </fill>
    </dxf>
    <dxf>
      <fill>
        <patternFill>
          <bgColor theme="0" tint="-4.9989318521683403E-2"/>
        </patternFill>
      </fill>
    </dxf>
    <dxf>
      <fill>
        <patternFill>
          <bgColor theme="0" tint="-4.9989318521683403E-2"/>
        </patternFill>
      </fill>
    </dxf>
    <dxf>
      <numFmt numFmtId="0" formatCode="General"/>
    </dxf>
    <dxf>
      <numFmt numFmtId="0" formatCode="General"/>
    </dxf>
    <dxf>
      <numFmt numFmtId="0" formatCode="General"/>
    </dxf>
    <dxf>
      <numFmt numFmtId="0" formatCode="General"/>
    </dxf>
    <dxf>
      <numFmt numFmtId="0" formatCode="General"/>
    </dxf>
    <dxf>
      <numFmt numFmtId="171" formatCode="[$-F400]h:mm:ss\ AM/PM"/>
    </dxf>
    <dxf>
      <numFmt numFmtId="19" formatCode="m/d/yyyy"/>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border outline="0">
        <top style="medium">
          <color rgb="FFAAAAAA"/>
        </top>
      </border>
    </dxf>
    <dxf>
      <fill>
        <patternFill patternType="solid">
          <fgColor indexed="64"/>
          <bgColor theme="0"/>
        </patternFill>
      </fill>
    </dxf>
    <dxf>
      <font>
        <b/>
        <i val="0"/>
        <strike val="0"/>
        <condense val="0"/>
        <extend val="0"/>
        <outline val="0"/>
        <shadow val="0"/>
        <u val="none"/>
        <vertAlign val="baseline"/>
        <sz val="11"/>
        <color theme="0"/>
        <name val="Aptos Narrow"/>
        <family val="2"/>
        <scheme val="minor"/>
      </font>
      <fill>
        <patternFill patternType="solid">
          <fgColor indexed="64"/>
          <bgColor rgb="FF44546A"/>
        </patternFill>
      </fill>
    </dxf>
    <dxf>
      <fill>
        <patternFill patternType="none">
          <fgColor indexed="64"/>
          <bgColor indexed="65"/>
        </patternFill>
      </fill>
    </dxf>
    <dxf>
      <numFmt numFmtId="19" formatCode="m/d/yyyy"/>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numFmt numFmtId="19" formatCode="m/d/yyyy"/>
      <fill>
        <patternFill patternType="none">
          <fgColor indexed="64"/>
          <bgColor indexed="65"/>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border outline="0">
        <top style="medium">
          <color rgb="FFAAAAAA"/>
        </top>
      </border>
    </dxf>
    <dxf>
      <fill>
        <patternFill patternType="solid">
          <fgColor indexed="64"/>
          <bgColor theme="0"/>
        </patternFill>
      </fill>
    </dxf>
    <dxf>
      <font>
        <b/>
        <i val="0"/>
        <strike val="0"/>
        <condense val="0"/>
        <extend val="0"/>
        <outline val="0"/>
        <shadow val="0"/>
        <u val="none"/>
        <vertAlign val="baseline"/>
        <sz val="11"/>
        <color theme="0"/>
        <name val="Aptos Narrow"/>
        <family val="2"/>
        <scheme val="minor"/>
      </font>
      <numFmt numFmtId="19" formatCode="m/d/yyyy"/>
      <fill>
        <patternFill patternType="solid">
          <fgColor indexed="64"/>
          <bgColor rgb="FF44546A"/>
        </patternFill>
      </fill>
    </dxf>
  </dxfs>
  <tableStyles count="1" defaultTableStyle="TableStyleMedium2" defaultPivotStyle="PivotStyleLight16">
    <tableStyle name="Invisible" pivot="0" table="0" count="0" xr9:uid="{FF97BBC8-4A83-4237-B1D8-58E9EF990074}"/>
  </tableStyles>
  <colors>
    <mruColors>
      <color rgb="FF44546A"/>
      <color rgb="FF00B050"/>
      <color rgb="FF0000FF"/>
      <color rgb="FF303B4A"/>
      <color rgb="FFD4DBE4"/>
      <color rgb="FFA1B0C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onnections" Target="connections.xml"/><Relationship Id="rId32" Type="http://schemas.microsoft.com/office/2017/10/relationships/person" Target="persons/person.xml"/><Relationship Id="rId37"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microsoft.com/office/2022/10/relationships/richValueRel" Target="richData/richValueRel.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eetMetadata" Target="metadata.xml"/><Relationship Id="rId30" Type="http://schemas.microsoft.com/office/2017/06/relationships/rdRichValueStructure" Target="richData/rdrichvaluestructure.xml"/><Relationship Id="rId35"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CPI vs. PPI</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PPI</c:v>
          </c:tx>
          <c:spPr>
            <a:ln w="19050" cap="rnd">
              <a:solidFill>
                <a:schemeClr val="accent1"/>
              </a:solidFill>
              <a:round/>
            </a:ln>
            <a:effectLst/>
          </c:spPr>
          <c:marker>
            <c:symbol val="none"/>
          </c:marker>
          <c:xVal>
            <c:numRef>
              <c:f>'Sales Tax and Escalation'!$K$26:$K$209</c:f>
              <c:numCache>
                <c:formatCode>m/d/yyyy</c:formatCode>
                <c:ptCount val="184"/>
                <c:pt idx="0">
                  <c:v>40118</c:v>
                </c:pt>
                <c:pt idx="1">
                  <c:v>40148</c:v>
                </c:pt>
                <c:pt idx="2">
                  <c:v>40179</c:v>
                </c:pt>
                <c:pt idx="3">
                  <c:v>40210</c:v>
                </c:pt>
                <c:pt idx="4">
                  <c:v>40238</c:v>
                </c:pt>
                <c:pt idx="5">
                  <c:v>40269</c:v>
                </c:pt>
                <c:pt idx="6">
                  <c:v>40299</c:v>
                </c:pt>
                <c:pt idx="7">
                  <c:v>40330</c:v>
                </c:pt>
                <c:pt idx="8">
                  <c:v>40360</c:v>
                </c:pt>
                <c:pt idx="9">
                  <c:v>40391</c:v>
                </c:pt>
                <c:pt idx="10">
                  <c:v>40422</c:v>
                </c:pt>
                <c:pt idx="11">
                  <c:v>40452</c:v>
                </c:pt>
                <c:pt idx="12">
                  <c:v>40483</c:v>
                </c:pt>
                <c:pt idx="13">
                  <c:v>40513</c:v>
                </c:pt>
                <c:pt idx="14">
                  <c:v>40544</c:v>
                </c:pt>
                <c:pt idx="15">
                  <c:v>40575</c:v>
                </c:pt>
                <c:pt idx="16">
                  <c:v>40603</c:v>
                </c:pt>
                <c:pt idx="17">
                  <c:v>40634</c:v>
                </c:pt>
                <c:pt idx="18">
                  <c:v>40664</c:v>
                </c:pt>
                <c:pt idx="19">
                  <c:v>40695</c:v>
                </c:pt>
                <c:pt idx="20">
                  <c:v>40725</c:v>
                </c:pt>
                <c:pt idx="21">
                  <c:v>40756</c:v>
                </c:pt>
                <c:pt idx="22">
                  <c:v>40787</c:v>
                </c:pt>
                <c:pt idx="23">
                  <c:v>40817</c:v>
                </c:pt>
                <c:pt idx="24">
                  <c:v>40848</c:v>
                </c:pt>
                <c:pt idx="25">
                  <c:v>40878</c:v>
                </c:pt>
                <c:pt idx="26">
                  <c:v>40909</c:v>
                </c:pt>
                <c:pt idx="27">
                  <c:v>40940</c:v>
                </c:pt>
                <c:pt idx="28">
                  <c:v>40969</c:v>
                </c:pt>
                <c:pt idx="29">
                  <c:v>41000</c:v>
                </c:pt>
                <c:pt idx="30">
                  <c:v>41030</c:v>
                </c:pt>
                <c:pt idx="31">
                  <c:v>41061</c:v>
                </c:pt>
                <c:pt idx="32">
                  <c:v>41091</c:v>
                </c:pt>
                <c:pt idx="33">
                  <c:v>41122</c:v>
                </c:pt>
                <c:pt idx="34">
                  <c:v>41153</c:v>
                </c:pt>
                <c:pt idx="35">
                  <c:v>41183</c:v>
                </c:pt>
                <c:pt idx="36">
                  <c:v>41214</c:v>
                </c:pt>
                <c:pt idx="37">
                  <c:v>41244</c:v>
                </c:pt>
                <c:pt idx="38">
                  <c:v>41275</c:v>
                </c:pt>
                <c:pt idx="39">
                  <c:v>41306</c:v>
                </c:pt>
                <c:pt idx="40">
                  <c:v>41334</c:v>
                </c:pt>
                <c:pt idx="41">
                  <c:v>41365</c:v>
                </c:pt>
                <c:pt idx="42">
                  <c:v>41395</c:v>
                </c:pt>
                <c:pt idx="43">
                  <c:v>41426</c:v>
                </c:pt>
                <c:pt idx="44">
                  <c:v>41456</c:v>
                </c:pt>
                <c:pt idx="45">
                  <c:v>41487</c:v>
                </c:pt>
                <c:pt idx="46">
                  <c:v>41518</c:v>
                </c:pt>
                <c:pt idx="47">
                  <c:v>41548</c:v>
                </c:pt>
                <c:pt idx="48">
                  <c:v>41579</c:v>
                </c:pt>
                <c:pt idx="49">
                  <c:v>41609</c:v>
                </c:pt>
                <c:pt idx="50">
                  <c:v>41640</c:v>
                </c:pt>
                <c:pt idx="51">
                  <c:v>41671</c:v>
                </c:pt>
                <c:pt idx="52">
                  <c:v>41699</c:v>
                </c:pt>
                <c:pt idx="53">
                  <c:v>41730</c:v>
                </c:pt>
                <c:pt idx="54">
                  <c:v>41760</c:v>
                </c:pt>
                <c:pt idx="55">
                  <c:v>41791</c:v>
                </c:pt>
                <c:pt idx="56">
                  <c:v>41821</c:v>
                </c:pt>
                <c:pt idx="57">
                  <c:v>41852</c:v>
                </c:pt>
                <c:pt idx="58">
                  <c:v>41883</c:v>
                </c:pt>
                <c:pt idx="59">
                  <c:v>41913</c:v>
                </c:pt>
                <c:pt idx="60">
                  <c:v>41944</c:v>
                </c:pt>
                <c:pt idx="61">
                  <c:v>41974</c:v>
                </c:pt>
                <c:pt idx="62">
                  <c:v>42005</c:v>
                </c:pt>
                <c:pt idx="63">
                  <c:v>42036</c:v>
                </c:pt>
                <c:pt idx="64">
                  <c:v>42064</c:v>
                </c:pt>
                <c:pt idx="65">
                  <c:v>42095</c:v>
                </c:pt>
                <c:pt idx="66">
                  <c:v>42125</c:v>
                </c:pt>
                <c:pt idx="67">
                  <c:v>42156</c:v>
                </c:pt>
                <c:pt idx="68">
                  <c:v>42186</c:v>
                </c:pt>
                <c:pt idx="69">
                  <c:v>42217</c:v>
                </c:pt>
                <c:pt idx="70">
                  <c:v>42248</c:v>
                </c:pt>
                <c:pt idx="71">
                  <c:v>42278</c:v>
                </c:pt>
                <c:pt idx="72">
                  <c:v>42309</c:v>
                </c:pt>
                <c:pt idx="73">
                  <c:v>42339</c:v>
                </c:pt>
                <c:pt idx="74">
                  <c:v>42370</c:v>
                </c:pt>
                <c:pt idx="75">
                  <c:v>42401</c:v>
                </c:pt>
                <c:pt idx="76">
                  <c:v>42430</c:v>
                </c:pt>
                <c:pt idx="77">
                  <c:v>42461</c:v>
                </c:pt>
                <c:pt idx="78">
                  <c:v>42491</c:v>
                </c:pt>
                <c:pt idx="79">
                  <c:v>42522</c:v>
                </c:pt>
                <c:pt idx="80">
                  <c:v>42552</c:v>
                </c:pt>
                <c:pt idx="81">
                  <c:v>42583</c:v>
                </c:pt>
                <c:pt idx="82">
                  <c:v>42614</c:v>
                </c:pt>
                <c:pt idx="83">
                  <c:v>42644</c:v>
                </c:pt>
                <c:pt idx="84">
                  <c:v>42675</c:v>
                </c:pt>
                <c:pt idx="85">
                  <c:v>42705</c:v>
                </c:pt>
                <c:pt idx="86">
                  <c:v>42736</c:v>
                </c:pt>
                <c:pt idx="87">
                  <c:v>42767</c:v>
                </c:pt>
                <c:pt idx="88">
                  <c:v>42795</c:v>
                </c:pt>
                <c:pt idx="89">
                  <c:v>42826</c:v>
                </c:pt>
                <c:pt idx="90">
                  <c:v>42856</c:v>
                </c:pt>
                <c:pt idx="91">
                  <c:v>42887</c:v>
                </c:pt>
                <c:pt idx="92">
                  <c:v>42917</c:v>
                </c:pt>
                <c:pt idx="93">
                  <c:v>42948</c:v>
                </c:pt>
                <c:pt idx="94">
                  <c:v>42979</c:v>
                </c:pt>
                <c:pt idx="95">
                  <c:v>43009</c:v>
                </c:pt>
                <c:pt idx="96">
                  <c:v>43040</c:v>
                </c:pt>
                <c:pt idx="97">
                  <c:v>43070</c:v>
                </c:pt>
                <c:pt idx="98">
                  <c:v>43101</c:v>
                </c:pt>
                <c:pt idx="99">
                  <c:v>43132</c:v>
                </c:pt>
                <c:pt idx="100">
                  <c:v>43160</c:v>
                </c:pt>
                <c:pt idx="101">
                  <c:v>43191</c:v>
                </c:pt>
                <c:pt idx="102">
                  <c:v>43221</c:v>
                </c:pt>
                <c:pt idx="103">
                  <c:v>43252</c:v>
                </c:pt>
                <c:pt idx="104">
                  <c:v>43282</c:v>
                </c:pt>
                <c:pt idx="105">
                  <c:v>43313</c:v>
                </c:pt>
                <c:pt idx="106">
                  <c:v>43344</c:v>
                </c:pt>
                <c:pt idx="107">
                  <c:v>43374</c:v>
                </c:pt>
                <c:pt idx="108">
                  <c:v>43405</c:v>
                </c:pt>
                <c:pt idx="109">
                  <c:v>43435</c:v>
                </c:pt>
                <c:pt idx="110">
                  <c:v>43466</c:v>
                </c:pt>
                <c:pt idx="111">
                  <c:v>43497</c:v>
                </c:pt>
                <c:pt idx="112">
                  <c:v>43525</c:v>
                </c:pt>
                <c:pt idx="113">
                  <c:v>43556</c:v>
                </c:pt>
                <c:pt idx="114">
                  <c:v>43586</c:v>
                </c:pt>
                <c:pt idx="115">
                  <c:v>43617</c:v>
                </c:pt>
                <c:pt idx="116">
                  <c:v>43647</c:v>
                </c:pt>
                <c:pt idx="117">
                  <c:v>43678</c:v>
                </c:pt>
                <c:pt idx="118">
                  <c:v>43709</c:v>
                </c:pt>
                <c:pt idx="119">
                  <c:v>43739</c:v>
                </c:pt>
                <c:pt idx="120">
                  <c:v>43770</c:v>
                </c:pt>
                <c:pt idx="121">
                  <c:v>43800</c:v>
                </c:pt>
                <c:pt idx="122">
                  <c:v>43831</c:v>
                </c:pt>
                <c:pt idx="123">
                  <c:v>43862</c:v>
                </c:pt>
                <c:pt idx="124">
                  <c:v>43891</c:v>
                </c:pt>
                <c:pt idx="125">
                  <c:v>43922</c:v>
                </c:pt>
                <c:pt idx="126">
                  <c:v>43952</c:v>
                </c:pt>
                <c:pt idx="127">
                  <c:v>43983</c:v>
                </c:pt>
                <c:pt idx="128">
                  <c:v>44013</c:v>
                </c:pt>
                <c:pt idx="129">
                  <c:v>44044</c:v>
                </c:pt>
                <c:pt idx="130">
                  <c:v>44075</c:v>
                </c:pt>
                <c:pt idx="131">
                  <c:v>44105</c:v>
                </c:pt>
                <c:pt idx="132">
                  <c:v>44136</c:v>
                </c:pt>
                <c:pt idx="133">
                  <c:v>44166</c:v>
                </c:pt>
                <c:pt idx="134">
                  <c:v>44197</c:v>
                </c:pt>
                <c:pt idx="135">
                  <c:v>44228</c:v>
                </c:pt>
                <c:pt idx="136">
                  <c:v>44256</c:v>
                </c:pt>
                <c:pt idx="137">
                  <c:v>44287</c:v>
                </c:pt>
                <c:pt idx="138">
                  <c:v>44317</c:v>
                </c:pt>
                <c:pt idx="139">
                  <c:v>44348</c:v>
                </c:pt>
                <c:pt idx="140">
                  <c:v>44378</c:v>
                </c:pt>
                <c:pt idx="141">
                  <c:v>44409</c:v>
                </c:pt>
                <c:pt idx="142">
                  <c:v>44440</c:v>
                </c:pt>
                <c:pt idx="143">
                  <c:v>44470</c:v>
                </c:pt>
                <c:pt idx="144">
                  <c:v>44501</c:v>
                </c:pt>
                <c:pt idx="145">
                  <c:v>44531</c:v>
                </c:pt>
                <c:pt idx="146">
                  <c:v>44562</c:v>
                </c:pt>
                <c:pt idx="147">
                  <c:v>44593</c:v>
                </c:pt>
                <c:pt idx="148">
                  <c:v>44621</c:v>
                </c:pt>
                <c:pt idx="149">
                  <c:v>44652</c:v>
                </c:pt>
                <c:pt idx="150">
                  <c:v>44682</c:v>
                </c:pt>
                <c:pt idx="151">
                  <c:v>44713</c:v>
                </c:pt>
                <c:pt idx="152">
                  <c:v>44743</c:v>
                </c:pt>
                <c:pt idx="153">
                  <c:v>44774</c:v>
                </c:pt>
                <c:pt idx="154">
                  <c:v>44805</c:v>
                </c:pt>
                <c:pt idx="155">
                  <c:v>44835</c:v>
                </c:pt>
                <c:pt idx="156">
                  <c:v>44866</c:v>
                </c:pt>
                <c:pt idx="157">
                  <c:v>44896</c:v>
                </c:pt>
                <c:pt idx="158">
                  <c:v>44927</c:v>
                </c:pt>
                <c:pt idx="159">
                  <c:v>44958</c:v>
                </c:pt>
                <c:pt idx="160">
                  <c:v>44986</c:v>
                </c:pt>
                <c:pt idx="161">
                  <c:v>45017</c:v>
                </c:pt>
                <c:pt idx="162">
                  <c:v>45047</c:v>
                </c:pt>
                <c:pt idx="163">
                  <c:v>45078</c:v>
                </c:pt>
                <c:pt idx="164">
                  <c:v>45108</c:v>
                </c:pt>
                <c:pt idx="165">
                  <c:v>45139</c:v>
                </c:pt>
                <c:pt idx="166">
                  <c:v>45170</c:v>
                </c:pt>
                <c:pt idx="167">
                  <c:v>45200</c:v>
                </c:pt>
                <c:pt idx="168">
                  <c:v>45231</c:v>
                </c:pt>
                <c:pt idx="169">
                  <c:v>45261</c:v>
                </c:pt>
                <c:pt idx="170">
                  <c:v>45292</c:v>
                </c:pt>
                <c:pt idx="171">
                  <c:v>45323</c:v>
                </c:pt>
                <c:pt idx="172">
                  <c:v>45352</c:v>
                </c:pt>
                <c:pt idx="173">
                  <c:v>45383</c:v>
                </c:pt>
                <c:pt idx="174">
                  <c:v>45413</c:v>
                </c:pt>
                <c:pt idx="175">
                  <c:v>45444</c:v>
                </c:pt>
                <c:pt idx="176">
                  <c:v>45474</c:v>
                </c:pt>
                <c:pt idx="177">
                  <c:v>45505</c:v>
                </c:pt>
                <c:pt idx="178">
                  <c:v>45536</c:v>
                </c:pt>
                <c:pt idx="179">
                  <c:v>45566</c:v>
                </c:pt>
                <c:pt idx="180">
                  <c:v>45597</c:v>
                </c:pt>
                <c:pt idx="181">
                  <c:v>45627</c:v>
                </c:pt>
                <c:pt idx="182">
                  <c:v>45658</c:v>
                </c:pt>
                <c:pt idx="183">
                  <c:v>45689</c:v>
                </c:pt>
              </c:numCache>
            </c:numRef>
          </c:xVal>
          <c:yVal>
            <c:numRef>
              <c:f>'Sales Tax and Escalation'!$L$26:$L$209</c:f>
              <c:numCache>
                <c:formatCode>General</c:formatCode>
                <c:ptCount val="184"/>
                <c:pt idx="0">
                  <c:v>100</c:v>
                </c:pt>
                <c:pt idx="1">
                  <c:v>99.9</c:v>
                </c:pt>
                <c:pt idx="2">
                  <c:v>100</c:v>
                </c:pt>
                <c:pt idx="3">
                  <c:v>100</c:v>
                </c:pt>
                <c:pt idx="4">
                  <c:v>99.8</c:v>
                </c:pt>
                <c:pt idx="5">
                  <c:v>100</c:v>
                </c:pt>
                <c:pt idx="6">
                  <c:v>99.9</c:v>
                </c:pt>
                <c:pt idx="7">
                  <c:v>99.9</c:v>
                </c:pt>
                <c:pt idx="8">
                  <c:v>100</c:v>
                </c:pt>
                <c:pt idx="9">
                  <c:v>99.9</c:v>
                </c:pt>
                <c:pt idx="10">
                  <c:v>99.9</c:v>
                </c:pt>
                <c:pt idx="11">
                  <c:v>100.3</c:v>
                </c:pt>
                <c:pt idx="12">
                  <c:v>100.1</c:v>
                </c:pt>
                <c:pt idx="13">
                  <c:v>100.2</c:v>
                </c:pt>
                <c:pt idx="14">
                  <c:v>100.6</c:v>
                </c:pt>
                <c:pt idx="15">
                  <c:v>100.6</c:v>
                </c:pt>
                <c:pt idx="16">
                  <c:v>100.6</c:v>
                </c:pt>
                <c:pt idx="17">
                  <c:v>101.5</c:v>
                </c:pt>
                <c:pt idx="18">
                  <c:v>101.4</c:v>
                </c:pt>
                <c:pt idx="19">
                  <c:v>101.4</c:v>
                </c:pt>
                <c:pt idx="20">
                  <c:v>102.6</c:v>
                </c:pt>
                <c:pt idx="21">
                  <c:v>102.6</c:v>
                </c:pt>
                <c:pt idx="22">
                  <c:v>102.6</c:v>
                </c:pt>
                <c:pt idx="23">
                  <c:v>104</c:v>
                </c:pt>
                <c:pt idx="24">
                  <c:v>104.1</c:v>
                </c:pt>
                <c:pt idx="25">
                  <c:v>104</c:v>
                </c:pt>
                <c:pt idx="26">
                  <c:v>104.7</c:v>
                </c:pt>
                <c:pt idx="27">
                  <c:v>104.7</c:v>
                </c:pt>
                <c:pt idx="28">
                  <c:v>104.8</c:v>
                </c:pt>
                <c:pt idx="29">
                  <c:v>105.3</c:v>
                </c:pt>
                <c:pt idx="30">
                  <c:v>105.4</c:v>
                </c:pt>
                <c:pt idx="31">
                  <c:v>105.4</c:v>
                </c:pt>
                <c:pt idx="32">
                  <c:v>105.4</c:v>
                </c:pt>
                <c:pt idx="33">
                  <c:v>105.4</c:v>
                </c:pt>
                <c:pt idx="34">
                  <c:v>105.3</c:v>
                </c:pt>
                <c:pt idx="35">
                  <c:v>105.6</c:v>
                </c:pt>
                <c:pt idx="36">
                  <c:v>105.5</c:v>
                </c:pt>
                <c:pt idx="37">
                  <c:v>105.6</c:v>
                </c:pt>
                <c:pt idx="38">
                  <c:v>106.2</c:v>
                </c:pt>
                <c:pt idx="39">
                  <c:v>106.1</c:v>
                </c:pt>
                <c:pt idx="40">
                  <c:v>106.1</c:v>
                </c:pt>
                <c:pt idx="41">
                  <c:v>106.5</c:v>
                </c:pt>
                <c:pt idx="42">
                  <c:v>106.7</c:v>
                </c:pt>
                <c:pt idx="43">
                  <c:v>106.7</c:v>
                </c:pt>
                <c:pt idx="44">
                  <c:v>107.3</c:v>
                </c:pt>
                <c:pt idx="45">
                  <c:v>107.3</c:v>
                </c:pt>
                <c:pt idx="46">
                  <c:v>107.5</c:v>
                </c:pt>
                <c:pt idx="47">
                  <c:v>108.9</c:v>
                </c:pt>
                <c:pt idx="48">
                  <c:v>108.9</c:v>
                </c:pt>
                <c:pt idx="49">
                  <c:v>109.1</c:v>
                </c:pt>
                <c:pt idx="50">
                  <c:v>109.7</c:v>
                </c:pt>
                <c:pt idx="51">
                  <c:v>109.7</c:v>
                </c:pt>
                <c:pt idx="52">
                  <c:v>109.8</c:v>
                </c:pt>
                <c:pt idx="53">
                  <c:v>110.1</c:v>
                </c:pt>
                <c:pt idx="54">
                  <c:v>110.1</c:v>
                </c:pt>
                <c:pt idx="55">
                  <c:v>110.2</c:v>
                </c:pt>
                <c:pt idx="56">
                  <c:v>110.6</c:v>
                </c:pt>
                <c:pt idx="57">
                  <c:v>110.7</c:v>
                </c:pt>
                <c:pt idx="58">
                  <c:v>110.7</c:v>
                </c:pt>
                <c:pt idx="59">
                  <c:v>111.3</c:v>
                </c:pt>
                <c:pt idx="60">
                  <c:v>111.2</c:v>
                </c:pt>
                <c:pt idx="61">
                  <c:v>111.4</c:v>
                </c:pt>
                <c:pt idx="62">
                  <c:v>112</c:v>
                </c:pt>
                <c:pt idx="63">
                  <c:v>112</c:v>
                </c:pt>
                <c:pt idx="64">
                  <c:v>112</c:v>
                </c:pt>
                <c:pt idx="65">
                  <c:v>111.9</c:v>
                </c:pt>
                <c:pt idx="66">
                  <c:v>112</c:v>
                </c:pt>
                <c:pt idx="67">
                  <c:v>112</c:v>
                </c:pt>
                <c:pt idx="68">
                  <c:v>112.7</c:v>
                </c:pt>
                <c:pt idx="69">
                  <c:v>112.7</c:v>
                </c:pt>
                <c:pt idx="70">
                  <c:v>112.7</c:v>
                </c:pt>
                <c:pt idx="71">
                  <c:v>113.7</c:v>
                </c:pt>
                <c:pt idx="72">
                  <c:v>113.6</c:v>
                </c:pt>
                <c:pt idx="73">
                  <c:v>113.6</c:v>
                </c:pt>
                <c:pt idx="74">
                  <c:v>113.3</c:v>
                </c:pt>
                <c:pt idx="75">
                  <c:v>113.2</c:v>
                </c:pt>
                <c:pt idx="76">
                  <c:v>113.1</c:v>
                </c:pt>
                <c:pt idx="77">
                  <c:v>114.2</c:v>
                </c:pt>
                <c:pt idx="78">
                  <c:v>114.2</c:v>
                </c:pt>
                <c:pt idx="79">
                  <c:v>114.2</c:v>
                </c:pt>
                <c:pt idx="80">
                  <c:v>113.6</c:v>
                </c:pt>
                <c:pt idx="81">
                  <c:v>113.6</c:v>
                </c:pt>
                <c:pt idx="82">
                  <c:v>113.6</c:v>
                </c:pt>
                <c:pt idx="83">
                  <c:v>114.6</c:v>
                </c:pt>
                <c:pt idx="84">
                  <c:v>114.5</c:v>
                </c:pt>
                <c:pt idx="85">
                  <c:v>114.5</c:v>
                </c:pt>
                <c:pt idx="86">
                  <c:v>114.8</c:v>
                </c:pt>
                <c:pt idx="87">
                  <c:v>114.9</c:v>
                </c:pt>
                <c:pt idx="88">
                  <c:v>114.9</c:v>
                </c:pt>
                <c:pt idx="89">
                  <c:v>115.5</c:v>
                </c:pt>
                <c:pt idx="90">
                  <c:v>115.6</c:v>
                </c:pt>
                <c:pt idx="91">
                  <c:v>115.7</c:v>
                </c:pt>
                <c:pt idx="92">
                  <c:v>117.2</c:v>
                </c:pt>
                <c:pt idx="93">
                  <c:v>117.2</c:v>
                </c:pt>
                <c:pt idx="94">
                  <c:v>117.2</c:v>
                </c:pt>
                <c:pt idx="95">
                  <c:v>117.9</c:v>
                </c:pt>
                <c:pt idx="96">
                  <c:v>117.9</c:v>
                </c:pt>
                <c:pt idx="97">
                  <c:v>118</c:v>
                </c:pt>
                <c:pt idx="98">
                  <c:v>118.9</c:v>
                </c:pt>
                <c:pt idx="99">
                  <c:v>119</c:v>
                </c:pt>
                <c:pt idx="100">
                  <c:v>119</c:v>
                </c:pt>
                <c:pt idx="101">
                  <c:v>120.4</c:v>
                </c:pt>
                <c:pt idx="102">
                  <c:v>120.5</c:v>
                </c:pt>
                <c:pt idx="103">
                  <c:v>120.8</c:v>
                </c:pt>
                <c:pt idx="104">
                  <c:v>121.4</c:v>
                </c:pt>
                <c:pt idx="105">
                  <c:v>121.5</c:v>
                </c:pt>
                <c:pt idx="106">
                  <c:v>121.6</c:v>
                </c:pt>
                <c:pt idx="107">
                  <c:v>123.9</c:v>
                </c:pt>
                <c:pt idx="108">
                  <c:v>124.2</c:v>
                </c:pt>
                <c:pt idx="109">
                  <c:v>124.3</c:v>
                </c:pt>
                <c:pt idx="110">
                  <c:v>125.2</c:v>
                </c:pt>
                <c:pt idx="111">
                  <c:v>125.2</c:v>
                </c:pt>
                <c:pt idx="112">
                  <c:v>125.3</c:v>
                </c:pt>
                <c:pt idx="113">
                  <c:v>127</c:v>
                </c:pt>
                <c:pt idx="114">
                  <c:v>127.1</c:v>
                </c:pt>
                <c:pt idx="115">
                  <c:v>127.1</c:v>
                </c:pt>
                <c:pt idx="116">
                  <c:v>128.1</c:v>
                </c:pt>
                <c:pt idx="117">
                  <c:v>128.1</c:v>
                </c:pt>
                <c:pt idx="118">
                  <c:v>128.30000000000001</c:v>
                </c:pt>
                <c:pt idx="119">
                  <c:v>128.80000000000001</c:v>
                </c:pt>
                <c:pt idx="120">
                  <c:v>128.9</c:v>
                </c:pt>
                <c:pt idx="121">
                  <c:v>129</c:v>
                </c:pt>
                <c:pt idx="122">
                  <c:v>129.69999999999999</c:v>
                </c:pt>
                <c:pt idx="123">
                  <c:v>129.9</c:v>
                </c:pt>
                <c:pt idx="124">
                  <c:v>129.80000000000001</c:v>
                </c:pt>
                <c:pt idx="125">
                  <c:v>130.5</c:v>
                </c:pt>
                <c:pt idx="126">
                  <c:v>130.5</c:v>
                </c:pt>
                <c:pt idx="127">
                  <c:v>130.4</c:v>
                </c:pt>
                <c:pt idx="128">
                  <c:v>131.1</c:v>
                </c:pt>
                <c:pt idx="129">
                  <c:v>130.80000000000001</c:v>
                </c:pt>
                <c:pt idx="130">
                  <c:v>130.6</c:v>
                </c:pt>
                <c:pt idx="131">
                  <c:v>130.6</c:v>
                </c:pt>
                <c:pt idx="132">
                  <c:v>130.69999999999999</c:v>
                </c:pt>
                <c:pt idx="133">
                  <c:v>130.69999999999999</c:v>
                </c:pt>
                <c:pt idx="134">
                  <c:v>131.1</c:v>
                </c:pt>
                <c:pt idx="135">
                  <c:v>131.30000000000001</c:v>
                </c:pt>
                <c:pt idx="136">
                  <c:v>131.9</c:v>
                </c:pt>
                <c:pt idx="137">
                  <c:v>133.69999999999999</c:v>
                </c:pt>
                <c:pt idx="138">
                  <c:v>134.6</c:v>
                </c:pt>
                <c:pt idx="139">
                  <c:v>134.69999999999999</c:v>
                </c:pt>
                <c:pt idx="140">
                  <c:v>137.196</c:v>
                </c:pt>
                <c:pt idx="141">
                  <c:v>137.55600000000001</c:v>
                </c:pt>
                <c:pt idx="142">
                  <c:v>137.77199999999999</c:v>
                </c:pt>
                <c:pt idx="143">
                  <c:v>147.209</c:v>
                </c:pt>
                <c:pt idx="144">
                  <c:v>147.75700000000001</c:v>
                </c:pt>
                <c:pt idx="145">
                  <c:v>148.19499999999999</c:v>
                </c:pt>
                <c:pt idx="146">
                  <c:v>153.666</c:v>
                </c:pt>
                <c:pt idx="147">
                  <c:v>154.63200000000001</c:v>
                </c:pt>
                <c:pt idx="148">
                  <c:v>155.53200000000001</c:v>
                </c:pt>
                <c:pt idx="149">
                  <c:v>161.477</c:v>
                </c:pt>
                <c:pt idx="150">
                  <c:v>162.06200000000001</c:v>
                </c:pt>
                <c:pt idx="151">
                  <c:v>163.02500000000001</c:v>
                </c:pt>
                <c:pt idx="152">
                  <c:v>172.01900000000001</c:v>
                </c:pt>
                <c:pt idx="153">
                  <c:v>172.298</c:v>
                </c:pt>
                <c:pt idx="154">
                  <c:v>172.65799999999999</c:v>
                </c:pt>
                <c:pt idx="155">
                  <c:v>177.22900000000001</c:v>
                </c:pt>
                <c:pt idx="156">
                  <c:v>177.358</c:v>
                </c:pt>
                <c:pt idx="157">
                  <c:v>177.47399999999999</c:v>
                </c:pt>
                <c:pt idx="158">
                  <c:v>180.84899999999999</c:v>
                </c:pt>
                <c:pt idx="159">
                  <c:v>180.876</c:v>
                </c:pt>
                <c:pt idx="160">
                  <c:v>181.01599999999999</c:v>
                </c:pt>
                <c:pt idx="161">
                  <c:v>180.75200000000001</c:v>
                </c:pt>
                <c:pt idx="162">
                  <c:v>180.97499999999999</c:v>
                </c:pt>
                <c:pt idx="163">
                  <c:v>181.04900000000001</c:v>
                </c:pt>
                <c:pt idx="164">
                  <c:v>178.756</c:v>
                </c:pt>
                <c:pt idx="165">
                  <c:v>178.94399999999999</c:v>
                </c:pt>
                <c:pt idx="166">
                  <c:v>179.053</c:v>
                </c:pt>
                <c:pt idx="167">
                  <c:v>178.55699999999999</c:v>
                </c:pt>
                <c:pt idx="168">
                  <c:v>178.17099999999999</c:v>
                </c:pt>
                <c:pt idx="169">
                  <c:v>178.291</c:v>
                </c:pt>
                <c:pt idx="170">
                  <c:v>178.761</c:v>
                </c:pt>
                <c:pt idx="171">
                  <c:v>178.69300000000001</c:v>
                </c:pt>
                <c:pt idx="172">
                  <c:v>178.90700000000001</c:v>
                </c:pt>
                <c:pt idx="173">
                  <c:v>178.874</c:v>
                </c:pt>
                <c:pt idx="174">
                  <c:v>178.99700000000001</c:v>
                </c:pt>
                <c:pt idx="175">
                  <c:v>179.66</c:v>
                </c:pt>
                <c:pt idx="176">
                  <c:v>180.74700000000001</c:v>
                </c:pt>
                <c:pt idx="177">
                  <c:v>180.67500000000001</c:v>
                </c:pt>
                <c:pt idx="178">
                  <c:v>180.911</c:v>
                </c:pt>
                <c:pt idx="179">
                  <c:v>180.411</c:v>
                </c:pt>
                <c:pt idx="180">
                  <c:v>180.43600000000001</c:v>
                </c:pt>
                <c:pt idx="181">
                  <c:v>180.75</c:v>
                </c:pt>
                <c:pt idx="182">
                  <c:v>181.291</c:v>
                </c:pt>
                <c:pt idx="183">
                  <c:v>181.09</c:v>
                </c:pt>
              </c:numCache>
            </c:numRef>
          </c:yVal>
          <c:smooth val="0"/>
          <c:extLst>
            <c:ext xmlns:c16="http://schemas.microsoft.com/office/drawing/2014/chart" uri="{C3380CC4-5D6E-409C-BE32-E72D297353CC}">
              <c16:uniqueId val="{00000000-BFD2-480B-894D-65D246CC4E08}"/>
            </c:ext>
          </c:extLst>
        </c:ser>
        <c:ser>
          <c:idx val="1"/>
          <c:order val="1"/>
          <c:tx>
            <c:v>Adjusted CPI</c:v>
          </c:tx>
          <c:spPr>
            <a:ln w="19050" cap="rnd">
              <a:solidFill>
                <a:schemeClr val="accent2"/>
              </a:solidFill>
              <a:round/>
            </a:ln>
            <a:effectLst/>
          </c:spPr>
          <c:marker>
            <c:symbol val="none"/>
          </c:marker>
          <c:xVal>
            <c:numRef>
              <c:f>'Sales Tax and Escalation'!$M$26:$M$219</c:f>
              <c:numCache>
                <c:formatCode>m/d/yyyy</c:formatCode>
                <c:ptCount val="194"/>
                <c:pt idx="0">
                  <c:v>39814</c:v>
                </c:pt>
                <c:pt idx="1">
                  <c:v>39845</c:v>
                </c:pt>
                <c:pt idx="2">
                  <c:v>39873</c:v>
                </c:pt>
                <c:pt idx="3">
                  <c:v>39904</c:v>
                </c:pt>
                <c:pt idx="4">
                  <c:v>39934</c:v>
                </c:pt>
                <c:pt idx="5">
                  <c:v>39965</c:v>
                </c:pt>
                <c:pt idx="6">
                  <c:v>39995</c:v>
                </c:pt>
                <c:pt idx="7">
                  <c:v>40026</c:v>
                </c:pt>
                <c:pt idx="8">
                  <c:v>40057</c:v>
                </c:pt>
                <c:pt idx="9">
                  <c:v>40087</c:v>
                </c:pt>
                <c:pt idx="10">
                  <c:v>40118</c:v>
                </c:pt>
                <c:pt idx="11">
                  <c:v>40148</c:v>
                </c:pt>
                <c:pt idx="12">
                  <c:v>40179</c:v>
                </c:pt>
                <c:pt idx="13">
                  <c:v>40210</c:v>
                </c:pt>
                <c:pt idx="14">
                  <c:v>40238</c:v>
                </c:pt>
                <c:pt idx="15">
                  <c:v>40269</c:v>
                </c:pt>
                <c:pt idx="16">
                  <c:v>40299</c:v>
                </c:pt>
                <c:pt idx="17">
                  <c:v>40330</c:v>
                </c:pt>
                <c:pt idx="18">
                  <c:v>40360</c:v>
                </c:pt>
                <c:pt idx="19">
                  <c:v>40391</c:v>
                </c:pt>
                <c:pt idx="20">
                  <c:v>40422</c:v>
                </c:pt>
                <c:pt idx="21">
                  <c:v>40452</c:v>
                </c:pt>
                <c:pt idx="22">
                  <c:v>40483</c:v>
                </c:pt>
                <c:pt idx="23">
                  <c:v>40513</c:v>
                </c:pt>
                <c:pt idx="24">
                  <c:v>40544</c:v>
                </c:pt>
                <c:pt idx="25">
                  <c:v>40575</c:v>
                </c:pt>
                <c:pt idx="26">
                  <c:v>40603</c:v>
                </c:pt>
                <c:pt idx="27">
                  <c:v>40634</c:v>
                </c:pt>
                <c:pt idx="28">
                  <c:v>40664</c:v>
                </c:pt>
                <c:pt idx="29">
                  <c:v>40695</c:v>
                </c:pt>
                <c:pt idx="30">
                  <c:v>40725</c:v>
                </c:pt>
                <c:pt idx="31">
                  <c:v>40756</c:v>
                </c:pt>
                <c:pt idx="32">
                  <c:v>40787</c:v>
                </c:pt>
                <c:pt idx="33">
                  <c:v>40817</c:v>
                </c:pt>
                <c:pt idx="34">
                  <c:v>40848</c:v>
                </c:pt>
                <c:pt idx="35">
                  <c:v>40878</c:v>
                </c:pt>
                <c:pt idx="36">
                  <c:v>40909</c:v>
                </c:pt>
                <c:pt idx="37">
                  <c:v>40940</c:v>
                </c:pt>
                <c:pt idx="38">
                  <c:v>40969</c:v>
                </c:pt>
                <c:pt idx="39">
                  <c:v>41000</c:v>
                </c:pt>
                <c:pt idx="40">
                  <c:v>41030</c:v>
                </c:pt>
                <c:pt idx="41">
                  <c:v>41061</c:v>
                </c:pt>
                <c:pt idx="42">
                  <c:v>41091</c:v>
                </c:pt>
                <c:pt idx="43">
                  <c:v>41122</c:v>
                </c:pt>
                <c:pt idx="44">
                  <c:v>41153</c:v>
                </c:pt>
                <c:pt idx="45">
                  <c:v>41183</c:v>
                </c:pt>
                <c:pt idx="46">
                  <c:v>41214</c:v>
                </c:pt>
                <c:pt idx="47">
                  <c:v>41244</c:v>
                </c:pt>
                <c:pt idx="48">
                  <c:v>41275</c:v>
                </c:pt>
                <c:pt idx="49">
                  <c:v>41306</c:v>
                </c:pt>
                <c:pt idx="50">
                  <c:v>41334</c:v>
                </c:pt>
                <c:pt idx="51">
                  <c:v>41365</c:v>
                </c:pt>
                <c:pt idx="52">
                  <c:v>41395</c:v>
                </c:pt>
                <c:pt idx="53">
                  <c:v>41426</c:v>
                </c:pt>
                <c:pt idx="54">
                  <c:v>41456</c:v>
                </c:pt>
                <c:pt idx="55">
                  <c:v>41487</c:v>
                </c:pt>
                <c:pt idx="56">
                  <c:v>41518</c:v>
                </c:pt>
                <c:pt idx="57">
                  <c:v>41548</c:v>
                </c:pt>
                <c:pt idx="58">
                  <c:v>41579</c:v>
                </c:pt>
                <c:pt idx="59">
                  <c:v>41609</c:v>
                </c:pt>
                <c:pt idx="60">
                  <c:v>41640</c:v>
                </c:pt>
                <c:pt idx="61">
                  <c:v>41671</c:v>
                </c:pt>
                <c:pt idx="62">
                  <c:v>41699</c:v>
                </c:pt>
                <c:pt idx="63">
                  <c:v>41730</c:v>
                </c:pt>
                <c:pt idx="64">
                  <c:v>41760</c:v>
                </c:pt>
                <c:pt idx="65">
                  <c:v>41791</c:v>
                </c:pt>
                <c:pt idx="66">
                  <c:v>41821</c:v>
                </c:pt>
                <c:pt idx="67">
                  <c:v>41852</c:v>
                </c:pt>
                <c:pt idx="68">
                  <c:v>41883</c:v>
                </c:pt>
                <c:pt idx="69">
                  <c:v>41913</c:v>
                </c:pt>
                <c:pt idx="70">
                  <c:v>41944</c:v>
                </c:pt>
                <c:pt idx="71">
                  <c:v>41974</c:v>
                </c:pt>
                <c:pt idx="72">
                  <c:v>42005</c:v>
                </c:pt>
                <c:pt idx="73">
                  <c:v>42036</c:v>
                </c:pt>
                <c:pt idx="74">
                  <c:v>42064</c:v>
                </c:pt>
                <c:pt idx="75">
                  <c:v>42095</c:v>
                </c:pt>
                <c:pt idx="76">
                  <c:v>42125</c:v>
                </c:pt>
                <c:pt idx="77">
                  <c:v>42156</c:v>
                </c:pt>
                <c:pt idx="78">
                  <c:v>42186</c:v>
                </c:pt>
                <c:pt idx="79">
                  <c:v>42217</c:v>
                </c:pt>
                <c:pt idx="80">
                  <c:v>42248</c:v>
                </c:pt>
                <c:pt idx="81">
                  <c:v>42278</c:v>
                </c:pt>
                <c:pt idx="82">
                  <c:v>42309</c:v>
                </c:pt>
                <c:pt idx="83">
                  <c:v>42339</c:v>
                </c:pt>
                <c:pt idx="84">
                  <c:v>42370</c:v>
                </c:pt>
                <c:pt idx="85">
                  <c:v>42401</c:v>
                </c:pt>
                <c:pt idx="86">
                  <c:v>42430</c:v>
                </c:pt>
                <c:pt idx="87">
                  <c:v>42461</c:v>
                </c:pt>
                <c:pt idx="88">
                  <c:v>42491</c:v>
                </c:pt>
                <c:pt idx="89">
                  <c:v>42522</c:v>
                </c:pt>
                <c:pt idx="90">
                  <c:v>42552</c:v>
                </c:pt>
                <c:pt idx="91">
                  <c:v>42583</c:v>
                </c:pt>
                <c:pt idx="92">
                  <c:v>42614</c:v>
                </c:pt>
                <c:pt idx="93">
                  <c:v>42644</c:v>
                </c:pt>
                <c:pt idx="94">
                  <c:v>42675</c:v>
                </c:pt>
                <c:pt idx="95">
                  <c:v>42705</c:v>
                </c:pt>
                <c:pt idx="96">
                  <c:v>42736</c:v>
                </c:pt>
                <c:pt idx="97">
                  <c:v>42767</c:v>
                </c:pt>
                <c:pt idx="98">
                  <c:v>42795</c:v>
                </c:pt>
                <c:pt idx="99">
                  <c:v>42826</c:v>
                </c:pt>
                <c:pt idx="100">
                  <c:v>42856</c:v>
                </c:pt>
                <c:pt idx="101">
                  <c:v>42887</c:v>
                </c:pt>
                <c:pt idx="102">
                  <c:v>42917</c:v>
                </c:pt>
                <c:pt idx="103">
                  <c:v>42948</c:v>
                </c:pt>
                <c:pt idx="104">
                  <c:v>42979</c:v>
                </c:pt>
                <c:pt idx="105">
                  <c:v>43009</c:v>
                </c:pt>
                <c:pt idx="106">
                  <c:v>43040</c:v>
                </c:pt>
                <c:pt idx="107">
                  <c:v>43070</c:v>
                </c:pt>
                <c:pt idx="108">
                  <c:v>43101</c:v>
                </c:pt>
                <c:pt idx="109">
                  <c:v>43132</c:v>
                </c:pt>
                <c:pt idx="110">
                  <c:v>43160</c:v>
                </c:pt>
                <c:pt idx="111">
                  <c:v>43191</c:v>
                </c:pt>
                <c:pt idx="112">
                  <c:v>43221</c:v>
                </c:pt>
                <c:pt idx="113">
                  <c:v>43252</c:v>
                </c:pt>
                <c:pt idx="114">
                  <c:v>43282</c:v>
                </c:pt>
                <c:pt idx="115">
                  <c:v>43313</c:v>
                </c:pt>
                <c:pt idx="116">
                  <c:v>43344</c:v>
                </c:pt>
                <c:pt idx="117">
                  <c:v>43374</c:v>
                </c:pt>
                <c:pt idx="118">
                  <c:v>43405</c:v>
                </c:pt>
                <c:pt idx="119">
                  <c:v>43435</c:v>
                </c:pt>
                <c:pt idx="120">
                  <c:v>43466</c:v>
                </c:pt>
                <c:pt idx="121">
                  <c:v>43497</c:v>
                </c:pt>
                <c:pt idx="122">
                  <c:v>43525</c:v>
                </c:pt>
                <c:pt idx="123">
                  <c:v>43556</c:v>
                </c:pt>
                <c:pt idx="124">
                  <c:v>43586</c:v>
                </c:pt>
                <c:pt idx="125">
                  <c:v>43617</c:v>
                </c:pt>
                <c:pt idx="126">
                  <c:v>43647</c:v>
                </c:pt>
                <c:pt idx="127">
                  <c:v>43678</c:v>
                </c:pt>
                <c:pt idx="128">
                  <c:v>43709</c:v>
                </c:pt>
                <c:pt idx="129">
                  <c:v>43739</c:v>
                </c:pt>
                <c:pt idx="130">
                  <c:v>43770</c:v>
                </c:pt>
                <c:pt idx="131">
                  <c:v>43800</c:v>
                </c:pt>
                <c:pt idx="132">
                  <c:v>43831</c:v>
                </c:pt>
                <c:pt idx="133">
                  <c:v>43862</c:v>
                </c:pt>
                <c:pt idx="134">
                  <c:v>43891</c:v>
                </c:pt>
                <c:pt idx="135">
                  <c:v>43922</c:v>
                </c:pt>
                <c:pt idx="136">
                  <c:v>43952</c:v>
                </c:pt>
                <c:pt idx="137">
                  <c:v>43983</c:v>
                </c:pt>
                <c:pt idx="138">
                  <c:v>44013</c:v>
                </c:pt>
                <c:pt idx="139">
                  <c:v>44044</c:v>
                </c:pt>
                <c:pt idx="140">
                  <c:v>44075</c:v>
                </c:pt>
                <c:pt idx="141">
                  <c:v>44105</c:v>
                </c:pt>
                <c:pt idx="142">
                  <c:v>44136</c:v>
                </c:pt>
                <c:pt idx="143">
                  <c:v>44166</c:v>
                </c:pt>
                <c:pt idx="144">
                  <c:v>44197</c:v>
                </c:pt>
                <c:pt idx="145">
                  <c:v>44228</c:v>
                </c:pt>
                <c:pt idx="146">
                  <c:v>44256</c:v>
                </c:pt>
                <c:pt idx="147">
                  <c:v>44287</c:v>
                </c:pt>
                <c:pt idx="148">
                  <c:v>44317</c:v>
                </c:pt>
                <c:pt idx="149">
                  <c:v>44348</c:v>
                </c:pt>
                <c:pt idx="150">
                  <c:v>44378</c:v>
                </c:pt>
                <c:pt idx="151">
                  <c:v>44409</c:v>
                </c:pt>
                <c:pt idx="152">
                  <c:v>44440</c:v>
                </c:pt>
                <c:pt idx="153">
                  <c:v>44470</c:v>
                </c:pt>
                <c:pt idx="154">
                  <c:v>44501</c:v>
                </c:pt>
                <c:pt idx="155">
                  <c:v>44531</c:v>
                </c:pt>
                <c:pt idx="156">
                  <c:v>44562</c:v>
                </c:pt>
                <c:pt idx="157">
                  <c:v>44593</c:v>
                </c:pt>
                <c:pt idx="158">
                  <c:v>44621</c:v>
                </c:pt>
                <c:pt idx="159">
                  <c:v>44652</c:v>
                </c:pt>
                <c:pt idx="160">
                  <c:v>44682</c:v>
                </c:pt>
                <c:pt idx="161">
                  <c:v>44713</c:v>
                </c:pt>
                <c:pt idx="162">
                  <c:v>44743</c:v>
                </c:pt>
                <c:pt idx="163">
                  <c:v>44774</c:v>
                </c:pt>
                <c:pt idx="164">
                  <c:v>44805</c:v>
                </c:pt>
                <c:pt idx="165">
                  <c:v>44835</c:v>
                </c:pt>
                <c:pt idx="166">
                  <c:v>44866</c:v>
                </c:pt>
                <c:pt idx="167">
                  <c:v>44896</c:v>
                </c:pt>
                <c:pt idx="168">
                  <c:v>44927</c:v>
                </c:pt>
                <c:pt idx="169">
                  <c:v>44958</c:v>
                </c:pt>
                <c:pt idx="170">
                  <c:v>44986</c:v>
                </c:pt>
                <c:pt idx="171">
                  <c:v>45017</c:v>
                </c:pt>
                <c:pt idx="172">
                  <c:v>45047</c:v>
                </c:pt>
                <c:pt idx="173">
                  <c:v>45078</c:v>
                </c:pt>
                <c:pt idx="174">
                  <c:v>45108</c:v>
                </c:pt>
                <c:pt idx="175">
                  <c:v>45139</c:v>
                </c:pt>
                <c:pt idx="176">
                  <c:v>45170</c:v>
                </c:pt>
                <c:pt idx="177">
                  <c:v>45200</c:v>
                </c:pt>
                <c:pt idx="178">
                  <c:v>45231</c:v>
                </c:pt>
                <c:pt idx="179">
                  <c:v>45261</c:v>
                </c:pt>
                <c:pt idx="180">
                  <c:v>45292</c:v>
                </c:pt>
                <c:pt idx="181">
                  <c:v>45323</c:v>
                </c:pt>
                <c:pt idx="182">
                  <c:v>45352</c:v>
                </c:pt>
                <c:pt idx="183">
                  <c:v>45383</c:v>
                </c:pt>
                <c:pt idx="184">
                  <c:v>45413</c:v>
                </c:pt>
                <c:pt idx="185">
                  <c:v>45444</c:v>
                </c:pt>
                <c:pt idx="186">
                  <c:v>45474</c:v>
                </c:pt>
                <c:pt idx="187">
                  <c:v>45505</c:v>
                </c:pt>
                <c:pt idx="188">
                  <c:v>45536</c:v>
                </c:pt>
                <c:pt idx="189">
                  <c:v>45566</c:v>
                </c:pt>
                <c:pt idx="190">
                  <c:v>45597</c:v>
                </c:pt>
                <c:pt idx="191">
                  <c:v>45627</c:v>
                </c:pt>
                <c:pt idx="192">
                  <c:v>45658</c:v>
                </c:pt>
                <c:pt idx="193">
                  <c:v>45689</c:v>
                </c:pt>
              </c:numCache>
            </c:numRef>
          </c:xVal>
          <c:yVal>
            <c:numRef>
              <c:f>'Sales Tax and Escalation'!$N$26:$N$219</c:f>
              <c:numCache>
                <c:formatCode>General</c:formatCode>
                <c:ptCount val="194"/>
                <c:pt idx="0">
                  <c:v>94.813000000000002</c:v>
                </c:pt>
                <c:pt idx="1">
                  <c:v>95.863000000000014</c:v>
                </c:pt>
                <c:pt idx="2">
                  <c:v>96.379000000000005</c:v>
                </c:pt>
                <c:pt idx="3">
                  <c:v>96.910000000000011</c:v>
                </c:pt>
                <c:pt idx="4">
                  <c:v>97.525999999999996</c:v>
                </c:pt>
                <c:pt idx="5">
                  <c:v>99.363000000000014</c:v>
                </c:pt>
                <c:pt idx="6">
                  <c:v>99.021000000000001</c:v>
                </c:pt>
                <c:pt idx="7">
                  <c:v>99.504000000000005</c:v>
                </c:pt>
                <c:pt idx="8">
                  <c:v>99.638999999999996</c:v>
                </c:pt>
                <c:pt idx="9">
                  <c:v>99.846999999999994</c:v>
                </c:pt>
                <c:pt idx="10">
                  <c:v>100.00000000000001</c:v>
                </c:pt>
                <c:pt idx="11">
                  <c:v>99.619000000000014</c:v>
                </c:pt>
                <c:pt idx="12">
                  <c:v>100.35700000000001</c:v>
                </c:pt>
                <c:pt idx="13">
                  <c:v>100.41100000000002</c:v>
                </c:pt>
                <c:pt idx="14">
                  <c:v>101.301</c:v>
                </c:pt>
                <c:pt idx="15">
                  <c:v>101.67899999999999</c:v>
                </c:pt>
                <c:pt idx="16">
                  <c:v>101.848</c:v>
                </c:pt>
                <c:pt idx="17">
                  <c:v>101.63500000000001</c:v>
                </c:pt>
                <c:pt idx="18">
                  <c:v>101.681</c:v>
                </c:pt>
                <c:pt idx="19">
                  <c:v>101.98200000000001</c:v>
                </c:pt>
                <c:pt idx="20">
                  <c:v>102.10899999999999</c:v>
                </c:pt>
                <c:pt idx="21">
                  <c:v>102.38100000000001</c:v>
                </c:pt>
                <c:pt idx="22">
                  <c:v>102.473</c:v>
                </c:pt>
                <c:pt idx="23">
                  <c:v>102.849</c:v>
                </c:pt>
                <c:pt idx="24">
                  <c:v>103.89300000000001</c:v>
                </c:pt>
                <c:pt idx="25">
                  <c:v>104.979</c:v>
                </c:pt>
                <c:pt idx="26">
                  <c:v>107.13700000000001</c:v>
                </c:pt>
                <c:pt idx="27">
                  <c:v>108.57600000000001</c:v>
                </c:pt>
                <c:pt idx="28">
                  <c:v>109.634</c:v>
                </c:pt>
                <c:pt idx="29">
                  <c:v>109.39200000000001</c:v>
                </c:pt>
                <c:pt idx="30">
                  <c:v>109.592</c:v>
                </c:pt>
                <c:pt idx="31">
                  <c:v>110.21499999999999</c:v>
                </c:pt>
                <c:pt idx="32">
                  <c:v>110.55900000000001</c:v>
                </c:pt>
                <c:pt idx="33">
                  <c:v>110.09099999999999</c:v>
                </c:pt>
                <c:pt idx="34">
                  <c:v>109.89999999999999</c:v>
                </c:pt>
                <c:pt idx="35">
                  <c:v>109.342</c:v>
                </c:pt>
                <c:pt idx="36">
                  <c:v>110.33499999999999</c:v>
                </c:pt>
                <c:pt idx="37">
                  <c:v>111.33300000000001</c:v>
                </c:pt>
                <c:pt idx="38">
                  <c:v>113.062</c:v>
                </c:pt>
                <c:pt idx="39">
                  <c:v>113.75500000000001</c:v>
                </c:pt>
                <c:pt idx="40">
                  <c:v>113.485</c:v>
                </c:pt>
                <c:pt idx="41">
                  <c:v>113.14800000000001</c:v>
                </c:pt>
                <c:pt idx="42">
                  <c:v>112.77400000000002</c:v>
                </c:pt>
                <c:pt idx="43">
                  <c:v>114.04899999999999</c:v>
                </c:pt>
                <c:pt idx="44">
                  <c:v>115.07700000000001</c:v>
                </c:pt>
                <c:pt idx="45">
                  <c:v>114.98700000000001</c:v>
                </c:pt>
                <c:pt idx="46">
                  <c:v>113.89100000000001</c:v>
                </c:pt>
                <c:pt idx="47">
                  <c:v>113.271</c:v>
                </c:pt>
                <c:pt idx="48">
                  <c:v>113.95</c:v>
                </c:pt>
                <c:pt idx="49">
                  <c:v>115.836</c:v>
                </c:pt>
                <c:pt idx="50">
                  <c:v>116.443</c:v>
                </c:pt>
                <c:pt idx="51">
                  <c:v>116.20100000000001</c:v>
                </c:pt>
                <c:pt idx="52">
                  <c:v>116.61499999999999</c:v>
                </c:pt>
                <c:pt idx="53">
                  <c:v>117.17399999999999</c:v>
                </c:pt>
                <c:pt idx="54">
                  <c:v>117.26600000000001</c:v>
                </c:pt>
                <c:pt idx="55">
                  <c:v>117.54700000000001</c:v>
                </c:pt>
                <c:pt idx="56">
                  <c:v>117.819</c:v>
                </c:pt>
                <c:pt idx="57">
                  <c:v>117.21599999999999</c:v>
                </c:pt>
                <c:pt idx="58">
                  <c:v>116.73899999999999</c:v>
                </c:pt>
                <c:pt idx="59">
                  <c:v>116.71900000000001</c:v>
                </c:pt>
                <c:pt idx="60">
                  <c:v>117.586</c:v>
                </c:pt>
                <c:pt idx="61">
                  <c:v>118.45100000000001</c:v>
                </c:pt>
                <c:pt idx="62">
                  <c:v>119.96300000000001</c:v>
                </c:pt>
                <c:pt idx="63">
                  <c:v>120.742</c:v>
                </c:pt>
                <c:pt idx="64">
                  <c:v>121.57000000000001</c:v>
                </c:pt>
                <c:pt idx="65">
                  <c:v>122.01299999999999</c:v>
                </c:pt>
                <c:pt idx="66">
                  <c:v>121.92</c:v>
                </c:pt>
                <c:pt idx="67">
                  <c:v>121.52200000000001</c:v>
                </c:pt>
                <c:pt idx="68">
                  <c:v>121.70100000000001</c:v>
                </c:pt>
                <c:pt idx="69">
                  <c:v>121.10299999999999</c:v>
                </c:pt>
                <c:pt idx="70">
                  <c:v>119.82100000000001</c:v>
                </c:pt>
                <c:pt idx="71">
                  <c:v>118.48200000000001</c:v>
                </c:pt>
                <c:pt idx="72">
                  <c:v>117.377</c:v>
                </c:pt>
                <c:pt idx="73">
                  <c:v>118.39200000000001</c:v>
                </c:pt>
                <c:pt idx="74">
                  <c:v>119.789</c:v>
                </c:pt>
                <c:pt idx="75">
                  <c:v>120.26899999999999</c:v>
                </c:pt>
                <c:pt idx="76">
                  <c:v>121.47500000000001</c:v>
                </c:pt>
                <c:pt idx="77">
                  <c:v>122.30800000000001</c:v>
                </c:pt>
                <c:pt idx="78">
                  <c:v>122.324</c:v>
                </c:pt>
                <c:pt idx="79">
                  <c:v>121.986</c:v>
                </c:pt>
                <c:pt idx="80">
                  <c:v>121.61499999999999</c:v>
                </c:pt>
                <c:pt idx="81">
                  <c:v>121.508</c:v>
                </c:pt>
                <c:pt idx="82">
                  <c:v>121.00600000000001</c:v>
                </c:pt>
                <c:pt idx="83">
                  <c:v>120.19500000000001</c:v>
                </c:pt>
                <c:pt idx="84">
                  <c:v>120.586</c:v>
                </c:pt>
                <c:pt idx="85">
                  <c:v>120.78099999999999</c:v>
                </c:pt>
                <c:pt idx="86">
                  <c:v>121.80200000000001</c:v>
                </c:pt>
                <c:pt idx="87">
                  <c:v>122.931</c:v>
                </c:pt>
                <c:pt idx="88">
                  <c:v>123.89900000000002</c:v>
                </c:pt>
                <c:pt idx="89">
                  <c:v>124.688</c:v>
                </c:pt>
                <c:pt idx="90">
                  <c:v>124.29799999999999</c:v>
                </c:pt>
                <c:pt idx="91">
                  <c:v>124.51899999999999</c:v>
                </c:pt>
                <c:pt idx="92">
                  <c:v>125.098</c:v>
                </c:pt>
                <c:pt idx="93">
                  <c:v>125.39900000000002</c:v>
                </c:pt>
                <c:pt idx="94">
                  <c:v>125.02300000000001</c:v>
                </c:pt>
                <c:pt idx="95">
                  <c:v>125.10199999999999</c:v>
                </c:pt>
                <c:pt idx="96">
                  <c:v>126.509</c:v>
                </c:pt>
                <c:pt idx="97">
                  <c:v>127.27300000000001</c:v>
                </c:pt>
                <c:pt idx="98">
                  <c:v>127.47099999999999</c:v>
                </c:pt>
                <c:pt idx="99">
                  <c:v>128.19399999999999</c:v>
                </c:pt>
                <c:pt idx="100">
                  <c:v>128.40299999999999</c:v>
                </c:pt>
                <c:pt idx="101">
                  <c:v>128.625</c:v>
                </c:pt>
                <c:pt idx="102">
                  <c:v>128.45599999999999</c:v>
                </c:pt>
                <c:pt idx="103">
                  <c:v>129.18899999999999</c:v>
                </c:pt>
                <c:pt idx="104">
                  <c:v>130.48899999999998</c:v>
                </c:pt>
                <c:pt idx="105">
                  <c:v>130.333</c:v>
                </c:pt>
                <c:pt idx="106">
                  <c:v>130.339</c:v>
                </c:pt>
                <c:pt idx="107">
                  <c:v>130.19399999999999</c:v>
                </c:pt>
                <c:pt idx="108">
                  <c:v>131.53699999999998</c:v>
                </c:pt>
                <c:pt idx="109">
                  <c:v>132.661</c:v>
                </c:pt>
                <c:pt idx="110">
                  <c:v>133.22399999999999</c:v>
                </c:pt>
                <c:pt idx="111">
                  <c:v>134.21599999999998</c:v>
                </c:pt>
                <c:pt idx="112">
                  <c:v>135.25799999999998</c:v>
                </c:pt>
                <c:pt idx="113">
                  <c:v>135.65899999999999</c:v>
                </c:pt>
                <c:pt idx="114">
                  <c:v>135.67599999999999</c:v>
                </c:pt>
                <c:pt idx="115">
                  <c:v>135.81599999999997</c:v>
                </c:pt>
                <c:pt idx="116">
                  <c:v>136.10899999999998</c:v>
                </c:pt>
                <c:pt idx="117">
                  <c:v>136.55499999999998</c:v>
                </c:pt>
                <c:pt idx="118">
                  <c:v>135.708</c:v>
                </c:pt>
                <c:pt idx="119">
                  <c:v>134.90299999999999</c:v>
                </c:pt>
                <c:pt idx="120">
                  <c:v>135.38199999999998</c:v>
                </c:pt>
                <c:pt idx="121">
                  <c:v>136.446</c:v>
                </c:pt>
                <c:pt idx="122">
                  <c:v>137.87199999999999</c:v>
                </c:pt>
                <c:pt idx="123">
                  <c:v>139.21799999999999</c:v>
                </c:pt>
                <c:pt idx="124">
                  <c:v>139.76199999999997</c:v>
                </c:pt>
                <c:pt idx="125">
                  <c:v>139.81299999999996</c:v>
                </c:pt>
                <c:pt idx="126">
                  <c:v>140.24100000000001</c:v>
                </c:pt>
                <c:pt idx="127">
                  <c:v>140.22799999999998</c:v>
                </c:pt>
                <c:pt idx="128">
                  <c:v>140.429</c:v>
                </c:pt>
                <c:pt idx="129">
                  <c:v>141.01599999999999</c:v>
                </c:pt>
                <c:pt idx="130">
                  <c:v>140.87800000000001</c:v>
                </c:pt>
                <c:pt idx="131">
                  <c:v>140.64399999999998</c:v>
                </c:pt>
                <c:pt idx="132">
                  <c:v>141.64099999999999</c:v>
                </c:pt>
                <c:pt idx="133">
                  <c:v>142.34799999999998</c:v>
                </c:pt>
                <c:pt idx="134">
                  <c:v>141.785</c:v>
                </c:pt>
                <c:pt idx="135">
                  <c:v>140.059</c:v>
                </c:pt>
                <c:pt idx="136">
                  <c:v>140.06399999999999</c:v>
                </c:pt>
                <c:pt idx="137">
                  <c:v>141.46700000000001</c:v>
                </c:pt>
                <c:pt idx="138">
                  <c:v>142.77099999999999</c:v>
                </c:pt>
                <c:pt idx="139">
                  <c:v>143.58799999999999</c:v>
                </c:pt>
                <c:pt idx="140">
                  <c:v>143.94999999999996</c:v>
                </c:pt>
                <c:pt idx="141">
                  <c:v>144.05799999999996</c:v>
                </c:pt>
                <c:pt idx="142">
                  <c:v>143.89899999999997</c:v>
                </c:pt>
                <c:pt idx="143">
                  <c:v>144.14399999999998</c:v>
                </c:pt>
                <c:pt idx="144">
                  <c:v>145.25199999999998</c:v>
                </c:pt>
                <c:pt idx="145">
                  <c:v>146.684</c:v>
                </c:pt>
                <c:pt idx="146">
                  <c:v>148.547</c:v>
                </c:pt>
                <c:pt idx="147">
                  <c:v>150.72399999999996</c:v>
                </c:pt>
                <c:pt idx="148">
                  <c:v>152.86499999999998</c:v>
                </c:pt>
                <c:pt idx="149">
                  <c:v>155.36600000000001</c:v>
                </c:pt>
                <c:pt idx="150">
                  <c:v>156.67299999999997</c:v>
                </c:pt>
                <c:pt idx="151">
                  <c:v>157.23699999999999</c:v>
                </c:pt>
                <c:pt idx="152">
                  <c:v>157.97999999999999</c:v>
                </c:pt>
                <c:pt idx="153">
                  <c:v>160.25899999999999</c:v>
                </c:pt>
                <c:pt idx="154">
                  <c:v>161.61799999999997</c:v>
                </c:pt>
                <c:pt idx="155">
                  <c:v>162.47200000000001</c:v>
                </c:pt>
                <c:pt idx="156">
                  <c:v>164.81800000000001</c:v>
                </c:pt>
                <c:pt idx="157">
                  <c:v>167.386</c:v>
                </c:pt>
                <c:pt idx="158">
                  <c:v>171.17400000000001</c:v>
                </c:pt>
                <c:pt idx="159">
                  <c:v>172.77899999999997</c:v>
                </c:pt>
                <c:pt idx="160">
                  <c:v>175.96599999999998</c:v>
                </c:pt>
                <c:pt idx="161">
                  <c:v>179.98099999999997</c:v>
                </c:pt>
                <c:pt idx="162">
                  <c:v>179.946</c:v>
                </c:pt>
                <c:pt idx="163">
                  <c:v>179.84099999999998</c:v>
                </c:pt>
                <c:pt idx="164">
                  <c:v>180.47799999999998</c:v>
                </c:pt>
                <c:pt idx="165">
                  <c:v>181.68199999999999</c:v>
                </c:pt>
                <c:pt idx="166">
                  <c:v>181.381</c:v>
                </c:pt>
                <c:pt idx="167">
                  <c:v>180.46700000000001</c:v>
                </c:pt>
                <c:pt idx="168">
                  <c:v>182.84</c:v>
                </c:pt>
                <c:pt idx="169">
                  <c:v>184.50999999999996</c:v>
                </c:pt>
                <c:pt idx="170">
                  <c:v>185.506</c:v>
                </c:pt>
                <c:pt idx="171">
                  <c:v>187.03299999999999</c:v>
                </c:pt>
                <c:pt idx="172">
                  <c:v>187.797</c:v>
                </c:pt>
                <c:pt idx="173">
                  <c:v>188.77899999999997</c:v>
                </c:pt>
                <c:pt idx="174">
                  <c:v>189.36099999999996</c:v>
                </c:pt>
                <c:pt idx="175">
                  <c:v>190.696</c:v>
                </c:pt>
                <c:pt idx="176">
                  <c:v>191.45899999999997</c:v>
                </c:pt>
                <c:pt idx="177">
                  <c:v>191.34099999999998</c:v>
                </c:pt>
                <c:pt idx="178">
                  <c:v>190.72099999999998</c:v>
                </c:pt>
                <c:pt idx="179">
                  <c:v>190.41599999999997</c:v>
                </c:pt>
                <c:pt idx="180">
                  <c:v>192.08699999999996</c:v>
                </c:pt>
                <c:pt idx="181">
                  <c:v>193.99600000000001</c:v>
                </c:pt>
                <c:pt idx="182">
                  <c:v>196.00199999999998</c:v>
                </c:pt>
                <c:pt idx="183">
                  <c:v>197.21799999999999</c:v>
                </c:pt>
                <c:pt idx="184">
                  <c:v>197.739</c:v>
                </c:pt>
                <c:pt idx="185">
                  <c:v>197.845</c:v>
                </c:pt>
                <c:pt idx="186">
                  <c:v>198.21</c:v>
                </c:pt>
                <c:pt idx="187">
                  <c:v>198.46599999999998</c:v>
                </c:pt>
                <c:pt idx="188">
                  <c:v>198.97099999999998</c:v>
                </c:pt>
                <c:pt idx="189">
                  <c:v>199.33399999999997</c:v>
                </c:pt>
                <c:pt idx="190">
                  <c:v>199.16299999999998</c:v>
                </c:pt>
                <c:pt idx="191">
                  <c:v>199.27500000000001</c:v>
                </c:pt>
                <c:pt idx="192">
                  <c:v>201.34099999999998</c:v>
                </c:pt>
                <c:pt idx="193">
                  <c:v>202.75199999999998</c:v>
                </c:pt>
              </c:numCache>
            </c:numRef>
          </c:yVal>
          <c:smooth val="0"/>
          <c:extLst>
            <c:ext xmlns:c16="http://schemas.microsoft.com/office/drawing/2014/chart" uri="{C3380CC4-5D6E-409C-BE32-E72D297353CC}">
              <c16:uniqueId val="{00000001-E4FB-4021-8719-54367DC4043D}"/>
            </c:ext>
          </c:extLst>
        </c:ser>
        <c:dLbls>
          <c:showLegendKey val="0"/>
          <c:showVal val="0"/>
          <c:showCatName val="0"/>
          <c:showSerName val="0"/>
          <c:showPercent val="0"/>
          <c:showBubbleSize val="0"/>
        </c:dLbls>
        <c:axId val="1753713152"/>
        <c:axId val="1753713632"/>
      </c:scatterChart>
      <c:valAx>
        <c:axId val="1753713152"/>
        <c:scaling>
          <c:orientation val="minMax"/>
        </c:scaling>
        <c:delete val="0"/>
        <c:axPos val="b"/>
        <c:majorGridlines>
          <c:spPr>
            <a:ln w="9525" cap="flat" cmpd="sng" algn="ctr">
              <a:solidFill>
                <a:schemeClr val="tx1">
                  <a:lumMod val="15000"/>
                  <a:lumOff val="85000"/>
                </a:schemeClr>
              </a:solidFill>
              <a:round/>
            </a:ln>
            <a:effectLst/>
          </c:spPr>
        </c:majorGridlines>
        <c:numFmt formatCode="m/d/yyyy"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3713632"/>
        <c:crosses val="autoZero"/>
        <c:crossBetween val="midCat"/>
      </c:valAx>
      <c:valAx>
        <c:axId val="1753713632"/>
        <c:scaling>
          <c:orientation val="minMax"/>
          <c:min val="9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371315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EPC Estimates</a:t>
            </a:r>
            <a:br>
              <a:rPr lang="en-US"/>
            </a:br>
            <a:r>
              <a:rPr lang="en-US"/>
              <a:t>excludes</a:t>
            </a:r>
            <a:r>
              <a:rPr lang="en-US" baseline="0"/>
              <a:t> interconnect, development, and burnham costs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0406044947506563"/>
          <c:y val="0.10055580294911147"/>
          <c:w val="0.75135621719160106"/>
          <c:h val="0.72891083396567025"/>
        </c:manualLayout>
      </c:layout>
      <c:scatterChart>
        <c:scatterStyle val="lineMarker"/>
        <c:varyColors val="0"/>
        <c:ser>
          <c:idx val="0"/>
          <c:order val="0"/>
          <c:tx>
            <c:strRef>
              <c:f>Scatterplot!$Q$26</c:f>
              <c:strCache>
                <c:ptCount val="1"/>
                <c:pt idx="0">
                  <c:v>Conceptual</c:v>
                </c:pt>
              </c:strCache>
            </c:strRef>
          </c:tx>
          <c:spPr>
            <a:ln w="38100" cap="rnd">
              <a:noFill/>
              <a:round/>
            </a:ln>
            <a:effectLst/>
          </c:spPr>
          <c:marker>
            <c:symbol val="circle"/>
            <c:size val="5"/>
            <c:spPr>
              <a:solidFill>
                <a:schemeClr val="accent6">
                  <a:lumMod val="40000"/>
                  <a:lumOff val="60000"/>
                </a:schemeClr>
              </a:solidFill>
              <a:ln w="9525">
                <a:noFill/>
              </a:ln>
              <a:effectLst/>
            </c:spPr>
          </c:marker>
          <c:xVal>
            <c:numRef>
              <c:f>Scatterplot!$P$27:$P$49</c:f>
              <c:numCache>
                <c:formatCode>0</c:formatCode>
                <c:ptCount val="23"/>
                <c:pt idx="0">
                  <c:v>800</c:v>
                </c:pt>
                <c:pt idx="1">
                  <c:v>800</c:v>
                </c:pt>
                <c:pt idx="2">
                  <c:v>400</c:v>
                </c:pt>
                <c:pt idx="3">
                  <c:v>1200</c:v>
                </c:pt>
                <c:pt idx="4">
                  <c:v>400</c:v>
                </c:pt>
                <c:pt idx="5">
                  <c:v>800</c:v>
                </c:pt>
                <c:pt idx="6">
                  <c:v>1200</c:v>
                </c:pt>
                <c:pt idx="7">
                  <c:v>400</c:v>
                </c:pt>
                <c:pt idx="8">
                  <c:v>800</c:v>
                </c:pt>
                <c:pt idx="9">
                  <c:v>1200</c:v>
                </c:pt>
                <c:pt idx="10">
                  <c:v>800</c:v>
                </c:pt>
                <c:pt idx="11">
                  <c:v>1200</c:v>
                </c:pt>
                <c:pt idx="12">
                  <c:v>1200</c:v>
                </c:pt>
                <c:pt idx="13">
                  <c:v>0</c:v>
                </c:pt>
                <c:pt idx="14">
                  <c:v>0</c:v>
                </c:pt>
                <c:pt idx="15">
                  <c:v>0</c:v>
                </c:pt>
                <c:pt idx="16">
                  <c:v>0</c:v>
                </c:pt>
                <c:pt idx="17">
                  <c:v>0</c:v>
                </c:pt>
                <c:pt idx="18">
                  <c:v>0</c:v>
                </c:pt>
                <c:pt idx="19">
                  <c:v>0</c:v>
                </c:pt>
                <c:pt idx="20">
                  <c:v>0</c:v>
                </c:pt>
                <c:pt idx="21">
                  <c:v>0</c:v>
                </c:pt>
                <c:pt idx="22">
                  <c:v>0</c:v>
                </c:pt>
              </c:numCache>
            </c:numRef>
          </c:xVal>
          <c:yVal>
            <c:numRef>
              <c:f>Scatterplot!$Q$27:$Q$49</c:f>
              <c:numCache>
                <c:formatCode>_("$"* #,##0.00_);_("$"* \(#,##0.00\);_("$"* "-"??_);_(@_)</c:formatCode>
                <c:ptCount val="23"/>
                <c:pt idx="0">
                  <c:v>#N/A</c:v>
                </c:pt>
                <c:pt idx="1">
                  <c:v>13620875.960000001</c:v>
                </c:pt>
                <c:pt idx="2">
                  <c:v>#N/A</c:v>
                </c:pt>
                <c:pt idx="3">
                  <c:v>18336790.91</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numCache>
            </c:numRef>
          </c:yVal>
          <c:smooth val="0"/>
          <c:extLst>
            <c:ext xmlns:c16="http://schemas.microsoft.com/office/drawing/2014/chart" uri="{C3380CC4-5D6E-409C-BE32-E72D297353CC}">
              <c16:uniqueId val="{00000000-72EF-480B-AA0E-C80382CC1D11}"/>
            </c:ext>
          </c:extLst>
        </c:ser>
        <c:ser>
          <c:idx val="1"/>
          <c:order val="1"/>
          <c:tx>
            <c:strRef>
              <c:f>Scatterplot!$R$26</c:f>
              <c:strCache>
                <c:ptCount val="1"/>
                <c:pt idx="0">
                  <c:v>30%</c:v>
                </c:pt>
              </c:strCache>
            </c:strRef>
          </c:tx>
          <c:spPr>
            <a:ln w="38100" cap="rnd">
              <a:noFill/>
              <a:round/>
            </a:ln>
            <a:effectLst/>
          </c:spPr>
          <c:marker>
            <c:symbol val="circle"/>
            <c:size val="5"/>
            <c:spPr>
              <a:solidFill>
                <a:schemeClr val="accent6">
                  <a:lumMod val="75000"/>
                  <a:alpha val="50196"/>
                </a:schemeClr>
              </a:solidFill>
              <a:ln w="9525">
                <a:noFill/>
              </a:ln>
              <a:effectLst/>
            </c:spPr>
          </c:marker>
          <c:xVal>
            <c:numRef>
              <c:f>Scatterplot!$P$27:$P$49</c:f>
              <c:numCache>
                <c:formatCode>0</c:formatCode>
                <c:ptCount val="23"/>
                <c:pt idx="0">
                  <c:v>800</c:v>
                </c:pt>
                <c:pt idx="1">
                  <c:v>800</c:v>
                </c:pt>
                <c:pt idx="2">
                  <c:v>400</c:v>
                </c:pt>
                <c:pt idx="3">
                  <c:v>1200</c:v>
                </c:pt>
                <c:pt idx="4">
                  <c:v>400</c:v>
                </c:pt>
                <c:pt idx="5">
                  <c:v>800</c:v>
                </c:pt>
                <c:pt idx="6">
                  <c:v>1200</c:v>
                </c:pt>
                <c:pt idx="7">
                  <c:v>400</c:v>
                </c:pt>
                <c:pt idx="8">
                  <c:v>800</c:v>
                </c:pt>
                <c:pt idx="9">
                  <c:v>1200</c:v>
                </c:pt>
                <c:pt idx="10">
                  <c:v>800</c:v>
                </c:pt>
                <c:pt idx="11">
                  <c:v>1200</c:v>
                </c:pt>
                <c:pt idx="12">
                  <c:v>1200</c:v>
                </c:pt>
                <c:pt idx="13">
                  <c:v>0</c:v>
                </c:pt>
                <c:pt idx="14">
                  <c:v>0</c:v>
                </c:pt>
                <c:pt idx="15">
                  <c:v>0</c:v>
                </c:pt>
                <c:pt idx="16">
                  <c:v>0</c:v>
                </c:pt>
                <c:pt idx="17">
                  <c:v>0</c:v>
                </c:pt>
                <c:pt idx="18">
                  <c:v>0</c:v>
                </c:pt>
                <c:pt idx="19">
                  <c:v>0</c:v>
                </c:pt>
                <c:pt idx="20">
                  <c:v>0</c:v>
                </c:pt>
                <c:pt idx="21">
                  <c:v>0</c:v>
                </c:pt>
                <c:pt idx="22">
                  <c:v>0</c:v>
                </c:pt>
              </c:numCache>
            </c:numRef>
          </c:xVal>
          <c:yVal>
            <c:numRef>
              <c:f>Scatterplot!$R$27:$R$49</c:f>
              <c:numCache>
                <c:formatCode>_("$"* #,##0.00_);_("$"* \(#,##0.00\);_("$"* "-"??_);_(@_)</c:formatCode>
                <c:ptCount val="23"/>
                <c:pt idx="0">
                  <c:v>13270504</c:v>
                </c:pt>
                <c:pt idx="1">
                  <c:v>#N/A</c:v>
                </c:pt>
                <c:pt idx="2">
                  <c:v>13239257</c:v>
                </c:pt>
                <c:pt idx="3">
                  <c:v>#N/A</c:v>
                </c:pt>
                <c:pt idx="4">
                  <c:v>#N/A</c:v>
                </c:pt>
                <c:pt idx="5">
                  <c:v>#N/A</c:v>
                </c:pt>
                <c:pt idx="6">
                  <c:v>#N/A</c:v>
                </c:pt>
                <c:pt idx="7">
                  <c:v>#N/A</c:v>
                </c:pt>
                <c:pt idx="8">
                  <c:v>#N/A</c:v>
                </c:pt>
                <c:pt idx="9">
                  <c:v>#N/A</c:v>
                </c:pt>
                <c:pt idx="10">
                  <c:v>12289041</c:v>
                </c:pt>
                <c:pt idx="11">
                  <c:v>14579442</c:v>
                </c:pt>
                <c:pt idx="12">
                  <c:v>16043268</c:v>
                </c:pt>
                <c:pt idx="13">
                  <c:v>#N/A</c:v>
                </c:pt>
                <c:pt idx="14">
                  <c:v>#N/A</c:v>
                </c:pt>
                <c:pt idx="15">
                  <c:v>#N/A</c:v>
                </c:pt>
                <c:pt idx="16">
                  <c:v>#N/A</c:v>
                </c:pt>
                <c:pt idx="17">
                  <c:v>#N/A</c:v>
                </c:pt>
                <c:pt idx="18">
                  <c:v>#N/A</c:v>
                </c:pt>
                <c:pt idx="19">
                  <c:v>#N/A</c:v>
                </c:pt>
                <c:pt idx="20">
                  <c:v>#N/A</c:v>
                </c:pt>
                <c:pt idx="21">
                  <c:v>#N/A</c:v>
                </c:pt>
                <c:pt idx="22">
                  <c:v>#N/A</c:v>
                </c:pt>
              </c:numCache>
            </c:numRef>
          </c:yVal>
          <c:smooth val="0"/>
          <c:extLst>
            <c:ext xmlns:c16="http://schemas.microsoft.com/office/drawing/2014/chart" uri="{C3380CC4-5D6E-409C-BE32-E72D297353CC}">
              <c16:uniqueId val="{00000001-72EF-480B-AA0E-C80382CC1D11}"/>
            </c:ext>
          </c:extLst>
        </c:ser>
        <c:ser>
          <c:idx val="2"/>
          <c:order val="2"/>
          <c:tx>
            <c:strRef>
              <c:f>Scatterplot!$S$26</c:f>
              <c:strCache>
                <c:ptCount val="1"/>
                <c:pt idx="0">
                  <c:v>60%</c:v>
                </c:pt>
              </c:strCache>
            </c:strRef>
          </c:tx>
          <c:spPr>
            <a:ln w="38100" cap="rnd">
              <a:noFill/>
              <a:round/>
            </a:ln>
            <a:effectLst/>
          </c:spPr>
          <c:marker>
            <c:symbol val="circle"/>
            <c:size val="5"/>
            <c:spPr>
              <a:solidFill>
                <a:schemeClr val="accent3"/>
              </a:solidFill>
              <a:ln w="9525">
                <a:solidFill>
                  <a:schemeClr val="accent3"/>
                </a:solidFill>
              </a:ln>
              <a:effectLst/>
            </c:spPr>
          </c:marker>
          <c:xVal>
            <c:numRef>
              <c:f>Scatterplot!$P$27:$P$49</c:f>
              <c:numCache>
                <c:formatCode>0</c:formatCode>
                <c:ptCount val="23"/>
                <c:pt idx="0">
                  <c:v>800</c:v>
                </c:pt>
                <c:pt idx="1">
                  <c:v>800</c:v>
                </c:pt>
                <c:pt idx="2">
                  <c:v>400</c:v>
                </c:pt>
                <c:pt idx="3">
                  <c:v>1200</c:v>
                </c:pt>
                <c:pt idx="4">
                  <c:v>400</c:v>
                </c:pt>
                <c:pt idx="5">
                  <c:v>800</c:v>
                </c:pt>
                <c:pt idx="6">
                  <c:v>1200</c:v>
                </c:pt>
                <c:pt idx="7">
                  <c:v>400</c:v>
                </c:pt>
                <c:pt idx="8">
                  <c:v>800</c:v>
                </c:pt>
                <c:pt idx="9">
                  <c:v>1200</c:v>
                </c:pt>
                <c:pt idx="10">
                  <c:v>800</c:v>
                </c:pt>
                <c:pt idx="11">
                  <c:v>1200</c:v>
                </c:pt>
                <c:pt idx="12">
                  <c:v>1200</c:v>
                </c:pt>
                <c:pt idx="13">
                  <c:v>0</c:v>
                </c:pt>
                <c:pt idx="14">
                  <c:v>0</c:v>
                </c:pt>
                <c:pt idx="15">
                  <c:v>0</c:v>
                </c:pt>
                <c:pt idx="16">
                  <c:v>0</c:v>
                </c:pt>
                <c:pt idx="17">
                  <c:v>0</c:v>
                </c:pt>
                <c:pt idx="18">
                  <c:v>0</c:v>
                </c:pt>
                <c:pt idx="19">
                  <c:v>0</c:v>
                </c:pt>
                <c:pt idx="20">
                  <c:v>0</c:v>
                </c:pt>
                <c:pt idx="21">
                  <c:v>0</c:v>
                </c:pt>
                <c:pt idx="22">
                  <c:v>0</c:v>
                </c:pt>
              </c:numCache>
            </c:numRef>
          </c:xVal>
          <c:yVal>
            <c:numRef>
              <c:f>Scatterplot!$S$27:$S$49</c:f>
              <c:numCache>
                <c:formatCode>_("$"* #,##0.00_);_("$"* \(#,##0.00\);_("$"* "-"??_);_(@_)</c:formatCode>
                <c:ptCount val="2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numCache>
            </c:numRef>
          </c:yVal>
          <c:smooth val="0"/>
          <c:extLst>
            <c:ext xmlns:c16="http://schemas.microsoft.com/office/drawing/2014/chart" uri="{C3380CC4-5D6E-409C-BE32-E72D297353CC}">
              <c16:uniqueId val="{00000002-72EF-480B-AA0E-C80382CC1D11}"/>
            </c:ext>
          </c:extLst>
        </c:ser>
        <c:ser>
          <c:idx val="3"/>
          <c:order val="3"/>
          <c:tx>
            <c:strRef>
              <c:f>Scatterplot!$T$26</c:f>
              <c:strCache>
                <c:ptCount val="1"/>
                <c:pt idx="0">
                  <c:v>IFC</c:v>
                </c:pt>
              </c:strCache>
            </c:strRef>
          </c:tx>
          <c:spPr>
            <a:ln w="38100" cap="rnd">
              <a:noFill/>
              <a:round/>
            </a:ln>
            <a:effectLst/>
          </c:spPr>
          <c:marker>
            <c:symbol val="circle"/>
            <c:size val="5"/>
            <c:spPr>
              <a:solidFill>
                <a:schemeClr val="accent3">
                  <a:lumMod val="50000"/>
                </a:schemeClr>
              </a:solidFill>
              <a:ln w="9525">
                <a:noFill/>
              </a:ln>
              <a:effectLst/>
            </c:spPr>
          </c:marker>
          <c:xVal>
            <c:numRef>
              <c:f>Scatterplot!$P$27:$P$49</c:f>
              <c:numCache>
                <c:formatCode>0</c:formatCode>
                <c:ptCount val="23"/>
                <c:pt idx="0">
                  <c:v>800</c:v>
                </c:pt>
                <c:pt idx="1">
                  <c:v>800</c:v>
                </c:pt>
                <c:pt idx="2">
                  <c:v>400</c:v>
                </c:pt>
                <c:pt idx="3">
                  <c:v>1200</c:v>
                </c:pt>
                <c:pt idx="4">
                  <c:v>400</c:v>
                </c:pt>
                <c:pt idx="5">
                  <c:v>800</c:v>
                </c:pt>
                <c:pt idx="6">
                  <c:v>1200</c:v>
                </c:pt>
                <c:pt idx="7">
                  <c:v>400</c:v>
                </c:pt>
                <c:pt idx="8">
                  <c:v>800</c:v>
                </c:pt>
                <c:pt idx="9">
                  <c:v>1200</c:v>
                </c:pt>
                <c:pt idx="10">
                  <c:v>800</c:v>
                </c:pt>
                <c:pt idx="11">
                  <c:v>1200</c:v>
                </c:pt>
                <c:pt idx="12">
                  <c:v>1200</c:v>
                </c:pt>
                <c:pt idx="13">
                  <c:v>0</c:v>
                </c:pt>
                <c:pt idx="14">
                  <c:v>0</c:v>
                </c:pt>
                <c:pt idx="15">
                  <c:v>0</c:v>
                </c:pt>
                <c:pt idx="16">
                  <c:v>0</c:v>
                </c:pt>
                <c:pt idx="17">
                  <c:v>0</c:v>
                </c:pt>
                <c:pt idx="18">
                  <c:v>0</c:v>
                </c:pt>
                <c:pt idx="19">
                  <c:v>0</c:v>
                </c:pt>
                <c:pt idx="20">
                  <c:v>0</c:v>
                </c:pt>
                <c:pt idx="21">
                  <c:v>0</c:v>
                </c:pt>
                <c:pt idx="22">
                  <c:v>0</c:v>
                </c:pt>
              </c:numCache>
            </c:numRef>
          </c:xVal>
          <c:yVal>
            <c:numRef>
              <c:f>Scatterplot!$T$27:$T$49</c:f>
              <c:numCache>
                <c:formatCode>_("$"* #,##0.00_);_("$"* \(#,##0.00\);_("$"* "-"??_);_(@_)</c:formatCode>
                <c:ptCount val="2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numCache>
            </c:numRef>
          </c:yVal>
          <c:smooth val="0"/>
          <c:extLst>
            <c:ext xmlns:c16="http://schemas.microsoft.com/office/drawing/2014/chart" uri="{C3380CC4-5D6E-409C-BE32-E72D297353CC}">
              <c16:uniqueId val="{00000003-72EF-480B-AA0E-C80382CC1D11}"/>
            </c:ext>
          </c:extLst>
        </c:ser>
        <c:ser>
          <c:idx val="4"/>
          <c:order val="4"/>
          <c:tx>
            <c:strRef>
              <c:f>Scatterplot!$U$26</c:f>
              <c:strCache>
                <c:ptCount val="1"/>
                <c:pt idx="0">
                  <c:v>GUU4</c:v>
                </c:pt>
              </c:strCache>
            </c:strRef>
          </c:tx>
          <c:spPr>
            <a:ln w="38100" cap="rnd">
              <a:noFill/>
              <a:round/>
            </a:ln>
            <a:effectLst/>
          </c:spPr>
          <c:marker>
            <c:symbol val="circle"/>
            <c:size val="5"/>
            <c:spPr>
              <a:solidFill>
                <a:schemeClr val="tx2">
                  <a:lumMod val="50000"/>
                  <a:lumOff val="50000"/>
                  <a:alpha val="50196"/>
                </a:schemeClr>
              </a:solidFill>
              <a:ln w="9525">
                <a:noFill/>
              </a:ln>
              <a:effectLst/>
            </c:spPr>
          </c:marker>
          <c:xVal>
            <c:numRef>
              <c:f>Scatterplot!$P$27:$P$49</c:f>
              <c:numCache>
                <c:formatCode>0</c:formatCode>
                <c:ptCount val="23"/>
                <c:pt idx="0">
                  <c:v>800</c:v>
                </c:pt>
                <c:pt idx="1">
                  <c:v>800</c:v>
                </c:pt>
                <c:pt idx="2">
                  <c:v>400</c:v>
                </c:pt>
                <c:pt idx="3">
                  <c:v>1200</c:v>
                </c:pt>
                <c:pt idx="4">
                  <c:v>400</c:v>
                </c:pt>
                <c:pt idx="5">
                  <c:v>800</c:v>
                </c:pt>
                <c:pt idx="6">
                  <c:v>1200</c:v>
                </c:pt>
                <c:pt idx="7">
                  <c:v>400</c:v>
                </c:pt>
                <c:pt idx="8">
                  <c:v>800</c:v>
                </c:pt>
                <c:pt idx="9">
                  <c:v>1200</c:v>
                </c:pt>
                <c:pt idx="10">
                  <c:v>800</c:v>
                </c:pt>
                <c:pt idx="11">
                  <c:v>1200</c:v>
                </c:pt>
                <c:pt idx="12">
                  <c:v>1200</c:v>
                </c:pt>
                <c:pt idx="13">
                  <c:v>0</c:v>
                </c:pt>
                <c:pt idx="14">
                  <c:v>0</c:v>
                </c:pt>
                <c:pt idx="15">
                  <c:v>0</c:v>
                </c:pt>
                <c:pt idx="16">
                  <c:v>0</c:v>
                </c:pt>
                <c:pt idx="17">
                  <c:v>0</c:v>
                </c:pt>
                <c:pt idx="18">
                  <c:v>0</c:v>
                </c:pt>
                <c:pt idx="19">
                  <c:v>0</c:v>
                </c:pt>
                <c:pt idx="20">
                  <c:v>0</c:v>
                </c:pt>
                <c:pt idx="21">
                  <c:v>0</c:v>
                </c:pt>
                <c:pt idx="22">
                  <c:v>0</c:v>
                </c:pt>
              </c:numCache>
            </c:numRef>
          </c:xVal>
          <c:yVal>
            <c:numRef>
              <c:f>Scatterplot!$U$27:$U$49</c:f>
              <c:numCache>
                <c:formatCode>_("$"* #,##0.00_);_("$"* \(#,##0.00\);_("$"* "-"??_);_(@_)</c:formatCode>
                <c:ptCount val="23"/>
                <c:pt idx="0">
                  <c:v>#N/A</c:v>
                </c:pt>
                <c:pt idx="1">
                  <c:v>#N/A</c:v>
                </c:pt>
                <c:pt idx="2">
                  <c:v>#N/A</c:v>
                </c:pt>
                <c:pt idx="3">
                  <c:v>#N/A</c:v>
                </c:pt>
                <c:pt idx="4">
                  <c:v>#N/A</c:v>
                </c:pt>
                <c:pt idx="5">
                  <c:v>#N/A</c:v>
                </c:pt>
                <c:pt idx="6">
                  <c:v>#N/A</c:v>
                </c:pt>
                <c:pt idx="7">
                  <c:v>9532083</c:v>
                </c:pt>
                <c:pt idx="8">
                  <c:v>12598404</c:v>
                </c:pt>
                <c:pt idx="9">
                  <c:v>13927315</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numCache>
            </c:numRef>
          </c:yVal>
          <c:smooth val="0"/>
          <c:extLst>
            <c:ext xmlns:c16="http://schemas.microsoft.com/office/drawing/2014/chart" uri="{C3380CC4-5D6E-409C-BE32-E72D297353CC}">
              <c16:uniqueId val="{00000004-72EF-480B-AA0E-C80382CC1D11}"/>
            </c:ext>
          </c:extLst>
        </c:ser>
        <c:ser>
          <c:idx val="5"/>
          <c:order val="5"/>
          <c:tx>
            <c:strRef>
              <c:f>Scatterplot!$V$26</c:f>
              <c:strCache>
                <c:ptCount val="1"/>
                <c:pt idx="0">
                  <c:v>Capex Model</c:v>
                </c:pt>
              </c:strCache>
            </c:strRef>
          </c:tx>
          <c:spPr>
            <a:ln w="38100" cap="rnd">
              <a:solidFill>
                <a:schemeClr val="bg2">
                  <a:lumMod val="90000"/>
                  <a:alpha val="50000"/>
                </a:schemeClr>
              </a:solidFill>
              <a:round/>
            </a:ln>
            <a:effectLst/>
          </c:spPr>
          <c:marker>
            <c:symbol val="circle"/>
            <c:size val="5"/>
            <c:spPr>
              <a:solidFill>
                <a:schemeClr val="bg2">
                  <a:lumMod val="50000"/>
                </a:schemeClr>
              </a:solidFill>
              <a:ln w="9525">
                <a:noFill/>
              </a:ln>
              <a:effectLst/>
            </c:spPr>
          </c:marker>
          <c:xVal>
            <c:numRef>
              <c:f>Scatterplot!$P$27:$P$49</c:f>
              <c:numCache>
                <c:formatCode>0</c:formatCode>
                <c:ptCount val="23"/>
                <c:pt idx="0">
                  <c:v>800</c:v>
                </c:pt>
                <c:pt idx="1">
                  <c:v>800</c:v>
                </c:pt>
                <c:pt idx="2">
                  <c:v>400</c:v>
                </c:pt>
                <c:pt idx="3">
                  <c:v>1200</c:v>
                </c:pt>
                <c:pt idx="4">
                  <c:v>400</c:v>
                </c:pt>
                <c:pt idx="5">
                  <c:v>800</c:v>
                </c:pt>
                <c:pt idx="6">
                  <c:v>1200</c:v>
                </c:pt>
                <c:pt idx="7">
                  <c:v>400</c:v>
                </c:pt>
                <c:pt idx="8">
                  <c:v>800</c:v>
                </c:pt>
                <c:pt idx="9">
                  <c:v>1200</c:v>
                </c:pt>
                <c:pt idx="10">
                  <c:v>800</c:v>
                </c:pt>
                <c:pt idx="11">
                  <c:v>1200</c:v>
                </c:pt>
                <c:pt idx="12">
                  <c:v>1200</c:v>
                </c:pt>
                <c:pt idx="13">
                  <c:v>0</c:v>
                </c:pt>
                <c:pt idx="14">
                  <c:v>0</c:v>
                </c:pt>
                <c:pt idx="15">
                  <c:v>0</c:v>
                </c:pt>
                <c:pt idx="16">
                  <c:v>0</c:v>
                </c:pt>
                <c:pt idx="17">
                  <c:v>0</c:v>
                </c:pt>
                <c:pt idx="18">
                  <c:v>0</c:v>
                </c:pt>
                <c:pt idx="19">
                  <c:v>0</c:v>
                </c:pt>
                <c:pt idx="20">
                  <c:v>0</c:v>
                </c:pt>
                <c:pt idx="21">
                  <c:v>0</c:v>
                </c:pt>
                <c:pt idx="22">
                  <c:v>0</c:v>
                </c:pt>
              </c:numCache>
            </c:numRef>
          </c:xVal>
          <c:yVal>
            <c:numRef>
              <c:f>Scatterplot!$V$27:$V$49</c:f>
              <c:numCache>
                <c:formatCode>_("$"* #,##0.00_);_("$"* \(#,##0.00\);_("$"* "-"??_);_(@_)</c:formatCode>
                <c:ptCount val="23"/>
                <c:pt idx="0">
                  <c:v>#N/A</c:v>
                </c:pt>
                <c:pt idx="1">
                  <c:v>#N/A</c:v>
                </c:pt>
                <c:pt idx="2">
                  <c:v>#N/A</c:v>
                </c:pt>
                <c:pt idx="3">
                  <c:v>#N/A</c:v>
                </c:pt>
                <c:pt idx="4">
                  <c:v>11271698</c:v>
                </c:pt>
                <c:pt idx="5">
                  <c:v>14700208</c:v>
                </c:pt>
                <c:pt idx="6">
                  <c:v>15810083</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numCache>
            </c:numRef>
          </c:yVal>
          <c:smooth val="0"/>
          <c:extLst>
            <c:ext xmlns:c16="http://schemas.microsoft.com/office/drawing/2014/chart" uri="{C3380CC4-5D6E-409C-BE32-E72D297353CC}">
              <c16:uniqueId val="{00000005-72EF-480B-AA0E-C80382CC1D11}"/>
            </c:ext>
          </c:extLst>
        </c:ser>
        <c:dLbls>
          <c:showLegendKey val="0"/>
          <c:showVal val="0"/>
          <c:showCatName val="0"/>
          <c:showSerName val="0"/>
          <c:showPercent val="0"/>
          <c:showBubbleSize val="0"/>
        </c:dLbls>
        <c:axId val="70126976"/>
        <c:axId val="70124096"/>
      </c:scatterChart>
      <c:valAx>
        <c:axId val="7012697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70124096"/>
        <c:crosses val="autoZero"/>
        <c:crossBetween val="midCat"/>
        <c:majorUnit val="400"/>
      </c:valAx>
      <c:valAx>
        <c:axId val="70124096"/>
        <c:scaling>
          <c:orientation val="minMax"/>
          <c:max val="19000000"/>
          <c:min val="8000000"/>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7012697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Interconnect Facility Estimates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0406044947506563"/>
          <c:y val="0.10055580294911147"/>
          <c:w val="0.75135621719160106"/>
          <c:h val="0.69677269292835609"/>
        </c:manualLayout>
      </c:layout>
      <c:scatterChart>
        <c:scatterStyle val="lineMarker"/>
        <c:varyColors val="0"/>
        <c:ser>
          <c:idx val="2"/>
          <c:order val="0"/>
          <c:tx>
            <c:strRef>
              <c:f>Interconnect!$P$26</c:f>
              <c:strCache>
                <c:ptCount val="1"/>
                <c:pt idx="0">
                  <c:v>Conceptual</c:v>
                </c:pt>
              </c:strCache>
            </c:strRef>
          </c:tx>
          <c:spPr>
            <a:ln w="38100" cap="rnd">
              <a:noFill/>
              <a:round/>
            </a:ln>
            <a:effectLst/>
          </c:spPr>
          <c:marker>
            <c:symbol val="circle"/>
            <c:size val="5"/>
            <c:spPr>
              <a:solidFill>
                <a:schemeClr val="accent6">
                  <a:lumMod val="40000"/>
                  <a:lumOff val="60000"/>
                </a:schemeClr>
              </a:solidFill>
              <a:ln w="9525">
                <a:noFill/>
              </a:ln>
              <a:effectLst/>
            </c:spPr>
          </c:marker>
          <c:xVal>
            <c:numRef>
              <c:f>Interconnect!$O$27:$O$49</c:f>
              <c:numCache>
                <c:formatCode>0</c:formatCode>
                <c:ptCount val="23"/>
                <c:pt idx="0">
                  <c:v>1200</c:v>
                </c:pt>
                <c:pt idx="1">
                  <c:v>2500</c:v>
                </c:pt>
                <c:pt idx="2">
                  <c:v>800</c:v>
                </c:pt>
                <c:pt idx="3">
                  <c:v>800</c:v>
                </c:pt>
                <c:pt idx="4">
                  <c:v>800</c:v>
                </c:pt>
                <c:pt idx="5">
                  <c:v>800</c:v>
                </c:pt>
                <c:pt idx="6">
                  <c:v>1200</c:v>
                </c:pt>
                <c:pt idx="7">
                  <c:v>800</c:v>
                </c:pt>
                <c:pt idx="8">
                  <c:v>1200</c:v>
                </c:pt>
                <c:pt idx="9">
                  <c:v>1525</c:v>
                </c:pt>
                <c:pt idx="10">
                  <c:v>0</c:v>
                </c:pt>
                <c:pt idx="11">
                  <c:v>0</c:v>
                </c:pt>
                <c:pt idx="12">
                  <c:v>0</c:v>
                </c:pt>
                <c:pt idx="13">
                  <c:v>0</c:v>
                </c:pt>
                <c:pt idx="14">
                  <c:v>0</c:v>
                </c:pt>
                <c:pt idx="15">
                  <c:v>0</c:v>
                </c:pt>
                <c:pt idx="16">
                  <c:v>0</c:v>
                </c:pt>
                <c:pt idx="17">
                  <c:v>0</c:v>
                </c:pt>
                <c:pt idx="18">
                  <c:v>0</c:v>
                </c:pt>
                <c:pt idx="19">
                  <c:v>0</c:v>
                </c:pt>
                <c:pt idx="20">
                  <c:v>0</c:v>
                </c:pt>
                <c:pt idx="21">
                  <c:v>0</c:v>
                </c:pt>
              </c:numCache>
            </c:numRef>
          </c:xVal>
          <c:yVal>
            <c:numRef>
              <c:f>Interconnect!$P$27:$P$49</c:f>
              <c:numCache>
                <c:formatCode>_("$"* #,##0.00_);_("$"* \(#,##0.00\);_("$"* "-"??_);_(@_)</c:formatCode>
                <c:ptCount val="23"/>
                <c:pt idx="0">
                  <c:v>1000000</c:v>
                </c:pt>
                <c:pt idx="1">
                  <c:v>#N/A</c:v>
                </c:pt>
                <c:pt idx="2">
                  <c:v>2294995</c:v>
                </c:pt>
                <c:pt idx="3">
                  <c:v>3632550</c:v>
                </c:pt>
                <c:pt idx="4">
                  <c:v>2360000</c:v>
                </c:pt>
                <c:pt idx="5">
                  <c:v>3250000</c:v>
                </c:pt>
                <c:pt idx="6">
                  <c:v>850000</c:v>
                </c:pt>
                <c:pt idx="7">
                  <c:v>3708571</c:v>
                </c:pt>
                <c:pt idx="8">
                  <c:v>2244290</c:v>
                </c:pt>
                <c:pt idx="9">
                  <c:v>6274000</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numCache>
            </c:numRef>
          </c:yVal>
          <c:smooth val="0"/>
          <c:extLst>
            <c:ext xmlns:c16="http://schemas.microsoft.com/office/drawing/2014/chart" uri="{C3380CC4-5D6E-409C-BE32-E72D297353CC}">
              <c16:uniqueId val="{0000000D-8BE8-4D9F-A845-007D939D525F}"/>
            </c:ext>
          </c:extLst>
        </c:ser>
        <c:ser>
          <c:idx val="0"/>
          <c:order val="1"/>
          <c:tx>
            <c:strRef>
              <c:f>Interconnect!$Q$26</c:f>
              <c:strCache>
                <c:ptCount val="1"/>
                <c:pt idx="0">
                  <c:v>30%</c:v>
                </c:pt>
              </c:strCache>
            </c:strRef>
          </c:tx>
          <c:spPr>
            <a:ln w="19050" cap="rnd">
              <a:noFill/>
              <a:round/>
            </a:ln>
            <a:effectLst/>
          </c:spPr>
          <c:marker>
            <c:symbol val="circle"/>
            <c:size val="5"/>
            <c:spPr>
              <a:solidFill>
                <a:srgbClr val="00B050"/>
              </a:solidFill>
              <a:ln w="9525">
                <a:noFill/>
              </a:ln>
              <a:effectLst/>
            </c:spPr>
          </c:marker>
          <c:xVal>
            <c:numRef>
              <c:f>Interconnect!$O$27:$O$49</c:f>
              <c:numCache>
                <c:formatCode>0</c:formatCode>
                <c:ptCount val="23"/>
                <c:pt idx="0">
                  <c:v>1200</c:v>
                </c:pt>
                <c:pt idx="1">
                  <c:v>2500</c:v>
                </c:pt>
                <c:pt idx="2">
                  <c:v>800</c:v>
                </c:pt>
                <c:pt idx="3">
                  <c:v>800</c:v>
                </c:pt>
                <c:pt idx="4">
                  <c:v>800</c:v>
                </c:pt>
                <c:pt idx="5">
                  <c:v>800</c:v>
                </c:pt>
                <c:pt idx="6">
                  <c:v>1200</c:v>
                </c:pt>
                <c:pt idx="7">
                  <c:v>800</c:v>
                </c:pt>
                <c:pt idx="8">
                  <c:v>1200</c:v>
                </c:pt>
                <c:pt idx="9">
                  <c:v>1525</c:v>
                </c:pt>
                <c:pt idx="10">
                  <c:v>0</c:v>
                </c:pt>
                <c:pt idx="11">
                  <c:v>0</c:v>
                </c:pt>
                <c:pt idx="12">
                  <c:v>0</c:v>
                </c:pt>
                <c:pt idx="13">
                  <c:v>0</c:v>
                </c:pt>
                <c:pt idx="14">
                  <c:v>0</c:v>
                </c:pt>
                <c:pt idx="15">
                  <c:v>0</c:v>
                </c:pt>
                <c:pt idx="16">
                  <c:v>0</c:v>
                </c:pt>
                <c:pt idx="17">
                  <c:v>0</c:v>
                </c:pt>
                <c:pt idx="18">
                  <c:v>0</c:v>
                </c:pt>
                <c:pt idx="19">
                  <c:v>0</c:v>
                </c:pt>
                <c:pt idx="20">
                  <c:v>0</c:v>
                </c:pt>
                <c:pt idx="21">
                  <c:v>0</c:v>
                </c:pt>
              </c:numCache>
            </c:numRef>
          </c:xVal>
          <c:yVal>
            <c:numRef>
              <c:f>Interconnect!$Q$27:$Q$49</c:f>
              <c:numCache>
                <c:formatCode>_("$"* #,##0.00_);_("$"* \(#,##0.00\);_("$"* "-"??_);_(@_)</c:formatCode>
                <c:ptCount val="2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numCache>
            </c:numRef>
          </c:yVal>
          <c:smooth val="0"/>
          <c:extLst>
            <c:ext xmlns:c16="http://schemas.microsoft.com/office/drawing/2014/chart" uri="{C3380CC4-5D6E-409C-BE32-E72D297353CC}">
              <c16:uniqueId val="{00000008-8BE8-4D9F-A845-007D939D525F}"/>
            </c:ext>
          </c:extLst>
        </c:ser>
        <c:ser>
          <c:idx val="1"/>
          <c:order val="2"/>
          <c:tx>
            <c:strRef>
              <c:f>Interconnect!$R$26</c:f>
              <c:strCache>
                <c:ptCount val="1"/>
                <c:pt idx="0">
                  <c:v>60%</c:v>
                </c:pt>
              </c:strCache>
            </c:strRef>
          </c:tx>
          <c:spPr>
            <a:ln w="25400" cap="rnd">
              <a:noFill/>
              <a:round/>
            </a:ln>
            <a:effectLst/>
          </c:spPr>
          <c:marker>
            <c:symbol val="circle"/>
            <c:size val="5"/>
            <c:spPr>
              <a:solidFill>
                <a:schemeClr val="accent6">
                  <a:lumMod val="50000"/>
                </a:schemeClr>
              </a:solidFill>
              <a:ln w="9525">
                <a:noFill/>
              </a:ln>
              <a:effectLst/>
            </c:spPr>
          </c:marker>
          <c:xVal>
            <c:numRef>
              <c:f>Interconnect!$O$27:$O$49</c:f>
              <c:numCache>
                <c:formatCode>0</c:formatCode>
                <c:ptCount val="23"/>
                <c:pt idx="0">
                  <c:v>1200</c:v>
                </c:pt>
                <c:pt idx="1">
                  <c:v>2500</c:v>
                </c:pt>
                <c:pt idx="2">
                  <c:v>800</c:v>
                </c:pt>
                <c:pt idx="3">
                  <c:v>800</c:v>
                </c:pt>
                <c:pt idx="4">
                  <c:v>800</c:v>
                </c:pt>
                <c:pt idx="5">
                  <c:v>800</c:v>
                </c:pt>
                <c:pt idx="6">
                  <c:v>1200</c:v>
                </c:pt>
                <c:pt idx="7">
                  <c:v>800</c:v>
                </c:pt>
                <c:pt idx="8">
                  <c:v>1200</c:v>
                </c:pt>
                <c:pt idx="9">
                  <c:v>1525</c:v>
                </c:pt>
                <c:pt idx="10">
                  <c:v>0</c:v>
                </c:pt>
                <c:pt idx="11">
                  <c:v>0</c:v>
                </c:pt>
                <c:pt idx="12">
                  <c:v>0</c:v>
                </c:pt>
                <c:pt idx="13">
                  <c:v>0</c:v>
                </c:pt>
                <c:pt idx="14">
                  <c:v>0</c:v>
                </c:pt>
                <c:pt idx="15">
                  <c:v>0</c:v>
                </c:pt>
                <c:pt idx="16">
                  <c:v>0</c:v>
                </c:pt>
                <c:pt idx="17">
                  <c:v>0</c:v>
                </c:pt>
                <c:pt idx="18">
                  <c:v>0</c:v>
                </c:pt>
                <c:pt idx="19">
                  <c:v>0</c:v>
                </c:pt>
                <c:pt idx="20">
                  <c:v>0</c:v>
                </c:pt>
                <c:pt idx="21">
                  <c:v>0</c:v>
                </c:pt>
              </c:numCache>
            </c:numRef>
          </c:xVal>
          <c:yVal>
            <c:numRef>
              <c:f>Interconnect!$R$27:$R$49</c:f>
              <c:numCache>
                <c:formatCode>_("$"* #,##0.00_);_("$"* \(#,##0.00\);_("$"* "-"??_);_(@_)</c:formatCode>
                <c:ptCount val="2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numCache>
            </c:numRef>
          </c:yVal>
          <c:smooth val="0"/>
          <c:extLst>
            <c:ext xmlns:c16="http://schemas.microsoft.com/office/drawing/2014/chart" uri="{C3380CC4-5D6E-409C-BE32-E72D297353CC}">
              <c16:uniqueId val="{00000009-8BE8-4D9F-A845-007D939D525F}"/>
            </c:ext>
          </c:extLst>
        </c:ser>
        <c:ser>
          <c:idx val="3"/>
          <c:order val="3"/>
          <c:tx>
            <c:strRef>
              <c:f>Interconnect!$S$26</c:f>
              <c:strCache>
                <c:ptCount val="1"/>
                <c:pt idx="0">
                  <c:v>IFC</c:v>
                </c:pt>
              </c:strCache>
            </c:strRef>
          </c:tx>
          <c:spPr>
            <a:ln w="25400" cap="rnd">
              <a:noFill/>
              <a:round/>
            </a:ln>
            <a:effectLst/>
          </c:spPr>
          <c:marker>
            <c:symbol val="circle"/>
            <c:size val="5"/>
            <c:spPr>
              <a:solidFill>
                <a:schemeClr val="tx1"/>
              </a:solidFill>
              <a:ln w="9525">
                <a:noFill/>
              </a:ln>
              <a:effectLst/>
            </c:spPr>
          </c:marker>
          <c:xVal>
            <c:numRef>
              <c:f>Interconnect!$O$27:$O$49</c:f>
              <c:numCache>
                <c:formatCode>0</c:formatCode>
                <c:ptCount val="23"/>
                <c:pt idx="0">
                  <c:v>1200</c:v>
                </c:pt>
                <c:pt idx="1">
                  <c:v>2500</c:v>
                </c:pt>
                <c:pt idx="2">
                  <c:v>800</c:v>
                </c:pt>
                <c:pt idx="3">
                  <c:v>800</c:v>
                </c:pt>
                <c:pt idx="4">
                  <c:v>800</c:v>
                </c:pt>
                <c:pt idx="5">
                  <c:v>800</c:v>
                </c:pt>
                <c:pt idx="6">
                  <c:v>1200</c:v>
                </c:pt>
                <c:pt idx="7">
                  <c:v>800</c:v>
                </c:pt>
                <c:pt idx="8">
                  <c:v>1200</c:v>
                </c:pt>
                <c:pt idx="9">
                  <c:v>1525</c:v>
                </c:pt>
                <c:pt idx="10">
                  <c:v>0</c:v>
                </c:pt>
                <c:pt idx="11">
                  <c:v>0</c:v>
                </c:pt>
                <c:pt idx="12">
                  <c:v>0</c:v>
                </c:pt>
                <c:pt idx="13">
                  <c:v>0</c:v>
                </c:pt>
                <c:pt idx="14">
                  <c:v>0</c:v>
                </c:pt>
                <c:pt idx="15">
                  <c:v>0</c:v>
                </c:pt>
                <c:pt idx="16">
                  <c:v>0</c:v>
                </c:pt>
                <c:pt idx="17">
                  <c:v>0</c:v>
                </c:pt>
                <c:pt idx="18">
                  <c:v>0</c:v>
                </c:pt>
                <c:pt idx="19">
                  <c:v>0</c:v>
                </c:pt>
                <c:pt idx="20">
                  <c:v>0</c:v>
                </c:pt>
                <c:pt idx="21">
                  <c:v>0</c:v>
                </c:pt>
              </c:numCache>
            </c:numRef>
          </c:xVal>
          <c:yVal>
            <c:numRef>
              <c:f>Interconnect!$S$27:$S$49</c:f>
              <c:numCache>
                <c:formatCode>_("$"* #,##0.00_);_("$"* \(#,##0.00\);_("$"* "-"??_);_(@_)</c:formatCode>
                <c:ptCount val="23"/>
                <c:pt idx="0">
                  <c:v>#N/A</c:v>
                </c:pt>
                <c:pt idx="1">
                  <c:v>2071734.9999999998</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numCache>
            </c:numRef>
          </c:yVal>
          <c:smooth val="0"/>
          <c:extLst>
            <c:ext xmlns:c16="http://schemas.microsoft.com/office/drawing/2014/chart" uri="{C3380CC4-5D6E-409C-BE32-E72D297353CC}">
              <c16:uniqueId val="{0000000E-8BE8-4D9F-A845-007D939D525F}"/>
            </c:ext>
          </c:extLst>
        </c:ser>
        <c:ser>
          <c:idx val="4"/>
          <c:order val="4"/>
          <c:tx>
            <c:strRef>
              <c:f>Interconnect!$T$26</c:f>
              <c:strCache>
                <c:ptCount val="1"/>
                <c:pt idx="0">
                  <c:v>Actual</c:v>
                </c:pt>
              </c:strCache>
            </c:strRef>
          </c:tx>
          <c:spPr>
            <a:ln w="19050" cap="rnd">
              <a:noFill/>
              <a:round/>
            </a:ln>
            <a:effectLst/>
          </c:spPr>
          <c:marker>
            <c:symbol val="circle"/>
            <c:size val="5"/>
            <c:spPr>
              <a:solidFill>
                <a:schemeClr val="accent6">
                  <a:lumMod val="50000"/>
                </a:schemeClr>
              </a:solidFill>
              <a:ln w="9525">
                <a:noFill/>
              </a:ln>
              <a:effectLst/>
            </c:spPr>
          </c:marker>
          <c:xVal>
            <c:numRef>
              <c:f>Interconnect!$O$27:$O$49</c:f>
              <c:numCache>
                <c:formatCode>0</c:formatCode>
                <c:ptCount val="23"/>
                <c:pt idx="0">
                  <c:v>1200</c:v>
                </c:pt>
                <c:pt idx="1">
                  <c:v>2500</c:v>
                </c:pt>
                <c:pt idx="2">
                  <c:v>800</c:v>
                </c:pt>
                <c:pt idx="3">
                  <c:v>800</c:v>
                </c:pt>
                <c:pt idx="4">
                  <c:v>800</c:v>
                </c:pt>
                <c:pt idx="5">
                  <c:v>800</c:v>
                </c:pt>
                <c:pt idx="6">
                  <c:v>1200</c:v>
                </c:pt>
                <c:pt idx="7">
                  <c:v>800</c:v>
                </c:pt>
                <c:pt idx="8">
                  <c:v>1200</c:v>
                </c:pt>
                <c:pt idx="9">
                  <c:v>1525</c:v>
                </c:pt>
                <c:pt idx="10">
                  <c:v>0</c:v>
                </c:pt>
                <c:pt idx="11">
                  <c:v>0</c:v>
                </c:pt>
                <c:pt idx="12">
                  <c:v>0</c:v>
                </c:pt>
                <c:pt idx="13">
                  <c:v>0</c:v>
                </c:pt>
                <c:pt idx="14">
                  <c:v>0</c:v>
                </c:pt>
                <c:pt idx="15">
                  <c:v>0</c:v>
                </c:pt>
                <c:pt idx="16">
                  <c:v>0</c:v>
                </c:pt>
                <c:pt idx="17">
                  <c:v>0</c:v>
                </c:pt>
                <c:pt idx="18">
                  <c:v>0</c:v>
                </c:pt>
                <c:pt idx="19">
                  <c:v>0</c:v>
                </c:pt>
                <c:pt idx="20">
                  <c:v>0</c:v>
                </c:pt>
                <c:pt idx="21">
                  <c:v>0</c:v>
                </c:pt>
              </c:numCache>
            </c:numRef>
          </c:xVal>
          <c:yVal>
            <c:numRef>
              <c:f>Interconnect!$T$27:$T$49</c:f>
              <c:numCache>
                <c:formatCode>_("$"* #,##0.00_);_("$"* \(#,##0.00\);_("$"* "-"??_);_(@_)</c:formatCode>
                <c:ptCount val="2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numCache>
            </c:numRef>
          </c:yVal>
          <c:smooth val="0"/>
          <c:extLst>
            <c:ext xmlns:c16="http://schemas.microsoft.com/office/drawing/2014/chart" uri="{C3380CC4-5D6E-409C-BE32-E72D297353CC}">
              <c16:uniqueId val="{0000000F-8BE8-4D9F-A845-007D939D525F}"/>
            </c:ext>
          </c:extLst>
        </c:ser>
        <c:dLbls>
          <c:showLegendKey val="0"/>
          <c:showVal val="0"/>
          <c:showCatName val="0"/>
          <c:showSerName val="0"/>
          <c:showPercent val="0"/>
          <c:showBubbleSize val="0"/>
        </c:dLbls>
        <c:axId val="70126976"/>
        <c:axId val="70124096"/>
      </c:scatterChart>
      <c:valAx>
        <c:axId val="7012697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24096"/>
        <c:crosses val="autoZero"/>
        <c:crossBetween val="midCat"/>
        <c:majorUnit val="400"/>
      </c:valAx>
      <c:valAx>
        <c:axId val="7012409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2697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Drop" dropStyle="combo" dx="22" fmlaLink="$X$4" fmlaRange="'Gas Upgrader'!$C$5:$C$8" noThreeD="1" sel="3" val="0"/>
</file>

<file path=xl/ctrlProps/ctrlProp2.xml><?xml version="1.0" encoding="utf-8"?>
<formControlPr xmlns="http://schemas.microsoft.com/office/spreadsheetml/2009/9/main" objectType="Drop" dropStyle="combo" dx="22" fmlaLink="$X$6" fmlaRange="Flare!$L$4:$L$5" noThreeD="1" sel="1" val="0"/>
</file>

<file path=xl/ctrlProps/ctrlProp3.xml><?xml version="1.0" encoding="utf-8"?>
<formControlPr xmlns="http://schemas.microsoft.com/office/spreadsheetml/2009/9/main" objectType="Drop" dropStyle="combo" dx="22" fmlaLink="$X$8" fmlaRange="Flare!$L$4:$L$5" noThreeD="1" sel="1" val="0"/>
</file>

<file path=xl/ctrlProps/ctrlProp4.xml><?xml version="1.0" encoding="utf-8"?>
<formControlPr xmlns="http://schemas.microsoft.com/office/spreadsheetml/2009/9/main" objectType="Drop" dropStyle="combo" dx="22" fmlaLink="$X$10" fmlaRange="Flare!$L$4:$L$5" noThreeD="1" sel="1" val="0"/>
</file>

<file path=xl/ctrlProps/ctrlProp5.xml><?xml version="1.0" encoding="utf-8"?>
<formControlPr xmlns="http://schemas.microsoft.com/office/spreadsheetml/2009/9/main" objectType="Drop" dropLines="51" dropStyle="combo" dx="22" fmlaLink="'Sales Tax and Escalation'!$J$3" fmlaRange="'Sales Tax and Escalation'!$B$3:$B$54" noThreeD="1" sel="37" val="0"/>
</file>

<file path=xl/ctrlProps/ctrlProp6.xml><?xml version="1.0" encoding="utf-8"?>
<formControlPr xmlns="http://schemas.microsoft.com/office/spreadsheetml/2009/9/main" objectType="Drop" dropStyle="combo" dx="22" fmlaLink="'Sales Tax and Escalation'!$J$5" fmlaRange="Flare!$L$4:$L$5" noThreeD="1" sel="1" val="0"/>
</file>

<file path=xl/ctrlProps/ctrlProp7.xml><?xml version="1.0" encoding="utf-8"?>
<formControlPr xmlns="http://schemas.microsoft.com/office/spreadsheetml/2009/9/main" objectType="Drop" dropStyle="combo" dx="22" fmlaLink="$X$12" fmlaRange="Flare!$L$4:$L$5" noThreeD="1" sel="1" val="0"/>
</file>

<file path=xl/ctrlProps/ctrlProp8.xml><?xml version="1.0" encoding="utf-8"?>
<formControlPr xmlns="http://schemas.microsoft.com/office/spreadsheetml/2009/9/main" objectType="Drop" dropStyle="combo" dx="22" fmlaLink="$X$14" fmlaRange="Compressor!$P$5:$P$7" noThreeD="1" sel="3" val="0"/>
</file>

<file path=xl/ctrlProps/ctrlProp9.xml><?xml version="1.0" encoding="utf-8"?>
<formControlPr xmlns="http://schemas.microsoft.com/office/spreadsheetml/2009/9/main" objectType="Drop" dropStyle="combo" dx="22" fmlaLink="$X$18" fmlaRange="Flare!$O$5:$O$6" noThreeD="1" sel="2" val="0"/>
</file>

<file path=xl/drawings/_rels/drawing1.xml.rels><?xml version="1.0" encoding="UTF-8" standalone="yes"?>
<Relationships xmlns="http://schemas.openxmlformats.org/package/2006/relationships"><Relationship Id="rId1" Type="http://schemas.openxmlformats.org/officeDocument/2006/relationships/image" Target="../media/image15.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4</xdr:col>
          <xdr:colOff>638175</xdr:colOff>
          <xdr:row>18</xdr:row>
          <xdr:rowOff>38100</xdr:rowOff>
        </xdr:from>
        <xdr:to>
          <xdr:col>7</xdr:col>
          <xdr:colOff>19050</xdr:colOff>
          <xdr:row>19</xdr:row>
          <xdr:rowOff>38100</xdr:rowOff>
        </xdr:to>
        <xdr:sp macro="" textlink="">
          <xdr:nvSpPr>
            <xdr:cNvPr id="3073" name="Drop Down 1" hidden="1">
              <a:extLst>
                <a:ext uri="{63B3BB69-23CF-44E3-9099-C40C66FF867C}">
                  <a14:compatExt spid="_x0000_s3073"/>
                </a:ext>
                <a:ext uri="{FF2B5EF4-FFF2-40B4-BE49-F238E27FC236}">
                  <a16:creationId xmlns:a16="http://schemas.microsoft.com/office/drawing/2014/main" id="{00000000-0008-0000-0400-000001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85725</xdr:colOff>
          <xdr:row>6</xdr:row>
          <xdr:rowOff>38100</xdr:rowOff>
        </xdr:from>
        <xdr:to>
          <xdr:col>13</xdr:col>
          <xdr:colOff>133350</xdr:colOff>
          <xdr:row>7</xdr:row>
          <xdr:rowOff>38100</xdr:rowOff>
        </xdr:to>
        <xdr:sp macro="" textlink="">
          <xdr:nvSpPr>
            <xdr:cNvPr id="3076" name="Drop Down 4" hidden="1">
              <a:extLst>
                <a:ext uri="{63B3BB69-23CF-44E3-9099-C40C66FF867C}">
                  <a14:compatExt spid="_x0000_s3076"/>
                </a:ext>
                <a:ext uri="{FF2B5EF4-FFF2-40B4-BE49-F238E27FC236}">
                  <a16:creationId xmlns:a16="http://schemas.microsoft.com/office/drawing/2014/main" id="{00000000-0008-0000-0400-000004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7</xdr:col>
          <xdr:colOff>647700</xdr:colOff>
          <xdr:row>18</xdr:row>
          <xdr:rowOff>47625</xdr:rowOff>
        </xdr:from>
        <xdr:to>
          <xdr:col>10</xdr:col>
          <xdr:colOff>28575</xdr:colOff>
          <xdr:row>19</xdr:row>
          <xdr:rowOff>47625</xdr:rowOff>
        </xdr:to>
        <xdr:sp macro="" textlink="">
          <xdr:nvSpPr>
            <xdr:cNvPr id="3078" name="Drop Down 6" hidden="1">
              <a:extLst>
                <a:ext uri="{63B3BB69-23CF-44E3-9099-C40C66FF867C}">
                  <a14:compatExt spid="_x0000_s3078"/>
                </a:ext>
                <a:ext uri="{FF2B5EF4-FFF2-40B4-BE49-F238E27FC236}">
                  <a16:creationId xmlns:a16="http://schemas.microsoft.com/office/drawing/2014/main" id="{00000000-0008-0000-0400-000006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10</xdr:col>
          <xdr:colOff>638175</xdr:colOff>
          <xdr:row>30</xdr:row>
          <xdr:rowOff>47625</xdr:rowOff>
        </xdr:from>
        <xdr:to>
          <xdr:col>13</xdr:col>
          <xdr:colOff>19050</xdr:colOff>
          <xdr:row>31</xdr:row>
          <xdr:rowOff>47625</xdr:rowOff>
        </xdr:to>
        <xdr:sp macro="" textlink="">
          <xdr:nvSpPr>
            <xdr:cNvPr id="3079" name="Drop Down 7" hidden="1">
              <a:extLst>
                <a:ext uri="{63B3BB69-23CF-44E3-9099-C40C66FF867C}">
                  <a14:compatExt spid="_x0000_s3079"/>
                </a:ext>
                <a:ext uri="{FF2B5EF4-FFF2-40B4-BE49-F238E27FC236}">
                  <a16:creationId xmlns:a16="http://schemas.microsoft.com/office/drawing/2014/main" id="{00000000-0008-0000-0400-000007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14</xdr:col>
          <xdr:colOff>57150</xdr:colOff>
          <xdr:row>29</xdr:row>
          <xdr:rowOff>19050</xdr:rowOff>
        </xdr:from>
        <xdr:to>
          <xdr:col>16</xdr:col>
          <xdr:colOff>95250</xdr:colOff>
          <xdr:row>30</xdr:row>
          <xdr:rowOff>9525</xdr:rowOff>
        </xdr:to>
        <xdr:sp macro="" textlink="">
          <xdr:nvSpPr>
            <xdr:cNvPr id="3080" name="Drop Down 8" hidden="1">
              <a:extLst>
                <a:ext uri="{63B3BB69-23CF-44E3-9099-C40C66FF867C}">
                  <a14:compatExt spid="_x0000_s3080"/>
                </a:ext>
                <a:ext uri="{FF2B5EF4-FFF2-40B4-BE49-F238E27FC236}">
                  <a16:creationId xmlns:a16="http://schemas.microsoft.com/office/drawing/2014/main" id="{00000000-0008-0000-0400-000008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14</xdr:col>
          <xdr:colOff>57150</xdr:colOff>
          <xdr:row>32</xdr:row>
          <xdr:rowOff>19050</xdr:rowOff>
        </xdr:from>
        <xdr:to>
          <xdr:col>16</xdr:col>
          <xdr:colOff>95250</xdr:colOff>
          <xdr:row>33</xdr:row>
          <xdr:rowOff>19050</xdr:rowOff>
        </xdr:to>
        <xdr:sp macro="" textlink="">
          <xdr:nvSpPr>
            <xdr:cNvPr id="3081" name="Drop Down 9" hidden="1">
              <a:extLst>
                <a:ext uri="{63B3BB69-23CF-44E3-9099-C40C66FF867C}">
                  <a14:compatExt spid="_x0000_s3081"/>
                </a:ext>
                <a:ext uri="{FF2B5EF4-FFF2-40B4-BE49-F238E27FC236}">
                  <a16:creationId xmlns:a16="http://schemas.microsoft.com/office/drawing/2014/main" id="{00000000-0008-0000-0400-000009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10</xdr:col>
          <xdr:colOff>657225</xdr:colOff>
          <xdr:row>18</xdr:row>
          <xdr:rowOff>28575</xdr:rowOff>
        </xdr:from>
        <xdr:to>
          <xdr:col>13</xdr:col>
          <xdr:colOff>38100</xdr:colOff>
          <xdr:row>19</xdr:row>
          <xdr:rowOff>28575</xdr:rowOff>
        </xdr:to>
        <xdr:sp macro="" textlink="">
          <xdr:nvSpPr>
            <xdr:cNvPr id="3082" name="Drop Down 10" hidden="1">
              <a:extLst>
                <a:ext uri="{63B3BB69-23CF-44E3-9099-C40C66FF867C}">
                  <a14:compatExt spid="_x0000_s3082"/>
                </a:ext>
                <a:ext uri="{FF2B5EF4-FFF2-40B4-BE49-F238E27FC236}">
                  <a16:creationId xmlns:a16="http://schemas.microsoft.com/office/drawing/2014/main" id="{00000000-0008-0000-0400-00000A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0</xdr:colOff>
          <xdr:row>20</xdr:row>
          <xdr:rowOff>9525</xdr:rowOff>
        </xdr:from>
        <xdr:to>
          <xdr:col>13</xdr:col>
          <xdr:colOff>47625</xdr:colOff>
          <xdr:row>21</xdr:row>
          <xdr:rowOff>0</xdr:rowOff>
        </xdr:to>
        <xdr:sp macro="" textlink="">
          <xdr:nvSpPr>
            <xdr:cNvPr id="3083" name="Drop Down 11" hidden="1">
              <a:extLst>
                <a:ext uri="{63B3BB69-23CF-44E3-9099-C40C66FF867C}">
                  <a14:compatExt spid="_x0000_s3083"/>
                </a:ext>
                <a:ext uri="{FF2B5EF4-FFF2-40B4-BE49-F238E27FC236}">
                  <a16:creationId xmlns:a16="http://schemas.microsoft.com/office/drawing/2014/main" id="{00000000-0008-0000-0400-00000B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85725</xdr:colOff>
          <xdr:row>7</xdr:row>
          <xdr:rowOff>123825</xdr:rowOff>
        </xdr:from>
        <xdr:to>
          <xdr:col>13</xdr:col>
          <xdr:colOff>133350</xdr:colOff>
          <xdr:row>8</xdr:row>
          <xdr:rowOff>123825</xdr:rowOff>
        </xdr:to>
        <xdr:sp macro="" textlink="">
          <xdr:nvSpPr>
            <xdr:cNvPr id="3085" name="Drop Down 13" hidden="1">
              <a:extLst>
                <a:ext uri="{63B3BB69-23CF-44E3-9099-C40C66FF867C}">
                  <a14:compatExt spid="_x0000_s3085"/>
                </a:ext>
                <a:ext uri="{FF2B5EF4-FFF2-40B4-BE49-F238E27FC236}">
                  <a16:creationId xmlns:a16="http://schemas.microsoft.com/office/drawing/2014/main" id="{00000000-0008-0000-0400-00000D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10</xdr:col>
      <xdr:colOff>44104</xdr:colOff>
      <xdr:row>10</xdr:row>
      <xdr:rowOff>21209</xdr:rowOff>
    </xdr:from>
    <xdr:to>
      <xdr:col>10</xdr:col>
      <xdr:colOff>211759</xdr:colOff>
      <xdr:row>13</xdr:row>
      <xdr:rowOff>113793</xdr:rowOff>
    </xdr:to>
    <xdr:pic>
      <xdr:nvPicPr>
        <xdr:cNvPr id="48" name="Picture 47">
          <a:extLst>
            <a:ext uri="{FF2B5EF4-FFF2-40B4-BE49-F238E27FC236}">
              <a16:creationId xmlns:a16="http://schemas.microsoft.com/office/drawing/2014/main" id="{2C8D8DCC-6970-0023-68D8-687D7137F74C}"/>
            </a:ext>
          </a:extLst>
        </xdr:cNvPr>
        <xdr:cNvPicPr>
          <a:picLocks noChangeAspect="1"/>
        </xdr:cNvPicPr>
      </xdr:nvPicPr>
      <xdr:blipFill>
        <a:blip xmlns:r="http://schemas.openxmlformats.org/officeDocument/2006/relationships" r:embed="rId1"/>
        <a:stretch>
          <a:fillRect/>
        </a:stretch>
      </xdr:blipFill>
      <xdr:spPr>
        <a:xfrm rot="16200000">
          <a:off x="6444340" y="2111830"/>
          <a:ext cx="647756" cy="16765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14</xdr:col>
      <xdr:colOff>110489</xdr:colOff>
      <xdr:row>23</xdr:row>
      <xdr:rowOff>179070</xdr:rowOff>
    </xdr:from>
    <xdr:to>
      <xdr:col>28</xdr:col>
      <xdr:colOff>371474</xdr:colOff>
      <xdr:row>41</xdr:row>
      <xdr:rowOff>0</xdr:rowOff>
    </xdr:to>
    <xdr:graphicFrame macro="">
      <xdr:nvGraphicFramePr>
        <xdr:cNvPr id="7" name="Chart 6">
          <a:extLst>
            <a:ext uri="{FF2B5EF4-FFF2-40B4-BE49-F238E27FC236}">
              <a16:creationId xmlns:a16="http://schemas.microsoft.com/office/drawing/2014/main" id="{4A844F7C-8CCB-89A9-9163-331DCE500F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38101</xdr:colOff>
      <xdr:row>0</xdr:row>
      <xdr:rowOff>97156</xdr:rowOff>
    </xdr:from>
    <xdr:to>
      <xdr:col>11</xdr:col>
      <xdr:colOff>539750</xdr:colOff>
      <xdr:row>18</xdr:row>
      <xdr:rowOff>79375</xdr:rowOff>
    </xdr:to>
    <xdr:graphicFrame macro="">
      <xdr:nvGraphicFramePr>
        <xdr:cNvPr id="164" name="Chart 20">
          <a:extLst>
            <a:ext uri="{FF2B5EF4-FFF2-40B4-BE49-F238E27FC236}">
              <a16:creationId xmlns:a16="http://schemas.microsoft.com/office/drawing/2014/main" id="{F00B4AE3-6CDB-F865-39F0-B09191FB6F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85726</xdr:colOff>
      <xdr:row>0</xdr:row>
      <xdr:rowOff>144781</xdr:rowOff>
    </xdr:from>
    <xdr:to>
      <xdr:col>10</xdr:col>
      <xdr:colOff>706756</xdr:colOff>
      <xdr:row>15</xdr:row>
      <xdr:rowOff>56029</xdr:rowOff>
    </xdr:to>
    <xdr:graphicFrame macro="">
      <xdr:nvGraphicFramePr>
        <xdr:cNvPr id="5" name="Chart 20">
          <a:extLst>
            <a:ext uri="{FF2B5EF4-FFF2-40B4-BE49-F238E27FC236}">
              <a16:creationId xmlns:a16="http://schemas.microsoft.com/office/drawing/2014/main" id="{A00D6174-ABE2-4C34-9081-C91F382F81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Gage Pickford" id="{BB860D2A-75EB-4307-8813-5E85445DE238}" userId="gage@burnhamrng.com" providerId="PeoplePicker"/>
  <person displayName="Mark Palmquist" id="{5FCE1018-E686-4C1B-AF23-2B6069279499}" userId="S::mark@burnhamrng.com::c54e7941-fbb9-4dfc-88c1-10dd5777cebd"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811EDD33-1FC3-4C16-B9D6-A3C50FD9551A}" autoFormatId="16" applyNumberFormats="0" applyBorderFormats="0" applyFontFormats="0" applyPatternFormats="0" applyAlignmentFormats="0" applyWidthHeightFormats="0">
  <queryTableRefresh nextId="3">
    <queryTableFields count="2">
      <queryTableField id="1" name="Date" tableColumnId="1"/>
      <queryTableField id="2" name="Value"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4" xr16:uid="{E7004FA7-2F2A-4080-B17D-EAFD9F023F09}" autoFormatId="16" applyNumberFormats="0" applyBorderFormats="0" applyFontFormats="0" applyPatternFormats="0" applyAlignmentFormats="0" applyWidthHeightFormats="0">
  <queryTableRefresh nextId="3">
    <queryTableFields count="2">
      <queryTableField id="1" name="Date" tableColumnId="1"/>
      <queryTableField id="2" name="Value"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1" xr16:uid="{5A42EF1E-5AE9-4061-BDE8-16948AEF6B55}" autoFormatId="16" applyNumberFormats="0" applyBorderFormats="0" applyFontFormats="0" applyPatternFormats="0" applyAlignmentFormats="0" applyWidthHeightFormats="0">
  <queryTableRefresh nextId="9">
    <queryTableFields count="8">
      <queryTableField id="1" name="Calendar" tableColumnId="1"/>
      <queryTableField id="2" name="GMT" tableColumnId="2"/>
      <queryTableField id="3" name="Reference" tableColumnId="3"/>
      <queryTableField id="4" name="Reference_1" tableColumnId="4"/>
      <queryTableField id="5" name="Actual" tableColumnId="5"/>
      <queryTableField id="6" name="Previous" tableColumnId="6"/>
      <queryTableField id="7" name="Consensus" tableColumnId="7"/>
      <queryTableField id="8" name="TEForecast" tableColumnId="8"/>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connectionId="2" xr16:uid="{8347021C-F73E-4EAD-8DF3-8985A0355974}" autoFormatId="16" applyNumberFormats="0" applyBorderFormats="0" applyFontFormats="0" applyPatternFormats="0" applyAlignmentFormats="0" applyWidthHeightFormats="0">
  <queryTableRefresh nextId="4">
    <queryTableFields count="3">
      <queryTableField id="1" name="Column1" tableColumnId="1"/>
      <queryTableField id="2" name="Column2" tableColumnId="2"/>
      <queryTableField id="3" name="Column3" tableColumnId="3"/>
    </queryTableFields>
  </queryTableRefresh>
</queryTable>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4">
  <rv s="0">
    <v>0</v>
    <v>5</v>
  </rv>
  <rv s="0">
    <v>1</v>
    <v>5</v>
  </rv>
  <rv s="0">
    <v>2</v>
    <v>5</v>
  </rv>
  <rv s="0">
    <v>3</v>
    <v>5</v>
  </rv>
  <rv s="0">
    <v>4</v>
    <v>5</v>
  </rv>
  <rv s="0">
    <v>5</v>
    <v>5</v>
  </rv>
  <rv s="0">
    <v>6</v>
    <v>5</v>
  </rv>
  <rv s="0">
    <v>7</v>
    <v>5</v>
  </rv>
  <rv s="0">
    <v>8</v>
    <v>5</v>
  </rv>
  <rv s="0">
    <v>9</v>
    <v>5</v>
  </rv>
  <rv s="0">
    <v>10</v>
    <v>5</v>
  </rv>
  <rv s="0">
    <v>11</v>
    <v>5</v>
  </rv>
  <rv s="0">
    <v>12</v>
    <v>5</v>
  </rv>
  <rv s="0">
    <v>13</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ichValueRel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98B1F50-5010-4F6D-A0E3-BB9C9E0748E4}" name="Table1" displayName="Table1" ref="K3:W21" totalsRowShown="0" headerRowDxfId="85" dataDxfId="84" tableBorderDxfId="83" dataCellStyle="Normal 2">
  <autoFilter ref="K3:W21" xr:uid="{F98B1F50-5010-4F6D-A0E3-BB9C9E0748E4}"/>
  <tableColumns count="13">
    <tableColumn id="1" xr3:uid="{42CA462F-9C37-4082-83ED-B47B520C7751}" name="Year" dataDxfId="82" dataCellStyle="Normal 2"/>
    <tableColumn id="2" xr3:uid="{89AC4FEB-D17C-4A7A-8216-EFD99DD53A57}" name="Jan" dataDxfId="81" dataCellStyle="Normal 2"/>
    <tableColumn id="3" xr3:uid="{9FFCC6DE-0F50-4AD0-9A46-B998EF4D816E}" name="Feb" dataDxfId="80" dataCellStyle="Normal 2"/>
    <tableColumn id="4" xr3:uid="{D13FE725-2B10-470D-A42F-E071493EED69}" name="Mar" dataDxfId="79" dataCellStyle="Normal 2"/>
    <tableColumn id="5" xr3:uid="{74BACD52-1CBD-4B0B-907F-1A0528F1A6F8}" name="Apr" dataDxfId="78" dataCellStyle="Normal 2"/>
    <tableColumn id="6" xr3:uid="{2EF01555-8AB0-45D0-96AD-AF90D0B3C9DC}" name="May" dataDxfId="77" dataCellStyle="Normal 2"/>
    <tableColumn id="7" xr3:uid="{33FA3384-3E3F-4582-A70E-501BE33509C9}" name="Jun" dataDxfId="76" dataCellStyle="Normal 2"/>
    <tableColumn id="8" xr3:uid="{44DCDD92-9853-4F63-9FD2-52002055B99C}" name="Jul" dataDxfId="75" dataCellStyle="Normal 2"/>
    <tableColumn id="9" xr3:uid="{103247DA-4C43-49ED-9F70-364193BF2EF6}" name="Aug" dataDxfId="74" dataCellStyle="Normal 2"/>
    <tableColumn id="10" xr3:uid="{3D965BFE-23A2-4C6A-848F-079A01A57C87}" name="Sep" dataDxfId="73" dataCellStyle="Normal 2"/>
    <tableColumn id="11" xr3:uid="{71BC763D-1E17-4ACF-91AC-B10D62CEA398}" name="Oct" dataDxfId="72" dataCellStyle="Normal 2"/>
    <tableColumn id="12" xr3:uid="{735EA590-CBA4-4E6F-B36B-2B7BD5536A30}" name="Nov" dataDxfId="71" dataCellStyle="Normal 2"/>
    <tableColumn id="13" xr3:uid="{C6DA955A-EC36-44C2-BB2B-C85FFFDA9318}" name="Dec" dataDxfId="70" dataCellStyle="Normal 2"/>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4C6760E-B33C-4EF9-ABDE-726CF0CD101D}" name="Table1_1" displayName="Table1_1" ref="K25:L209" tableType="queryTable" totalsRowShown="0">
  <autoFilter ref="K25:L209" xr:uid="{E4C6760E-B33C-4EF9-ABDE-726CF0CD101D}"/>
  <tableColumns count="2">
    <tableColumn id="1" xr3:uid="{941A2BFE-EE46-483F-BD67-B5844CACA67C}" uniqueName="1" name="Date" queryTableFieldId="1" dataDxfId="69"/>
    <tableColumn id="2" xr3:uid="{1B978572-9E3C-4DE3-A2F2-B5BA13A7C420}" uniqueName="2" name="Value" queryTableFieldId="2" dataDxfId="68" dataCellStyle="Normal 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4FE8703-A4DB-4B07-A7BF-5320A61B140A}" name="Table4_1" displayName="Table4_1" ref="M25:N219" tableType="queryTable" totalsRowShown="0" headerRowDxfId="67" dataDxfId="66" headerRowCellStyle="Normal 2">
  <autoFilter ref="M25:N219" xr:uid="{B4FE8703-A4DB-4B07-A7BF-5320A61B140A}"/>
  <tableColumns count="2">
    <tableColumn id="1" xr3:uid="{F271C642-9ABF-4394-919D-2442F02E1BCC}" uniqueName="1" name="Date" queryTableFieldId="1" dataDxfId="65"/>
    <tableColumn id="2" xr3:uid="{D6858722-CBFC-45E8-BEF8-9169ABD74AE9}" uniqueName="2" name="Value" queryTableFieldId="2" dataDxfId="64"/>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9E63AE9-F2F6-463C-ABFB-6BE79F1B2BEA}" name="Table4" displayName="Table4" ref="Y3:AK21" totalsRowShown="0" headerRowDxfId="63" dataDxfId="62" tableBorderDxfId="61" dataCellStyle="Normal 2">
  <autoFilter ref="Y3:AK21" xr:uid="{59E63AE9-F2F6-463C-ABFB-6BE79F1B2BEA}"/>
  <tableColumns count="13">
    <tableColumn id="1" xr3:uid="{80017F0E-2DC0-4694-BF72-0A6A1513638B}" name="Year" dataDxfId="60" dataCellStyle="Normal 2"/>
    <tableColumn id="2" xr3:uid="{887B1120-F223-4BE2-848C-AD2B5C7F6D53}" name="Jan" dataDxfId="59" dataCellStyle="Normal 2"/>
    <tableColumn id="3" xr3:uid="{6D9D8E7E-6DAD-48EE-98D9-1FFA9C45D7A3}" name="Feb" dataDxfId="58" dataCellStyle="Normal 2"/>
    <tableColumn id="4" xr3:uid="{A607A534-C878-407A-8661-BD59B90803F5}" name="Mar" dataDxfId="57" dataCellStyle="Normal 2"/>
    <tableColumn id="5" xr3:uid="{4CADF681-922A-496D-86B5-CB0424040BEB}" name="Apr" dataDxfId="56" dataCellStyle="Normal 2"/>
    <tableColumn id="6" xr3:uid="{D8B9F3A6-4651-4C48-A1A9-ABD0147D6B35}" name="May" dataDxfId="55" dataCellStyle="Normal 2"/>
    <tableColumn id="7" xr3:uid="{95ED7F4A-713A-42EB-8943-4B5AB9FE1EEB}" name="Jun" dataDxfId="54" dataCellStyle="Normal 2"/>
    <tableColumn id="8" xr3:uid="{7E127760-0312-4CB4-B346-2B4DA4B073DE}" name="Jul" dataDxfId="53" dataCellStyle="Normal 2"/>
    <tableColumn id="9" xr3:uid="{0108DECF-F6B9-47E3-A7AD-0015C8DCDE1F}" name="Aug" dataDxfId="52" dataCellStyle="Normal 2"/>
    <tableColumn id="10" xr3:uid="{63682263-F081-40FB-8425-C1C63D8426DA}" name="Sep" dataDxfId="51" dataCellStyle="Normal 2"/>
    <tableColumn id="11" xr3:uid="{415EBC12-F292-4E6E-9F32-63ECDF05403C}" name="Oct" dataDxfId="50" dataCellStyle="Normal 2"/>
    <tableColumn id="12" xr3:uid="{434314F6-ED76-494B-AA4B-8D8718BF6338}" name="Nov" dataDxfId="49" dataCellStyle="Normal 2"/>
    <tableColumn id="13" xr3:uid="{188E8BE7-9296-45E0-A864-FF2C3BEC9AF0}" name="Dec" dataDxfId="48" dataCellStyle="Normal 2"/>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C8B2428-6550-463D-B7BD-93855900E9A1}" name="Table_1" displayName="Table_1" ref="P49:W52" tableType="queryTable" totalsRowShown="0">
  <autoFilter ref="P49:W52" xr:uid="{0C8B2428-6550-463D-B7BD-93855900E9A1}"/>
  <tableColumns count="8">
    <tableColumn id="1" xr3:uid="{5CF4B6CF-5CE9-4BDF-9FD2-E16819A8D271}" uniqueName="1" name="Calendar" queryTableFieldId="1" dataDxfId="47"/>
    <tableColumn id="2" xr3:uid="{B035C52B-8B9A-44FA-8C18-D5B40A54B91B}" uniqueName="2" name="GMT" queryTableFieldId="2" dataDxfId="46"/>
    <tableColumn id="3" xr3:uid="{7F5C62CD-0D03-4DCB-96EE-FB0FEDD82934}" uniqueName="3" name="Reference" queryTableFieldId="3" dataDxfId="45"/>
    <tableColumn id="4" xr3:uid="{7E1C713D-342A-4C7B-9F17-C8CB752B79A9}" uniqueName="4" name="Reference_1" queryTableFieldId="4" dataDxfId="44"/>
    <tableColumn id="5" xr3:uid="{04C6B712-332E-4BB1-AADB-8FA2BCFAA749}" uniqueName="5" name="Actual" queryTableFieldId="5"/>
    <tableColumn id="6" xr3:uid="{B914CB44-44ED-4533-928D-5CABFE63241B}" uniqueName="6" name="Previous" queryTableFieldId="6"/>
    <tableColumn id="7" xr3:uid="{A7648839-8D39-4248-AEC1-A53E63C203AF}" uniqueName="7" name="Consensus" queryTableFieldId="7"/>
    <tableColumn id="8" xr3:uid="{03FE86E9-AC87-47A8-B6A0-0FC9B6CA94EE}" uniqueName="8" name="TEForecast" queryTableFieldId="8"/>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19A307F-BEA6-48D5-8F41-812B426575CC}" name="Table_1__2" displayName="Table_1__2" ref="P54:R60" tableType="queryTable" totalsRowShown="0">
  <autoFilter ref="P54:R60" xr:uid="{619A307F-BEA6-48D5-8F41-812B426575CC}"/>
  <tableColumns count="3">
    <tableColumn id="1" xr3:uid="{18CEFCAC-2A5B-44E3-B234-C4B840E076C2}" uniqueName="1" name="Column1" queryTableFieldId="1" dataDxfId="43"/>
    <tableColumn id="2" xr3:uid="{2508D3C8-063A-4E50-9679-3886C3CE388F}" uniqueName="2" name="Column2" queryTableFieldId="2" dataDxfId="42"/>
    <tableColumn id="3" xr3:uid="{E14732BF-25A1-452B-8231-8DCC2D8432C7}" uniqueName="3" name="Column3" queryTableFieldId="3" dataDxfId="4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N26" dT="2025-03-06T18:51:33.83" personId="{5FCE1018-E686-4C1B-AF23-2B6069279499}" id="{B1202F90-84CD-4E65-BC94-AE148250C1D4}">
    <text>@Gage Pickford can we link the estimates</text>
    <mentions>
      <mention mentionpersonId="{BB860D2A-75EB-4307-8813-5E85445DE238}" mentionId="{69ECF727-4C37-466E-B760-EE97C8DFE69A}" startIndex="0" length="14"/>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M26" dT="2025-03-06T18:51:33.83" personId="{5FCE1018-E686-4C1B-AF23-2B6069279499}" id="{CD88BBCC-3443-49CC-A693-0A1A115AD924}">
    <text>@Gage Pickford can we link the estimates</text>
    <mentions>
      <mention mentionpersonId="{BB860D2A-75EB-4307-8813-5E85445DE238}" mentionId="{19331E6B-FD00-4B0A-A50E-7B01656AD988}" startIndex="0" length="14"/>
    </mentions>
  </threadedComment>
</ThreadedComments>
</file>

<file path=xl/worksheets/_rels/sheet5.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_rels/sheet7.xml.rels><?xml version="1.0" encoding="UTF-8" standalone="yes"?>
<Relationships xmlns="http://schemas.openxmlformats.org/package/2006/relationships"><Relationship Id="rId2" Type="http://schemas.openxmlformats.org/officeDocument/2006/relationships/hyperlink" Target="../../../../../../../../:b:/r/sites/Corp/Shared%20Documents/3.%20Ops%20%26%20Admin/16.%20Engr%20and%20Ops/20.%20Plant%20Equipment%20and%20Suppliers/2.4%20GUU%20-%20Gas%20Upgrading%20Units/3%20-%20Prodeval/AF005179_QU00000130_R02_BURNHAM_AllenBradley.pdf?csf=1&amp;web=1&amp;e=1iDywh" TargetMode="External"/><Relationship Id="rId1" Type="http://schemas.openxmlformats.org/officeDocument/2006/relationships/hyperlink" Target="../../../../../../../../:b:/r/sites/Corp/Shared%20Documents/3.%20Ops%20%26%20Admin/16.%20Engr%20and%20Ops/20.%20Plant%20Equipment%20and%20Suppliers/2.4%20GUU%20-%20Gas%20Upgrading%20Units/3%20-%20Prodeval/MPA/MPA_Prodeval%20Corp._Burnham%20RNG%20LLC_8.13.2024_Executed.pdf?csf=1&amp;web=1&amp;e=BdUnOz"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b:/r/sites/Corp/Shared%20Documents/4.%20Projects%20%26%20Key%20Partners/Acquisitions/Persimmon/09%20EPC/22_Procurement/6_Flare/2025-05253RA-01%20R1.pdf?csf=1&amp;web=1&amp;e=P94dVd" TargetMode="External"/><Relationship Id="rId2" Type="http://schemas.openxmlformats.org/officeDocument/2006/relationships/hyperlink" Target="../../../../../../../../:b:/r/sites/Corp/Shared%20Documents/4.%20Projects%20%26%20Key%20Partners/Greenfield/WWTP/South/Nashville/09%20EPC/22_Procurement/4_Zeeco_Flare/2025-06874RA-01%20R1.pdf?csf=1&amp;web=1&amp;e=M1dslV" TargetMode="External"/><Relationship Id="rId1" Type="http://schemas.openxmlformats.org/officeDocument/2006/relationships/hyperlink" Target="../../../../../../../../:b:/r/sites/Corp/Shared%20Documents/3.%20Ops%20%26%20Admin/16.%20Engr%20and%20Ops/20.%20Plant%20Equipment%20and%20Suppliers/2.6%20Flare/Zeeco%20budgetary%20proposal.pdf?csf=1&amp;web=1&amp;e=BllSWo"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f:/r/sites/Corp/Shared%20Documents/3.%20Ops%20%26%20Admin/16.%20Engr%20and%20Ops/20.%20Plant%20Equipment%20and%20Suppliers/2.5%20Compressors?csf=1&amp;web=1&amp;e=1lHxO8"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b:/r/sites/Corp/Shared%20Documents/3.%20Ops%20%26%20Admin/16.%20Engr%20and%20Ops/20.%20Plant%20Equipment%20and%20Suppliers/2.7%20Chromatograph/22037004-026%20RKA%20POA.pdf?csf=1&amp;web=1&amp;e=BFr4K9" TargetMode="External"/></Relationships>
</file>

<file path=xl/worksheets/_rels/sheet18.xml.rels><?xml version="1.0" encoding="UTF-8" standalone="yes"?>
<Relationships xmlns="http://schemas.openxmlformats.org/package/2006/relationships"><Relationship Id="rId8" Type="http://schemas.openxmlformats.org/officeDocument/2006/relationships/table" Target="../tables/table6.xml"/><Relationship Id="rId3" Type="http://schemas.openxmlformats.org/officeDocument/2006/relationships/table" Target="../tables/table1.xml"/><Relationship Id="rId7" Type="http://schemas.openxmlformats.org/officeDocument/2006/relationships/table" Target="../tables/table5.xml"/><Relationship Id="rId2" Type="http://schemas.openxmlformats.org/officeDocument/2006/relationships/drawing" Target="../drawings/drawing2.xml"/><Relationship Id="rId1" Type="http://schemas.openxmlformats.org/officeDocument/2006/relationships/printerSettings" Target="../printerSettings/printerSettings3.bin"/><Relationship Id="rId6" Type="http://schemas.openxmlformats.org/officeDocument/2006/relationships/table" Target="../tables/table4.xml"/><Relationship Id="rId5" Type="http://schemas.openxmlformats.org/officeDocument/2006/relationships/table" Target="../tables/table3.xml"/><Relationship Id="rId4" Type="http://schemas.openxmlformats.org/officeDocument/2006/relationships/table" Target="../tables/table2.xml"/></Relationships>
</file>

<file path=xl/worksheets/_rels/sheet19.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hyperlink" Target="../../../../../../../../:b:/r/sites/Corp/Shared%20Documents/3.%20Ops%20%26%20Admin/16.%20Engr%20and%20Ops/6.%20Const%20and%20Engr%20Partners/Construction%20Quotes/CROWDER%20proposal.PDF?csf=1&amp;web=1&amp;e=x77z1n" TargetMode="External"/><Relationship Id="rId7" Type="http://schemas.openxmlformats.org/officeDocument/2006/relationships/vmlDrawing" Target="../drawings/vmlDrawing2.vml"/><Relationship Id="rId2" Type="http://schemas.openxmlformats.org/officeDocument/2006/relationships/hyperlink" Target="../../../../../../../../:x:/r/sites/Corp/Shared%20Documents/3.%20Ops%20%26%20Admin/16.%20Engr%20and%20Ops/6.%20Const%20and%20Engr%20Partners/Construction%20Quotes/T%20Diamond%20Bar%20Bid%20Breakdown%20R1.xlsx?d=wdc7308a1387741fc899b4269a4b0aa8f&amp;csf=1&amp;web=1&amp;e=2oNC1H" TargetMode="External"/><Relationship Id="rId1" Type="http://schemas.openxmlformats.org/officeDocument/2006/relationships/hyperlink" Target="../../../../../../../../:b:/r/sites/Corp/Shared%20Documents/3.%20Ops%20%26%20Admin/16.%20Engr%20and%20Ops/6.%20Const%20and%20Engr%20Partners/Construction%20Quotes/Burnham%20Milton%20Estimate_12%2011%202024_Detailed%20SOV.pdf?csf=1&amp;web=1&amp;e=eWQSRy" TargetMode="External"/><Relationship Id="rId6" Type="http://schemas.openxmlformats.org/officeDocument/2006/relationships/drawing" Target="../drawings/drawing3.xml"/><Relationship Id="rId5" Type="http://schemas.openxmlformats.org/officeDocument/2006/relationships/hyperlink" Target="../../../../../../../../:b:/r/sites/Corp/Shared%20Documents/3.%20Ops%20%26%20Admin/16.%20Engr%20and%20Ops/6.%20Const%20and%20Engr%20Partners/Construction%20Quotes/Burnham%20Peoria%2030p%20estimate.pdf?csf=1&amp;web=1&amp;e=arYjvX" TargetMode="External"/><Relationship Id="rId4" Type="http://schemas.openxmlformats.org/officeDocument/2006/relationships/hyperlink" Target="../../../../../../../../:x:/r/sites/Corp/Shared%20Documents/3.%20Ops%20%26%20Admin/16.%20Engr%20and%20Ops/6.%20Const%20and%20Engr%20Partners/Construction%20Quotes/Burnham_Pryor%20OK%20RNG%20ROM%20R3.xlsm?d=w623162cffd64401eb2659e16263aef3f&amp;csf=1&amp;web=1&amp;e=JvyrhN" TargetMode="External"/><Relationship Id="rId9" Type="http://schemas.microsoft.com/office/2017/10/relationships/threadedComment" Target="../threadedComments/threadedComment1.xml"/></Relationships>
</file>

<file path=xl/worksheets/_rels/sheet20.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drawing" Target="../drawings/drawing4.xml"/><Relationship Id="rId4" Type="http://schemas.microsoft.com/office/2017/10/relationships/threadedComment" Target="../threadedComments/threadedComment2.xm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EB3BB-EE2C-4856-A72F-F09035F59761}">
  <sheetPr codeName="Sheet3"/>
  <dimension ref="B2:I35"/>
  <sheetViews>
    <sheetView workbookViewId="0">
      <selection activeCell="E4" sqref="E4:E25"/>
    </sheetView>
  </sheetViews>
  <sheetFormatPr defaultRowHeight="15" x14ac:dyDescent="0.25"/>
  <cols>
    <col min="2" max="2" width="29.42578125" bestFit="1" customWidth="1"/>
    <col min="4" max="4" width="44.42578125" bestFit="1" customWidth="1"/>
    <col min="5" max="5" width="16.140625" style="1" customWidth="1"/>
    <col min="6" max="6" width="48.140625" bestFit="1" customWidth="1"/>
    <col min="7" max="7" width="33.7109375" customWidth="1"/>
    <col min="8" max="8" width="14.42578125" customWidth="1"/>
    <col min="9" max="9" width="11.85546875" style="1" bestFit="1" customWidth="1"/>
  </cols>
  <sheetData>
    <row r="2" spans="2:9" ht="21.75" thickBot="1" x14ac:dyDescent="0.4">
      <c r="B2" s="410" t="s">
        <v>0</v>
      </c>
      <c r="C2" s="411"/>
      <c r="D2" s="19" t="s">
        <v>1</v>
      </c>
      <c r="E2" s="20" t="s">
        <v>2</v>
      </c>
      <c r="F2" s="21" t="s">
        <v>3</v>
      </c>
      <c r="H2" t="s">
        <v>4</v>
      </c>
    </row>
    <row r="3" spans="2:9" ht="15.75" thickBot="1" x14ac:dyDescent="0.3">
      <c r="B3" s="412" t="s">
        <v>5</v>
      </c>
      <c r="C3" s="413"/>
      <c r="D3" s="25" t="s">
        <v>6</v>
      </c>
      <c r="E3" s="26"/>
      <c r="F3" s="27"/>
    </row>
    <row r="4" spans="2:9" ht="15.75" x14ac:dyDescent="0.25">
      <c r="B4" s="5"/>
      <c r="D4" s="10" t="s">
        <v>7</v>
      </c>
      <c r="E4" s="2">
        <v>550000</v>
      </c>
      <c r="F4" s="11"/>
      <c r="H4" t="s">
        <v>8</v>
      </c>
      <c r="I4" s="1">
        <v>65000</v>
      </c>
    </row>
    <row r="5" spans="2:9" ht="15.75" x14ac:dyDescent="0.25">
      <c r="B5" s="5"/>
      <c r="D5" s="10" t="s">
        <v>9</v>
      </c>
      <c r="E5" s="2">
        <v>140000</v>
      </c>
      <c r="F5" s="11"/>
      <c r="H5" t="s">
        <v>10</v>
      </c>
      <c r="I5" s="1">
        <v>250000</v>
      </c>
    </row>
    <row r="6" spans="2:9" ht="15.75" x14ac:dyDescent="0.25">
      <c r="B6" s="5"/>
      <c r="D6" s="10" t="s">
        <v>11</v>
      </c>
      <c r="E6" s="2">
        <v>120000</v>
      </c>
      <c r="F6" s="11"/>
      <c r="H6" t="s">
        <v>12</v>
      </c>
      <c r="I6" s="1">
        <v>500000</v>
      </c>
    </row>
    <row r="7" spans="2:9" ht="15.75" x14ac:dyDescent="0.25">
      <c r="B7" s="5"/>
      <c r="D7" s="10" t="s">
        <v>13</v>
      </c>
      <c r="E7" s="2">
        <v>70000</v>
      </c>
      <c r="F7" s="11"/>
    </row>
    <row r="8" spans="2:9" ht="15.75" x14ac:dyDescent="0.25">
      <c r="B8" s="5"/>
      <c r="D8" s="10" t="s">
        <v>14</v>
      </c>
      <c r="E8" s="2">
        <v>7500</v>
      </c>
      <c r="F8" s="11"/>
    </row>
    <row r="9" spans="2:9" ht="15.75" x14ac:dyDescent="0.25">
      <c r="B9" s="5"/>
      <c r="D9" s="10" t="s">
        <v>15</v>
      </c>
      <c r="E9" s="2">
        <v>5000</v>
      </c>
      <c r="F9" s="11"/>
    </row>
    <row r="10" spans="2:9" ht="15.75" x14ac:dyDescent="0.25">
      <c r="B10" s="5"/>
      <c r="D10" s="10" t="s">
        <v>16</v>
      </c>
      <c r="E10" s="2">
        <v>90000</v>
      </c>
      <c r="F10" s="11"/>
    </row>
    <row r="11" spans="2:9" ht="15.75" x14ac:dyDescent="0.25">
      <c r="B11" s="5"/>
      <c r="D11" s="10" t="s">
        <v>17</v>
      </c>
      <c r="E11" s="2">
        <v>50000</v>
      </c>
      <c r="F11" s="11"/>
      <c r="I11" s="1">
        <f>SUM(I4:I6)</f>
        <v>815000</v>
      </c>
    </row>
    <row r="12" spans="2:9" ht="15.75" x14ac:dyDescent="0.25">
      <c r="B12" s="5"/>
      <c r="D12" s="10" t="s">
        <v>18</v>
      </c>
      <c r="E12" s="2">
        <v>10000</v>
      </c>
      <c r="F12" s="11"/>
    </row>
    <row r="13" spans="2:9" ht="15.75" x14ac:dyDescent="0.25">
      <c r="B13" s="6"/>
      <c r="D13" s="10" t="s">
        <v>19</v>
      </c>
      <c r="E13" s="2">
        <v>1900000</v>
      </c>
      <c r="F13" s="11" t="s">
        <v>20</v>
      </c>
    </row>
    <row r="14" spans="2:9" ht="15.75" x14ac:dyDescent="0.25">
      <c r="B14" s="6"/>
      <c r="D14" s="10" t="s">
        <v>21</v>
      </c>
      <c r="E14" s="2">
        <v>130000</v>
      </c>
      <c r="F14" s="11"/>
    </row>
    <row r="15" spans="2:9" ht="15.75" x14ac:dyDescent="0.25">
      <c r="B15" s="6"/>
      <c r="D15" s="10" t="s">
        <v>22</v>
      </c>
      <c r="E15" s="2">
        <v>115000</v>
      </c>
      <c r="F15" s="11" t="s">
        <v>23</v>
      </c>
    </row>
    <row r="16" spans="2:9" ht="15.75" x14ac:dyDescent="0.25">
      <c r="B16" s="6"/>
      <c r="D16" s="10" t="s">
        <v>24</v>
      </c>
      <c r="E16" s="2">
        <v>415000</v>
      </c>
      <c r="F16" s="11"/>
    </row>
    <row r="17" spans="2:7" ht="15.75" x14ac:dyDescent="0.25">
      <c r="B17" s="6"/>
      <c r="D17" s="10" t="s">
        <v>25</v>
      </c>
      <c r="E17" s="2">
        <v>1200000</v>
      </c>
      <c r="F17" s="11"/>
      <c r="G17">
        <f>E4/E25</f>
        <v>9.2056757175196569E-2</v>
      </c>
    </row>
    <row r="18" spans="2:7" ht="15.75" x14ac:dyDescent="0.25">
      <c r="B18" s="6"/>
      <c r="D18" s="10" t="s">
        <v>26</v>
      </c>
      <c r="E18" s="2">
        <v>380000</v>
      </c>
      <c r="F18" s="11"/>
    </row>
    <row r="19" spans="2:7" ht="15.75" x14ac:dyDescent="0.25">
      <c r="B19" s="7"/>
      <c r="D19" s="10" t="s">
        <v>27</v>
      </c>
      <c r="E19" s="2">
        <v>100000</v>
      </c>
      <c r="F19" s="11"/>
    </row>
    <row r="20" spans="2:7" ht="15.75" x14ac:dyDescent="0.25">
      <c r="B20" s="8"/>
      <c r="D20" s="10" t="s">
        <v>28</v>
      </c>
      <c r="E20" s="2">
        <v>100000</v>
      </c>
      <c r="F20" s="11" t="s">
        <v>29</v>
      </c>
    </row>
    <row r="21" spans="2:7" ht="15.75" x14ac:dyDescent="0.25">
      <c r="B21" s="6"/>
      <c r="D21" s="10" t="s">
        <v>28</v>
      </c>
      <c r="E21" s="2"/>
      <c r="F21" s="11"/>
    </row>
    <row r="22" spans="2:7" ht="15.75" x14ac:dyDescent="0.25">
      <c r="B22" s="6"/>
      <c r="D22" s="10" t="s">
        <v>30</v>
      </c>
      <c r="E22" s="2"/>
      <c r="F22" s="11"/>
    </row>
    <row r="23" spans="2:7" ht="15.75" x14ac:dyDescent="0.25">
      <c r="B23" s="6"/>
      <c r="D23" s="10" t="s">
        <v>31</v>
      </c>
      <c r="E23" s="2">
        <f>SUM(E4:E22)*0.03</f>
        <v>161475</v>
      </c>
      <c r="F23" s="11" t="s">
        <v>32</v>
      </c>
    </row>
    <row r="24" spans="2:7" ht="15.75" x14ac:dyDescent="0.25">
      <c r="B24" s="6"/>
      <c r="D24" s="10" t="s">
        <v>33</v>
      </c>
      <c r="E24" s="2">
        <f>SUM(E4:E22)*0.08</f>
        <v>430600</v>
      </c>
      <c r="F24" s="11" t="s">
        <v>34</v>
      </c>
    </row>
    <row r="25" spans="2:7" ht="15.75" x14ac:dyDescent="0.25">
      <c r="B25" s="6"/>
      <c r="D25" s="15" t="s">
        <v>35</v>
      </c>
      <c r="E25" s="2">
        <f>SUM(E4:E24)</f>
        <v>5974575</v>
      </c>
      <c r="F25" s="11"/>
    </row>
    <row r="26" spans="2:7" ht="15.75" x14ac:dyDescent="0.25">
      <c r="B26" s="6"/>
      <c r="D26" s="25" t="s">
        <v>36</v>
      </c>
      <c r="E26" s="26"/>
      <c r="F26" s="27"/>
    </row>
    <row r="27" spans="2:7" ht="15.75" x14ac:dyDescent="0.25">
      <c r="B27" s="6"/>
      <c r="D27" s="10" t="s">
        <v>37</v>
      </c>
      <c r="E27" s="2">
        <v>1600000</v>
      </c>
      <c r="F27" s="11"/>
    </row>
    <row r="28" spans="2:7" x14ac:dyDescent="0.25">
      <c r="B28" s="9"/>
      <c r="D28" s="10" t="s">
        <v>38</v>
      </c>
      <c r="E28" s="2">
        <v>300000</v>
      </c>
      <c r="F28" s="11"/>
    </row>
    <row r="29" spans="2:7" x14ac:dyDescent="0.25">
      <c r="B29" s="9"/>
      <c r="D29" s="10" t="s">
        <v>39</v>
      </c>
      <c r="E29" s="2">
        <v>60000</v>
      </c>
      <c r="F29" s="11"/>
    </row>
    <row r="30" spans="2:7" x14ac:dyDescent="0.25">
      <c r="D30" s="14" t="s">
        <v>40</v>
      </c>
      <c r="E30" s="2">
        <f>SUM(E27:E29)</f>
        <v>1960000</v>
      </c>
      <c r="F30" s="11"/>
    </row>
    <row r="31" spans="2:7" x14ac:dyDescent="0.25">
      <c r="D31" s="25" t="s">
        <v>41</v>
      </c>
      <c r="E31" s="26"/>
      <c r="F31" s="27"/>
    </row>
    <row r="32" spans="2:7" x14ac:dyDescent="0.25">
      <c r="D32" s="10" t="s">
        <v>42</v>
      </c>
      <c r="E32" s="2">
        <v>50000</v>
      </c>
      <c r="F32" s="11"/>
    </row>
    <row r="33" spans="4:6" x14ac:dyDescent="0.25">
      <c r="D33" s="13" t="s">
        <v>43</v>
      </c>
      <c r="E33" s="2">
        <v>50000</v>
      </c>
      <c r="F33" s="11"/>
    </row>
    <row r="34" spans="4:6" x14ac:dyDescent="0.25">
      <c r="D34" s="414" t="s">
        <v>44</v>
      </c>
      <c r="E34" s="415"/>
      <c r="F34" s="416"/>
    </row>
    <row r="35" spans="4:6" ht="15.75" thickBot="1" x14ac:dyDescent="0.3">
      <c r="D35" s="16" t="s">
        <v>45</v>
      </c>
      <c r="E35" s="17" t="e">
        <f>SUM(E33,E30,E25,#REF!,#REF!)</f>
        <v>#REF!</v>
      </c>
      <c r="F35" s="18"/>
    </row>
  </sheetData>
  <mergeCells count="3">
    <mergeCell ref="B2:C2"/>
    <mergeCell ref="B3:C3"/>
    <mergeCell ref="D34:F3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78BC9B-8767-4D8C-AD09-0458CCC0D05B}">
  <sheetPr codeName="Sheet4"/>
  <dimension ref="B2:I48"/>
  <sheetViews>
    <sheetView topLeftCell="B1" workbookViewId="0">
      <selection activeCell="E4" sqref="E4:E25"/>
    </sheetView>
  </sheetViews>
  <sheetFormatPr defaultRowHeight="15" x14ac:dyDescent="0.25"/>
  <cols>
    <col min="2" max="2" width="29.42578125" bestFit="1" customWidth="1"/>
    <col min="4" max="4" width="44.42578125" bestFit="1" customWidth="1"/>
    <col min="5" max="5" width="16.140625" style="1" customWidth="1"/>
    <col min="6" max="6" width="48.140625" bestFit="1" customWidth="1"/>
    <col min="7" max="7" width="33.7109375" customWidth="1"/>
    <col min="8" max="8" width="14.42578125" customWidth="1"/>
    <col min="9" max="9" width="11.85546875" style="1" bestFit="1" customWidth="1"/>
  </cols>
  <sheetData>
    <row r="2" spans="2:9" ht="21.75" thickBot="1" x14ac:dyDescent="0.4">
      <c r="B2" s="410" t="s">
        <v>0</v>
      </c>
      <c r="C2" s="411"/>
      <c r="D2" s="19" t="s">
        <v>1</v>
      </c>
      <c r="E2" s="20" t="s">
        <v>2</v>
      </c>
      <c r="F2" s="21" t="s">
        <v>3</v>
      </c>
      <c r="H2" t="s">
        <v>4</v>
      </c>
    </row>
    <row r="3" spans="2:9" ht="15.75" thickBot="1" x14ac:dyDescent="0.3">
      <c r="B3" s="412" t="s">
        <v>46</v>
      </c>
      <c r="C3" s="413"/>
      <c r="D3" s="22" t="s">
        <v>47</v>
      </c>
      <c r="E3" s="23"/>
      <c r="F3" s="24"/>
    </row>
    <row r="4" spans="2:9" ht="15.75" x14ac:dyDescent="0.25">
      <c r="B4" s="5"/>
      <c r="D4" s="10" t="s">
        <v>48</v>
      </c>
      <c r="E4" s="2">
        <v>3600000</v>
      </c>
      <c r="F4" s="11" t="s">
        <v>49</v>
      </c>
      <c r="H4" t="s">
        <v>8</v>
      </c>
      <c r="I4" s="1">
        <v>65000</v>
      </c>
    </row>
    <row r="5" spans="2:9" ht="15.75" x14ac:dyDescent="0.25">
      <c r="B5" s="5"/>
      <c r="D5" s="10" t="s">
        <v>50</v>
      </c>
      <c r="E5" s="2">
        <f>I11*1.06</f>
        <v>863900</v>
      </c>
      <c r="F5" s="11" t="s">
        <v>51</v>
      </c>
      <c r="H5" t="s">
        <v>10</v>
      </c>
      <c r="I5" s="1">
        <v>250000</v>
      </c>
    </row>
    <row r="6" spans="2:9" ht="15.75" x14ac:dyDescent="0.25">
      <c r="B6" s="5"/>
      <c r="D6" s="10" t="s">
        <v>52</v>
      </c>
      <c r="E6" s="2"/>
      <c r="F6" s="12">
        <v>300000</v>
      </c>
      <c r="H6" t="s">
        <v>12</v>
      </c>
      <c r="I6" s="1">
        <v>500000</v>
      </c>
    </row>
    <row r="7" spans="2:9" ht="15.75" x14ac:dyDescent="0.25">
      <c r="B7" s="5"/>
      <c r="D7" s="10" t="s">
        <v>53</v>
      </c>
      <c r="E7" s="2"/>
      <c r="F7" s="11" t="s">
        <v>54</v>
      </c>
    </row>
    <row r="8" spans="2:9" ht="15.75" x14ac:dyDescent="0.25">
      <c r="B8" s="5"/>
      <c r="D8" s="10" t="s">
        <v>53</v>
      </c>
      <c r="E8" s="2"/>
      <c r="F8" s="11"/>
    </row>
    <row r="9" spans="2:9" ht="15.75" x14ac:dyDescent="0.25">
      <c r="B9" s="5"/>
      <c r="D9" s="10" t="s">
        <v>53</v>
      </c>
      <c r="E9" s="2"/>
      <c r="F9" s="11"/>
    </row>
    <row r="10" spans="2:9" ht="15.75" x14ac:dyDescent="0.25">
      <c r="B10" s="5"/>
      <c r="D10" s="10" t="s">
        <v>53</v>
      </c>
      <c r="E10" s="2"/>
      <c r="F10" s="11"/>
    </row>
    <row r="11" spans="2:9" ht="15.75" x14ac:dyDescent="0.25">
      <c r="B11" s="5"/>
      <c r="D11" s="13" t="s">
        <v>55</v>
      </c>
      <c r="E11" s="2">
        <f>SUM(E4:E10)</f>
        <v>4463900</v>
      </c>
      <c r="F11" s="11"/>
      <c r="I11" s="1">
        <f>SUM(I4:I6)</f>
        <v>815000</v>
      </c>
    </row>
    <row r="12" spans="2:9" ht="15.75" x14ac:dyDescent="0.25">
      <c r="B12" s="5"/>
      <c r="D12" s="25" t="s">
        <v>56</v>
      </c>
      <c r="E12" s="26"/>
      <c r="F12" s="27"/>
    </row>
    <row r="13" spans="2:9" ht="15.75" x14ac:dyDescent="0.25">
      <c r="B13" s="6"/>
      <c r="D13" s="10" t="s">
        <v>57</v>
      </c>
      <c r="E13" s="2">
        <f>E38*0.05</f>
        <v>298728.75</v>
      </c>
      <c r="F13" s="11" t="s">
        <v>58</v>
      </c>
    </row>
    <row r="14" spans="2:9" ht="15.75" x14ac:dyDescent="0.25">
      <c r="B14" s="6"/>
      <c r="D14" s="10" t="s">
        <v>59</v>
      </c>
      <c r="E14" s="2"/>
      <c r="F14" s="11"/>
    </row>
    <row r="15" spans="2:9" ht="15.75" x14ac:dyDescent="0.25">
      <c r="B15" s="6"/>
      <c r="D15" s="14" t="s">
        <v>60</v>
      </c>
      <c r="E15" s="2">
        <f>SUM(E13:E14)</f>
        <v>298728.75</v>
      </c>
      <c r="F15" s="11"/>
    </row>
    <row r="16" spans="2:9" ht="15.75" x14ac:dyDescent="0.25">
      <c r="B16" s="6"/>
      <c r="D16" s="25" t="s">
        <v>6</v>
      </c>
      <c r="E16" s="26"/>
      <c r="F16" s="27"/>
    </row>
    <row r="17" spans="2:7" ht="15.75" x14ac:dyDescent="0.25">
      <c r="B17" s="6"/>
      <c r="D17" s="10" t="s">
        <v>7</v>
      </c>
      <c r="E17" s="2">
        <v>550000</v>
      </c>
      <c r="F17" s="11"/>
      <c r="G17">
        <f>E17/E38</f>
        <v>9.2056757175196569E-2</v>
      </c>
    </row>
    <row r="18" spans="2:7" ht="15.75" x14ac:dyDescent="0.25">
      <c r="B18" s="6"/>
      <c r="D18" s="10" t="s">
        <v>9</v>
      </c>
      <c r="E18" s="2">
        <v>140000</v>
      </c>
      <c r="F18" s="11"/>
    </row>
    <row r="19" spans="2:7" ht="15.75" x14ac:dyDescent="0.25">
      <c r="B19" s="7"/>
      <c r="D19" s="10" t="s">
        <v>11</v>
      </c>
      <c r="E19" s="2">
        <v>120000</v>
      </c>
      <c r="F19" s="11"/>
    </row>
    <row r="20" spans="2:7" ht="15.75" x14ac:dyDescent="0.25">
      <c r="B20" s="8"/>
      <c r="D20" s="10" t="s">
        <v>13</v>
      </c>
      <c r="E20" s="2">
        <v>70000</v>
      </c>
      <c r="F20" s="11"/>
    </row>
    <row r="21" spans="2:7" ht="15.75" x14ac:dyDescent="0.25">
      <c r="B21" s="6"/>
      <c r="D21" s="10" t="s">
        <v>14</v>
      </c>
      <c r="E21" s="2">
        <v>7500</v>
      </c>
      <c r="F21" s="11"/>
    </row>
    <row r="22" spans="2:7" ht="15.75" x14ac:dyDescent="0.25">
      <c r="B22" s="6"/>
      <c r="D22" s="10" t="s">
        <v>15</v>
      </c>
      <c r="E22" s="2">
        <v>5000</v>
      </c>
      <c r="F22" s="11"/>
    </row>
    <row r="23" spans="2:7" ht="15.75" x14ac:dyDescent="0.25">
      <c r="B23" s="6"/>
      <c r="D23" s="10" t="s">
        <v>16</v>
      </c>
      <c r="E23" s="2">
        <v>90000</v>
      </c>
      <c r="F23" s="11"/>
    </row>
    <row r="24" spans="2:7" ht="15.75" x14ac:dyDescent="0.25">
      <c r="B24" s="6"/>
      <c r="D24" s="10" t="s">
        <v>17</v>
      </c>
      <c r="E24" s="2">
        <v>50000</v>
      </c>
      <c r="F24" s="11"/>
    </row>
    <row r="25" spans="2:7" ht="15.75" x14ac:dyDescent="0.25">
      <c r="B25" s="6"/>
      <c r="D25" s="10" t="s">
        <v>18</v>
      </c>
      <c r="E25" s="2">
        <v>10000</v>
      </c>
      <c r="F25" s="11"/>
    </row>
    <row r="26" spans="2:7" ht="15.75" x14ac:dyDescent="0.25">
      <c r="B26" s="6"/>
      <c r="D26" s="10" t="s">
        <v>19</v>
      </c>
      <c r="E26" s="2">
        <v>1900000</v>
      </c>
      <c r="F26" s="11" t="s">
        <v>20</v>
      </c>
    </row>
    <row r="27" spans="2:7" ht="15.75" x14ac:dyDescent="0.25">
      <c r="B27" s="6"/>
      <c r="D27" s="10" t="s">
        <v>21</v>
      </c>
      <c r="E27" s="2">
        <v>130000</v>
      </c>
      <c r="F27" s="11"/>
    </row>
    <row r="28" spans="2:7" x14ac:dyDescent="0.25">
      <c r="B28" s="9"/>
      <c r="D28" s="10" t="s">
        <v>22</v>
      </c>
      <c r="E28" s="2">
        <v>115000</v>
      </c>
      <c r="F28" s="11" t="s">
        <v>23</v>
      </c>
    </row>
    <row r="29" spans="2:7" x14ac:dyDescent="0.25">
      <c r="B29" s="9"/>
      <c r="D29" s="10" t="s">
        <v>24</v>
      </c>
      <c r="E29" s="2">
        <v>415000</v>
      </c>
      <c r="F29" s="11"/>
    </row>
    <row r="30" spans="2:7" x14ac:dyDescent="0.25">
      <c r="D30" s="10" t="s">
        <v>25</v>
      </c>
      <c r="E30" s="2">
        <v>1200000</v>
      </c>
      <c r="F30" s="11"/>
    </row>
    <row r="31" spans="2:7" x14ac:dyDescent="0.25">
      <c r="D31" s="10" t="s">
        <v>26</v>
      </c>
      <c r="E31" s="2">
        <v>380000</v>
      </c>
      <c r="F31" s="11"/>
    </row>
    <row r="32" spans="2:7" x14ac:dyDescent="0.25">
      <c r="D32" s="10" t="s">
        <v>27</v>
      </c>
      <c r="E32" s="2">
        <v>100000</v>
      </c>
      <c r="F32" s="11"/>
    </row>
    <row r="33" spans="4:6" x14ac:dyDescent="0.25">
      <c r="D33" s="10" t="s">
        <v>28</v>
      </c>
      <c r="E33" s="2">
        <v>100000</v>
      </c>
      <c r="F33" s="11" t="s">
        <v>29</v>
      </c>
    </row>
    <row r="34" spans="4:6" x14ac:dyDescent="0.25">
      <c r="D34" s="10" t="s">
        <v>28</v>
      </c>
      <c r="E34" s="2"/>
      <c r="F34" s="11"/>
    </row>
    <row r="35" spans="4:6" x14ac:dyDescent="0.25">
      <c r="D35" s="10" t="s">
        <v>28</v>
      </c>
      <c r="E35" s="2"/>
      <c r="F35" s="11"/>
    </row>
    <row r="36" spans="4:6" x14ac:dyDescent="0.25">
      <c r="D36" s="10" t="s">
        <v>31</v>
      </c>
      <c r="E36" s="2">
        <f>SUM(E17:E35)*0.03</f>
        <v>161475</v>
      </c>
      <c r="F36" s="11" t="s">
        <v>32</v>
      </c>
    </row>
    <row r="37" spans="4:6" x14ac:dyDescent="0.25">
      <c r="D37" s="10" t="s">
        <v>33</v>
      </c>
      <c r="E37" s="2">
        <f>SUM(E17:E35)*0.08</f>
        <v>430600</v>
      </c>
      <c r="F37" s="11" t="s">
        <v>34</v>
      </c>
    </row>
    <row r="38" spans="4:6" x14ac:dyDescent="0.25">
      <c r="D38" s="15" t="s">
        <v>35</v>
      </c>
      <c r="E38" s="2">
        <f>SUM(E17:E37)</f>
        <v>5974575</v>
      </c>
      <c r="F38" s="11"/>
    </row>
    <row r="39" spans="4:6" x14ac:dyDescent="0.25">
      <c r="D39" s="25" t="s">
        <v>36</v>
      </c>
      <c r="E39" s="26"/>
      <c r="F39" s="27"/>
    </row>
    <row r="40" spans="4:6" x14ac:dyDescent="0.25">
      <c r="D40" s="10" t="s">
        <v>37</v>
      </c>
      <c r="E40" s="2">
        <v>1600000</v>
      </c>
      <c r="F40" s="11"/>
    </row>
    <row r="41" spans="4:6" x14ac:dyDescent="0.25">
      <c r="D41" s="10" t="s">
        <v>38</v>
      </c>
      <c r="E41" s="2">
        <v>300000</v>
      </c>
      <c r="F41" s="11"/>
    </row>
    <row r="42" spans="4:6" x14ac:dyDescent="0.25">
      <c r="D42" s="10" t="s">
        <v>39</v>
      </c>
      <c r="E42" s="2">
        <v>60000</v>
      </c>
      <c r="F42" s="11"/>
    </row>
    <row r="43" spans="4:6" x14ac:dyDescent="0.25">
      <c r="D43" s="14" t="s">
        <v>40</v>
      </c>
      <c r="E43" s="2">
        <f>SUM(E40:E42)</f>
        <v>1960000</v>
      </c>
      <c r="F43" s="11"/>
    </row>
    <row r="44" spans="4:6" x14ac:dyDescent="0.25">
      <c r="D44" s="25" t="s">
        <v>41</v>
      </c>
      <c r="E44" s="26"/>
      <c r="F44" s="27"/>
    </row>
    <row r="45" spans="4:6" x14ac:dyDescent="0.25">
      <c r="D45" s="10" t="s">
        <v>42</v>
      </c>
      <c r="E45" s="2">
        <v>50000</v>
      </c>
      <c r="F45" s="11"/>
    </row>
    <row r="46" spans="4:6" x14ac:dyDescent="0.25">
      <c r="D46" s="13" t="s">
        <v>43</v>
      </c>
      <c r="E46" s="2">
        <v>50000</v>
      </c>
      <c r="F46" s="11"/>
    </row>
    <row r="47" spans="4:6" x14ac:dyDescent="0.25">
      <c r="D47" s="414" t="s">
        <v>44</v>
      </c>
      <c r="E47" s="415"/>
      <c r="F47" s="416"/>
    </row>
    <row r="48" spans="4:6" ht="15.75" thickBot="1" x14ac:dyDescent="0.3">
      <c r="D48" s="16" t="s">
        <v>45</v>
      </c>
      <c r="E48" s="17">
        <f>SUM(E46,E43,E38,E15,E11)</f>
        <v>12747203.75</v>
      </c>
      <c r="F48" s="18"/>
    </row>
  </sheetData>
  <mergeCells count="3">
    <mergeCell ref="B2:C2"/>
    <mergeCell ref="B3:C3"/>
    <mergeCell ref="D47:F4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E19C8-E378-4C0F-B854-522829C77257}">
  <sheetPr codeName="Sheet5"/>
  <dimension ref="A1"/>
  <sheetViews>
    <sheetView workbookViewId="0">
      <selection activeCell="E4" sqref="E4:E25"/>
    </sheetView>
  </sheetViews>
  <sheetFormatPr defaultRowHeight="15"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AEA4E-0BCE-4729-8050-479A2DD4727E}">
  <dimension ref="A1:C2"/>
  <sheetViews>
    <sheetView workbookViewId="0">
      <selection sqref="A1:B2"/>
    </sheetView>
  </sheetViews>
  <sheetFormatPr defaultColWidth="0" defaultRowHeight="15" zeroHeight="1" x14ac:dyDescent="0.25"/>
  <cols>
    <col min="1" max="1" width="6.140625" customWidth="1"/>
    <col min="2" max="2" width="130.5703125" customWidth="1"/>
    <col min="3" max="3" width="40.85546875" hidden="1" customWidth="1"/>
    <col min="4" max="16384" width="9.140625" hidden="1"/>
  </cols>
  <sheetData>
    <row r="1" spans="1:3" ht="409.5" customHeight="1" x14ac:dyDescent="0.25">
      <c r="A1" s="417" t="s">
        <v>61</v>
      </c>
      <c r="B1" s="417"/>
      <c r="C1" t="s">
        <v>62</v>
      </c>
    </row>
    <row r="2" spans="1:3" ht="115.5" customHeight="1" x14ac:dyDescent="0.25">
      <c r="A2" s="417"/>
      <c r="B2" s="417"/>
    </row>
  </sheetData>
  <mergeCells count="1">
    <mergeCell ref="A1:B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257C3-8374-4031-9089-3662A480D033}">
  <sheetPr codeName="Sheet1">
    <pageSetUpPr fitToPage="1"/>
  </sheetPr>
  <dimension ref="A1:XFC42"/>
  <sheetViews>
    <sheetView tabSelected="1" topLeftCell="F1" zoomScaleNormal="100" zoomScaleSheetLayoutView="71" workbookViewId="0">
      <selection activeCell="R31" sqref="R31"/>
    </sheetView>
  </sheetViews>
  <sheetFormatPr defaultColWidth="0" defaultRowHeight="15" zeroHeight="1" outlineLevelCol="1" x14ac:dyDescent="0.25"/>
  <cols>
    <col min="1" max="20" width="9.140625" customWidth="1"/>
    <col min="21" max="21" width="33.5703125" customWidth="1"/>
    <col min="22" max="22" width="19" customWidth="1"/>
    <col min="23" max="23" width="14.140625" customWidth="1"/>
    <col min="24" max="24" width="21.140625" customWidth="1" outlineLevel="1"/>
    <col min="25" max="25" width="17.140625" customWidth="1" outlineLevel="1"/>
    <col min="26" max="26" width="9.140625" customWidth="1" outlineLevel="1"/>
    <col min="27" max="27" width="36.7109375" customWidth="1" outlineLevel="1"/>
    <col min="28" max="28" width="14.140625" customWidth="1" outlineLevel="1"/>
    <col min="29" max="30" width="13.85546875" customWidth="1" outlineLevel="1"/>
    <col min="31" max="31" width="14.140625" customWidth="1" outlineLevel="1"/>
    <col min="32" max="32" width="9.140625" hidden="1" customWidth="1"/>
    <col min="33" max="16383" width="9.140625" hidden="1"/>
    <col min="16384" max="16384" width="4.140625" hidden="1"/>
  </cols>
  <sheetData>
    <row r="1" spans="1:31" x14ac:dyDescent="0.25">
      <c r="A1" s="9"/>
      <c r="B1" s="9"/>
      <c r="C1" s="9"/>
      <c r="D1" s="9"/>
      <c r="E1" s="9"/>
      <c r="F1" s="9"/>
      <c r="G1" s="9"/>
      <c r="H1" s="9"/>
      <c r="I1" s="9"/>
      <c r="J1" s="9"/>
      <c r="K1" s="9"/>
      <c r="L1" s="9"/>
      <c r="M1" s="9"/>
      <c r="N1" s="9"/>
      <c r="O1" s="9"/>
      <c r="P1" s="9"/>
      <c r="Q1" s="9"/>
      <c r="R1" s="9"/>
      <c r="S1" s="9"/>
      <c r="T1" s="9"/>
      <c r="U1" s="9"/>
      <c r="V1" s="9"/>
      <c r="W1" s="9"/>
    </row>
    <row r="2" spans="1:31" x14ac:dyDescent="0.25">
      <c r="A2" s="9"/>
      <c r="B2" s="9"/>
      <c r="C2" s="9"/>
      <c r="D2" s="9"/>
      <c r="E2" s="9"/>
      <c r="F2" s="9"/>
      <c r="G2" s="9"/>
      <c r="H2" s="9"/>
      <c r="I2" s="9"/>
      <c r="J2" s="9"/>
      <c r="K2" s="9"/>
      <c r="L2" s="9"/>
      <c r="M2" s="9"/>
      <c r="N2" s="9"/>
      <c r="O2" s="9"/>
      <c r="P2" s="9"/>
      <c r="Q2" s="9"/>
      <c r="R2" s="9"/>
      <c r="S2" s="9"/>
      <c r="T2" s="144" t="s">
        <v>63</v>
      </c>
      <c r="U2" s="144"/>
      <c r="V2" s="144"/>
      <c r="W2" s="9"/>
    </row>
    <row r="3" spans="1:31" x14ac:dyDescent="0.25">
      <c r="A3" s="9"/>
      <c r="B3" s="9"/>
      <c r="C3" s="9"/>
      <c r="D3" s="9"/>
      <c r="E3" s="9"/>
      <c r="F3" s="9"/>
      <c r="G3" s="9"/>
      <c r="H3" s="9"/>
      <c r="I3" s="9"/>
      <c r="J3" s="9"/>
      <c r="K3" s="9"/>
      <c r="L3" s="9"/>
      <c r="M3" s="9"/>
      <c r="N3" s="9"/>
      <c r="O3" s="9"/>
      <c r="P3" s="9"/>
      <c r="Q3" s="9"/>
      <c r="R3" s="9"/>
      <c r="S3" s="9"/>
      <c r="T3" s="9"/>
      <c r="U3" s="93" t="s">
        <v>65</v>
      </c>
      <c r="V3" s="131" t="s">
        <v>66</v>
      </c>
      <c r="W3" s="9"/>
      <c r="X3" t="s">
        <v>67</v>
      </c>
      <c r="AC3">
        <v>1</v>
      </c>
      <c r="AD3">
        <v>2</v>
      </c>
      <c r="AE3">
        <v>3</v>
      </c>
    </row>
    <row r="4" spans="1:31" x14ac:dyDescent="0.25">
      <c r="A4" s="9"/>
      <c r="B4" s="9"/>
      <c r="C4" s="9"/>
      <c r="D4" s="9"/>
      <c r="E4" s="9"/>
      <c r="F4" s="9"/>
      <c r="G4" s="9"/>
      <c r="I4" s="9"/>
      <c r="J4" s="425">
        <f>'Calculation Sheet'!F10</f>
        <v>142425.47008752974</v>
      </c>
      <c r="K4" s="426"/>
      <c r="L4" s="9"/>
      <c r="M4" s="9"/>
      <c r="N4" s="9"/>
      <c r="O4" s="9"/>
      <c r="P4" s="9"/>
      <c r="Q4" s="9"/>
      <c r="R4" s="9"/>
      <c r="S4" s="9"/>
      <c r="T4" s="9"/>
      <c r="U4" s="96" t="s">
        <v>68</v>
      </c>
      <c r="V4" s="132">
        <f>SUM(V5:V7)</f>
        <v>6747182.176721313</v>
      </c>
      <c r="W4" s="100"/>
      <c r="X4">
        <v>3</v>
      </c>
      <c r="AA4" t="str">
        <f>U4</f>
        <v>Major Equipment</v>
      </c>
      <c r="AB4" s="251">
        <f>V4</f>
        <v>6747182.176721313</v>
      </c>
      <c r="AC4" s="251">
        <f t="dataTable" ref="AC4:AE42" dt2D="0" dtr="1" r1="X4"/>
        <v>4129717.9839803865</v>
      </c>
      <c r="AD4" s="251">
        <v>6223596.1085348139</v>
      </c>
      <c r="AE4" s="251">
        <v>6747182.176721313</v>
      </c>
    </row>
    <row r="5" spans="1:31" x14ac:dyDescent="0.25">
      <c r="A5" s="9"/>
      <c r="B5" s="9"/>
      <c r="C5" s="9"/>
      <c r="D5" s="9"/>
      <c r="E5" s="9"/>
      <c r="F5" s="9"/>
      <c r="G5" s="9"/>
      <c r="H5" s="9"/>
      <c r="I5" s="9"/>
      <c r="J5" s="424" t="s">
        <v>711</v>
      </c>
      <c r="K5" s="424"/>
      <c r="L5" s="9"/>
      <c r="M5" s="9"/>
      <c r="N5" s="9"/>
      <c r="O5" s="9"/>
      <c r="P5" s="9"/>
      <c r="Q5" s="9"/>
      <c r="R5" s="9"/>
      <c r="S5" s="9"/>
      <c r="T5" s="9"/>
      <c r="U5" s="137" t="s">
        <v>49</v>
      </c>
      <c r="V5" s="139">
        <f>'Calculation Sheet'!F9</f>
        <v>6113160.8192202281</v>
      </c>
      <c r="W5" s="100"/>
      <c r="X5" t="s">
        <v>69</v>
      </c>
      <c r="AA5" t="str">
        <f t="shared" ref="AA5:AA39" si="0">U5</f>
        <v>GUU</v>
      </c>
      <c r="AB5" s="251">
        <f t="shared" ref="AB5:AB39" si="1">V5</f>
        <v>6113160.8192202281</v>
      </c>
      <c r="AC5" s="251">
        <v>3495696.6264793021</v>
      </c>
      <c r="AD5" s="251">
        <v>5589574.7510337289</v>
      </c>
      <c r="AE5" s="251">
        <v>6113160.8192202281</v>
      </c>
    </row>
    <row r="6" spans="1:31" x14ac:dyDescent="0.25">
      <c r="A6" s="9"/>
      <c r="B6" s="9"/>
      <c r="C6" s="418" t="s">
        <v>64</v>
      </c>
      <c r="D6" s="418"/>
      <c r="E6" s="286">
        <v>46065</v>
      </c>
      <c r="F6" s="284"/>
      <c r="G6" s="9"/>
      <c r="H6" s="9"/>
      <c r="I6" s="9"/>
      <c r="J6" s="419" t="e" vm="1">
        <v>#VALUE!</v>
      </c>
      <c r="K6" s="420"/>
      <c r="L6" s="421"/>
      <c r="M6" s="422"/>
      <c r="N6" s="9"/>
      <c r="O6" s="9"/>
      <c r="P6" s="9"/>
      <c r="Q6" s="9"/>
      <c r="R6" s="9"/>
      <c r="S6" s="9"/>
      <c r="T6" s="9"/>
      <c r="U6" s="137" t="s">
        <v>10</v>
      </c>
      <c r="V6" s="139">
        <f>'Calculation Sheet'!F10</f>
        <v>142425.47008752974</v>
      </c>
      <c r="W6" s="100"/>
      <c r="X6">
        <v>1</v>
      </c>
      <c r="AA6" t="str">
        <f t="shared" si="0"/>
        <v>Flare</v>
      </c>
      <c r="AB6" s="251">
        <f t="shared" si="1"/>
        <v>142425.47008752974</v>
      </c>
      <c r="AC6" s="251">
        <v>142425.47008752974</v>
      </c>
      <c r="AD6" s="251">
        <v>142425.47008752974</v>
      </c>
      <c r="AE6" s="251">
        <v>142425.47008752974</v>
      </c>
    </row>
    <row r="7" spans="1:31" x14ac:dyDescent="0.25">
      <c r="A7" s="9"/>
      <c r="B7" s="9"/>
      <c r="C7" s="418" t="s">
        <v>718</v>
      </c>
      <c r="D7" s="418"/>
      <c r="E7" s="286">
        <v>46065</v>
      </c>
      <c r="F7" s="284"/>
      <c r="G7" s="9"/>
      <c r="H7" s="9"/>
      <c r="I7" s="9"/>
      <c r="J7" s="421"/>
      <c r="K7" s="422"/>
      <c r="L7" s="282"/>
      <c r="M7" s="9"/>
      <c r="N7" s="9"/>
      <c r="O7" s="9"/>
      <c r="P7" s="9"/>
      <c r="Q7" s="9"/>
      <c r="R7" s="9"/>
      <c r="S7" s="9"/>
      <c r="T7" s="9"/>
      <c r="U7" s="137" t="s">
        <v>70</v>
      </c>
      <c r="V7" s="139">
        <f>'Calculation Sheet'!F11</f>
        <v>491595.88741355459</v>
      </c>
      <c r="W7" s="100"/>
      <c r="X7" t="s">
        <v>71</v>
      </c>
      <c r="Y7" s="4"/>
      <c r="AA7" t="str">
        <f t="shared" si="0"/>
        <v>Compressor</v>
      </c>
      <c r="AB7" s="251">
        <f t="shared" si="1"/>
        <v>491595.88741355459</v>
      </c>
      <c r="AC7" s="251">
        <v>491595.88741355459</v>
      </c>
      <c r="AD7" s="251">
        <v>491595.88741355459</v>
      </c>
      <c r="AE7" s="251">
        <v>491595.88741355459</v>
      </c>
    </row>
    <row r="8" spans="1:31" x14ac:dyDescent="0.25">
      <c r="A8" s="9"/>
      <c r="B8" s="9"/>
      <c r="C8" s="418"/>
      <c r="D8" s="418"/>
      <c r="E8" s="285"/>
      <c r="F8" s="285"/>
      <c r="G8" s="9"/>
      <c r="H8" s="9"/>
      <c r="I8" s="9"/>
      <c r="J8" s="421"/>
      <c r="K8" s="422"/>
      <c r="L8" s="282"/>
      <c r="M8" s="9"/>
      <c r="N8" s="9"/>
      <c r="O8" s="9"/>
      <c r="P8" s="9"/>
      <c r="Q8" s="9"/>
      <c r="R8" s="9"/>
      <c r="S8" s="9"/>
      <c r="T8" s="264"/>
      <c r="U8" s="96" t="s">
        <v>72</v>
      </c>
      <c r="V8" s="132">
        <v>0</v>
      </c>
      <c r="W8" s="100"/>
      <c r="X8">
        <v>1</v>
      </c>
      <c r="Y8" s="1"/>
      <c r="AA8" t="str">
        <f t="shared" si="0"/>
        <v>User-Additional Equip</v>
      </c>
      <c r="AB8" s="251">
        <f t="shared" si="1"/>
        <v>0</v>
      </c>
      <c r="AC8" s="251">
        <v>0</v>
      </c>
      <c r="AD8" s="251">
        <v>0</v>
      </c>
      <c r="AE8" s="251">
        <v>0</v>
      </c>
    </row>
    <row r="9" spans="1:31" x14ac:dyDescent="0.25">
      <c r="A9" s="9"/>
      <c r="B9" s="9"/>
      <c r="C9" s="9"/>
      <c r="D9" s="9"/>
      <c r="E9" s="9"/>
      <c r="F9" s="9"/>
      <c r="G9" s="9"/>
      <c r="H9" s="9"/>
      <c r="I9" s="9"/>
      <c r="J9" s="421"/>
      <c r="K9" s="422"/>
      <c r="L9" s="282"/>
      <c r="M9" s="9"/>
      <c r="N9" s="9"/>
      <c r="O9" s="9"/>
      <c r="P9" s="9"/>
      <c r="Q9" s="9"/>
      <c r="R9" s="9"/>
      <c r="S9" s="9"/>
      <c r="T9" s="264"/>
      <c r="U9" s="96" t="s">
        <v>72</v>
      </c>
      <c r="V9" s="132">
        <v>0</v>
      </c>
      <c r="W9" s="100"/>
      <c r="X9" t="s">
        <v>73</v>
      </c>
      <c r="Y9" s="1"/>
      <c r="AA9" t="str">
        <f t="shared" si="0"/>
        <v>User-Additional Equip</v>
      </c>
      <c r="AB9" s="251">
        <f t="shared" si="1"/>
        <v>0</v>
      </c>
      <c r="AC9" s="251">
        <v>0</v>
      </c>
      <c r="AD9" s="251">
        <v>0</v>
      </c>
      <c r="AE9" s="251">
        <v>0</v>
      </c>
    </row>
    <row r="10" spans="1:31" x14ac:dyDescent="0.25">
      <c r="A10" s="9"/>
      <c r="B10" s="9"/>
      <c r="C10" s="9"/>
      <c r="D10" s="9"/>
      <c r="E10" s="9"/>
      <c r="F10" s="9"/>
      <c r="G10" s="9"/>
      <c r="H10" s="9"/>
      <c r="I10" s="9"/>
      <c r="J10" s="421"/>
      <c r="K10" s="422"/>
      <c r="L10" s="282"/>
      <c r="M10" s="9"/>
      <c r="N10" s="9"/>
      <c r="O10" s="9"/>
      <c r="P10" s="9"/>
      <c r="Q10" s="9"/>
      <c r="R10" s="9"/>
      <c r="S10" s="9"/>
      <c r="T10" s="264"/>
      <c r="U10" s="121" t="s">
        <v>74</v>
      </c>
      <c r="V10" s="133">
        <f>SUM(V4,V8:V9)</f>
        <v>6747182.176721313</v>
      </c>
      <c r="W10" s="100"/>
      <c r="X10">
        <v>1</v>
      </c>
      <c r="Y10" s="1"/>
      <c r="AA10" t="str">
        <f t="shared" si="0"/>
        <v>Subtotal Equipment</v>
      </c>
      <c r="AB10" s="251">
        <f t="shared" si="1"/>
        <v>6747182.176721313</v>
      </c>
      <c r="AC10" s="251">
        <v>4129717.9839803865</v>
      </c>
      <c r="AD10" s="251">
        <v>6223596.1085348139</v>
      </c>
      <c r="AE10" s="251">
        <v>6747182.176721313</v>
      </c>
    </row>
    <row r="11" spans="1:31" x14ac:dyDescent="0.25">
      <c r="A11" s="9"/>
      <c r="B11" s="9"/>
      <c r="C11" s="9"/>
      <c r="D11" s="9"/>
      <c r="E11" s="9"/>
      <c r="G11" s="9"/>
      <c r="H11" s="9"/>
      <c r="I11" s="279"/>
      <c r="J11" s="9"/>
      <c r="K11" s="9"/>
      <c r="L11" s="283"/>
      <c r="M11" s="276"/>
      <c r="N11" s="276"/>
      <c r="O11" s="277"/>
      <c r="P11" s="276"/>
      <c r="Q11" s="9"/>
      <c r="R11" s="9"/>
      <c r="S11" s="9"/>
      <c r="T11" s="264"/>
      <c r="U11" s="104" t="s">
        <v>56</v>
      </c>
      <c r="V11" s="145">
        <f>'Calculation Sheet'!F5</f>
        <v>923758.38433609949</v>
      </c>
      <c r="W11" s="100"/>
      <c r="X11" t="s">
        <v>75</v>
      </c>
      <c r="Y11" s="1"/>
      <c r="AA11" t="str">
        <f t="shared" si="0"/>
        <v>Engineering</v>
      </c>
      <c r="AB11" s="251">
        <f t="shared" si="1"/>
        <v>923758.38433609949</v>
      </c>
      <c r="AC11" s="251">
        <v>672788.48893499305</v>
      </c>
      <c r="AD11" s="251">
        <v>769258.14253112022</v>
      </c>
      <c r="AE11" s="251">
        <v>923758.38433609949</v>
      </c>
    </row>
    <row r="12" spans="1:31" x14ac:dyDescent="0.25">
      <c r="A12" s="9"/>
      <c r="B12" s="9"/>
      <c r="C12" s="419" t="e" vm="2">
        <v>#VALUE!</v>
      </c>
      <c r="D12" s="420"/>
      <c r="E12" s="278"/>
      <c r="F12" s="420" t="e" vm="3">
        <v>#VALUE!</v>
      </c>
      <c r="G12" s="420"/>
      <c r="H12" s="278"/>
      <c r="I12" s="422" t="e" vm="4">
        <v>#VALUE!</v>
      </c>
      <c r="J12" s="422"/>
      <c r="K12" s="9"/>
      <c r="L12" s="422" t="e" vm="5">
        <v>#VALUE!</v>
      </c>
      <c r="M12" s="422"/>
      <c r="N12" s="9"/>
      <c r="O12" s="422" t="e" vm="6">
        <v>#VALUE!</v>
      </c>
      <c r="P12" s="435"/>
      <c r="Q12" s="9"/>
      <c r="R12" s="9"/>
      <c r="S12" s="9"/>
      <c r="T12" s="264"/>
      <c r="U12" s="104" t="s">
        <v>76</v>
      </c>
      <c r="V12" s="145">
        <f>'Calculation Sheet'!F14</f>
        <v>1102429.1993084371</v>
      </c>
      <c r="W12" s="100"/>
      <c r="X12">
        <v>1</v>
      </c>
      <c r="Y12" s="4"/>
      <c r="AA12" t="str">
        <f t="shared" si="0"/>
        <v>Civil/Structural</v>
      </c>
      <c r="AB12" s="251">
        <f t="shared" si="1"/>
        <v>1102429.1993084371</v>
      </c>
      <c r="AC12" s="251">
        <v>821871.82088520052</v>
      </c>
      <c r="AD12" s="251">
        <v>1102429.1993084371</v>
      </c>
      <c r="AE12" s="251">
        <v>1102429.1993084371</v>
      </c>
    </row>
    <row r="13" spans="1:31" x14ac:dyDescent="0.25">
      <c r="A13" s="9"/>
      <c r="B13" s="9"/>
      <c r="C13" s="421"/>
      <c r="D13" s="422"/>
      <c r="E13" s="9"/>
      <c r="F13" s="422"/>
      <c r="G13" s="422"/>
      <c r="H13" s="9"/>
      <c r="I13" s="422"/>
      <c r="J13" s="422"/>
      <c r="K13" s="9"/>
      <c r="L13" s="422"/>
      <c r="M13" s="422"/>
      <c r="N13" s="9"/>
      <c r="O13" s="422"/>
      <c r="P13" s="435"/>
      <c r="Q13" s="9"/>
      <c r="R13" s="9"/>
      <c r="S13" s="9"/>
      <c r="T13" s="264"/>
      <c r="U13" s="104" t="s">
        <v>77</v>
      </c>
      <c r="V13" s="145">
        <f>'Calculation Sheet'!F18</f>
        <v>1312220.6019363762</v>
      </c>
      <c r="W13" s="100"/>
      <c r="X13" t="s">
        <v>78</v>
      </c>
      <c r="Y13" s="1"/>
      <c r="AA13" t="str">
        <f t="shared" si="0"/>
        <v>Process Piping / Mechanical</v>
      </c>
      <c r="AB13" s="251">
        <f t="shared" si="1"/>
        <v>1312220.6019363762</v>
      </c>
      <c r="AC13" s="251">
        <v>1002638.3747579529</v>
      </c>
      <c r="AD13" s="251">
        <v>1312220.6019363762</v>
      </c>
      <c r="AE13" s="251">
        <v>1312220.6019363762</v>
      </c>
    </row>
    <row r="14" spans="1:31" x14ac:dyDescent="0.25">
      <c r="A14" s="9"/>
      <c r="B14" s="9"/>
      <c r="C14" s="421"/>
      <c r="D14" s="422"/>
      <c r="E14" s="9" t="e" vm="7">
        <v>#VALUE!</v>
      </c>
      <c r="F14" s="422"/>
      <c r="G14" s="422"/>
      <c r="H14" s="9" t="e" vm="7">
        <v>#VALUE!</v>
      </c>
      <c r="I14" s="422"/>
      <c r="J14" s="422"/>
      <c r="K14" s="9" t="e" vm="7">
        <v>#VALUE!</v>
      </c>
      <c r="L14" s="422"/>
      <c r="M14" s="422"/>
      <c r="N14" s="9" t="e" vm="7">
        <v>#VALUE!</v>
      </c>
      <c r="O14" s="422"/>
      <c r="P14" s="435"/>
      <c r="Q14" s="9"/>
      <c r="R14" s="9"/>
      <c r="S14" s="9"/>
      <c r="T14" s="264"/>
      <c r="U14" s="165" t="s">
        <v>79</v>
      </c>
      <c r="V14" s="146">
        <f>'Calculation Sheet'!F20</f>
        <v>1274795.3220971632</v>
      </c>
      <c r="W14" s="100"/>
      <c r="X14">
        <v>3</v>
      </c>
      <c r="Y14" s="1"/>
      <c r="AA14" t="str">
        <f t="shared" si="0"/>
        <v>Electrical</v>
      </c>
      <c r="AB14" s="251">
        <f t="shared" si="1"/>
        <v>1274795.3220971632</v>
      </c>
      <c r="AC14" s="251">
        <v>925603.97110806825</v>
      </c>
      <c r="AD14" s="251">
        <v>1238247.2645839436</v>
      </c>
      <c r="AE14" s="251">
        <v>1274795.3220971632</v>
      </c>
    </row>
    <row r="15" spans="1:31" x14ac:dyDescent="0.25">
      <c r="A15" s="9"/>
      <c r="B15" s="9"/>
      <c r="C15" s="421"/>
      <c r="D15" s="422"/>
      <c r="F15" s="422"/>
      <c r="G15" s="422"/>
      <c r="H15" s="9"/>
      <c r="I15" s="422"/>
      <c r="J15" s="422"/>
      <c r="L15" s="422"/>
      <c r="M15" s="422"/>
      <c r="O15" s="422"/>
      <c r="P15" s="435"/>
      <c r="Q15" s="9"/>
      <c r="R15" s="9"/>
      <c r="S15" s="9"/>
      <c r="T15" s="264"/>
      <c r="U15" s="104" t="s">
        <v>80</v>
      </c>
      <c r="V15" s="145">
        <f>'Calculation Sheet'!F26</f>
        <v>972528.01507607184</v>
      </c>
      <c r="W15" s="100"/>
      <c r="X15" t="s">
        <v>81</v>
      </c>
      <c r="Y15" s="1"/>
      <c r="AA15" t="str">
        <f t="shared" si="0"/>
        <v>Instrumentation / Controls / Automation</v>
      </c>
      <c r="AB15" s="251">
        <f t="shared" si="1"/>
        <v>972528.01507607184</v>
      </c>
      <c r="AC15" s="251">
        <v>972528.01507607184</v>
      </c>
      <c r="AD15" s="251">
        <v>972528.01507607184</v>
      </c>
      <c r="AE15" s="251">
        <v>972528.01507607184</v>
      </c>
    </row>
    <row r="16" spans="1:31" x14ac:dyDescent="0.25">
      <c r="A16" s="9"/>
      <c r="B16" s="9"/>
      <c r="C16" s="423"/>
      <c r="D16" s="424"/>
      <c r="E16" s="276"/>
      <c r="F16" s="424"/>
      <c r="G16" s="424"/>
      <c r="H16" s="277"/>
      <c r="I16" s="424"/>
      <c r="J16" s="424"/>
      <c r="K16" s="276"/>
      <c r="L16" s="424"/>
      <c r="M16" s="424"/>
      <c r="N16" s="276"/>
      <c r="O16" s="424"/>
      <c r="P16" s="436"/>
      <c r="Q16" s="9"/>
      <c r="R16" s="9"/>
      <c r="S16" s="9"/>
      <c r="T16" s="264"/>
      <c r="U16" s="104" t="s">
        <v>82</v>
      </c>
      <c r="V16" s="145">
        <f>'Calculation Sheet'!F29</f>
        <v>491537.82386500679</v>
      </c>
      <c r="W16" s="100"/>
      <c r="X16">
        <f>(1 + 3.5%/12) ^ (X20)</f>
        <v>1</v>
      </c>
      <c r="Y16" s="1"/>
      <c r="AA16" t="str">
        <f t="shared" si="0"/>
        <v>Non-Process Infrastructure</v>
      </c>
      <c r="AB16" s="251">
        <f t="shared" si="1"/>
        <v>491537.82386500679</v>
      </c>
      <c r="AC16" s="251">
        <v>429706.21039004141</v>
      </c>
      <c r="AD16" s="251">
        <v>491537.82386500679</v>
      </c>
      <c r="AE16" s="251">
        <v>491537.82386500679</v>
      </c>
    </row>
    <row r="17" spans="1:31" x14ac:dyDescent="0.25">
      <c r="A17" s="9"/>
      <c r="B17" s="9"/>
      <c r="C17" s="422" t="s">
        <v>707</v>
      </c>
      <c r="D17" s="422"/>
      <c r="E17" s="9"/>
      <c r="F17" s="422" t="s">
        <v>708</v>
      </c>
      <c r="G17" s="422"/>
      <c r="H17" s="9"/>
      <c r="I17" s="422" t="s">
        <v>709</v>
      </c>
      <c r="J17" s="422"/>
      <c r="K17" s="9"/>
      <c r="L17" s="422" t="s">
        <v>730</v>
      </c>
      <c r="M17" s="422"/>
      <c r="N17" s="9"/>
      <c r="O17" s="422" t="s">
        <v>710</v>
      </c>
      <c r="P17" s="422"/>
      <c r="Q17" s="9"/>
      <c r="R17" s="9"/>
      <c r="S17" s="9"/>
      <c r="T17" s="264"/>
      <c r="U17" s="104" t="s">
        <v>7</v>
      </c>
      <c r="V17" s="145">
        <f>'Calculation Sheet'!F33</f>
        <v>1154200.6371006421</v>
      </c>
      <c r="W17" s="100"/>
      <c r="X17" t="s">
        <v>83</v>
      </c>
      <c r="Y17" s="4"/>
      <c r="AA17" t="str">
        <f t="shared" si="0"/>
        <v>General Requirements</v>
      </c>
      <c r="AB17" s="251">
        <f t="shared" si="1"/>
        <v>1154200.6371006421</v>
      </c>
      <c r="AC17" s="251">
        <v>805936.93786194408</v>
      </c>
      <c r="AD17" s="251">
        <v>1089883.5440252193</v>
      </c>
      <c r="AE17" s="251">
        <v>1154200.6371006421</v>
      </c>
    </row>
    <row r="18" spans="1:31" x14ac:dyDescent="0.25">
      <c r="A18" s="9"/>
      <c r="B18" s="9"/>
      <c r="C18" s="9"/>
      <c r="D18" s="9"/>
      <c r="E18" s="9"/>
      <c r="F18" s="425">
        <f>'Calculation Sheet'!F9</f>
        <v>6113160.8192202281</v>
      </c>
      <c r="G18" s="426"/>
      <c r="H18" s="9"/>
      <c r="I18" s="425">
        <f>'Calculation Sheet'!F27</f>
        <v>238548.7211618257</v>
      </c>
      <c r="J18" s="426"/>
      <c r="K18" s="9"/>
      <c r="L18" s="425">
        <f>'Calculation Sheet'!F11</f>
        <v>491595.88741355459</v>
      </c>
      <c r="M18" s="426"/>
      <c r="N18" s="9"/>
      <c r="O18" s="9"/>
      <c r="P18" s="9"/>
      <c r="Q18" s="9"/>
      <c r="R18" s="9"/>
      <c r="S18" s="9"/>
      <c r="T18" s="264"/>
      <c r="U18" s="9" t="s">
        <v>84</v>
      </c>
      <c r="V18" s="145"/>
      <c r="W18" s="100"/>
      <c r="X18">
        <v>2</v>
      </c>
      <c r="Y18" s="1"/>
      <c r="AA18" t="str">
        <f t="shared" si="0"/>
        <v>User -Additional Direct Costs</v>
      </c>
      <c r="AB18" s="251">
        <f t="shared" si="1"/>
        <v>0</v>
      </c>
      <c r="AC18" s="251">
        <v>0</v>
      </c>
      <c r="AD18" s="251">
        <v>0</v>
      </c>
      <c r="AE18" s="251">
        <v>0</v>
      </c>
    </row>
    <row r="19" spans="1:31" x14ac:dyDescent="0.25">
      <c r="A19" s="9"/>
      <c r="B19" s="9"/>
      <c r="C19" s="9"/>
      <c r="D19" s="9"/>
      <c r="E19" s="9"/>
      <c r="F19" s="9"/>
      <c r="G19" s="9"/>
      <c r="H19" s="9"/>
      <c r="I19" s="9"/>
      <c r="J19" s="9"/>
      <c r="K19" s="9"/>
      <c r="L19" s="9"/>
      <c r="M19" s="9"/>
      <c r="N19" s="9"/>
      <c r="O19" s="9"/>
      <c r="P19" s="9"/>
      <c r="Q19" s="9"/>
      <c r="R19" s="9"/>
      <c r="S19" s="158"/>
      <c r="T19" s="264"/>
      <c r="U19" s="9" t="s">
        <v>84</v>
      </c>
      <c r="V19" s="147"/>
      <c r="W19" s="100"/>
      <c r="X19" t="s">
        <v>85</v>
      </c>
      <c r="Y19" s="1"/>
      <c r="AA19" t="str">
        <f t="shared" si="0"/>
        <v>User -Additional Direct Costs</v>
      </c>
      <c r="AB19" s="251">
        <f t="shared" si="1"/>
        <v>0</v>
      </c>
      <c r="AC19" s="251">
        <v>0</v>
      </c>
      <c r="AD19" s="251">
        <v>0</v>
      </c>
      <c r="AE19" s="251">
        <v>0</v>
      </c>
    </row>
    <row r="20" spans="1:31" x14ac:dyDescent="0.25">
      <c r="A20" s="9"/>
      <c r="B20" s="9"/>
      <c r="C20" s="9"/>
      <c r="D20" s="9"/>
      <c r="E20" s="9"/>
      <c r="F20" s="9"/>
      <c r="G20" s="9"/>
      <c r="H20" s="9"/>
      <c r="I20" s="9"/>
      <c r="J20" s="9"/>
      <c r="K20" s="9"/>
      <c r="L20" s="9"/>
      <c r="M20" s="9"/>
      <c r="N20" s="9"/>
      <c r="O20" s="9"/>
      <c r="P20" s="9"/>
      <c r="Q20" s="9"/>
      <c r="R20" s="9"/>
      <c r="S20" s="9"/>
      <c r="T20" s="264"/>
      <c r="U20" s="95" t="s">
        <v>86</v>
      </c>
      <c r="V20" s="134">
        <f>SUM(V11:V19)</f>
        <v>7231469.9837197978</v>
      </c>
      <c r="W20" s="100"/>
      <c r="X20" s="38">
        <f>DATEDIF(E6,E7,"m")</f>
        <v>0</v>
      </c>
      <c r="Y20" s="1"/>
      <c r="AA20" t="str">
        <f t="shared" si="0"/>
        <v>Subtotal Construction Directs</v>
      </c>
      <c r="AB20" s="251">
        <f t="shared" si="1"/>
        <v>7231469.9837197978</v>
      </c>
      <c r="AC20" s="251">
        <v>5631073.8190142717</v>
      </c>
      <c r="AD20" s="251">
        <v>6976104.5913261743</v>
      </c>
      <c r="AE20" s="251">
        <v>7231469.9837197978</v>
      </c>
    </row>
    <row r="21" spans="1:31" x14ac:dyDescent="0.25">
      <c r="A21" s="9"/>
      <c r="B21" s="9"/>
      <c r="C21" s="9"/>
      <c r="D21" s="9"/>
      <c r="E21" s="9"/>
      <c r="F21" s="9"/>
      <c r="G21" s="9"/>
      <c r="H21" s="9"/>
      <c r="I21" s="9"/>
      <c r="J21" s="9"/>
      <c r="K21" s="9"/>
      <c r="L21" s="9"/>
      <c r="M21" s="9"/>
      <c r="N21" s="9"/>
      <c r="O21" s="9"/>
      <c r="P21" s="9"/>
      <c r="Q21" s="9"/>
      <c r="R21" s="9"/>
      <c r="S21" s="9"/>
      <c r="T21" s="264"/>
      <c r="U21" s="104" t="s">
        <v>87</v>
      </c>
      <c r="V21" s="145">
        <f>'Calculation Sheet'!F39</f>
        <v>1481737.1290067576</v>
      </c>
      <c r="W21" s="100"/>
      <c r="Y21" s="1"/>
      <c r="AA21" t="str">
        <f t="shared" si="0"/>
        <v>General Conditions</v>
      </c>
      <c r="AB21" s="251">
        <f t="shared" si="1"/>
        <v>1481737.1290067576</v>
      </c>
      <c r="AC21" s="251">
        <v>1034643.9311174335</v>
      </c>
      <c r="AD21" s="251">
        <v>1399168.2741852649</v>
      </c>
      <c r="AE21" s="251">
        <v>1481737.1290067576</v>
      </c>
    </row>
    <row r="22" spans="1:31" x14ac:dyDescent="0.25">
      <c r="A22" s="9"/>
      <c r="B22" s="9"/>
      <c r="C22" s="9"/>
      <c r="D22" s="9"/>
      <c r="E22" s="9"/>
      <c r="F22" s="9"/>
      <c r="G22" s="9"/>
      <c r="H22" s="9"/>
      <c r="I22" s="9"/>
      <c r="J22" s="9"/>
      <c r="K22" s="9"/>
      <c r="L22" s="9"/>
      <c r="M22" s="9"/>
      <c r="N22" s="9"/>
      <c r="P22" s="9"/>
      <c r="Q22" s="9"/>
      <c r="R22" s="9"/>
      <c r="S22" s="9"/>
      <c r="T22" s="264"/>
      <c r="U22" s="104" t="s">
        <v>88</v>
      </c>
      <c r="V22" s="145">
        <f>'Calculation Sheet'!F40</f>
        <v>69893.26080220555</v>
      </c>
      <c r="W22" s="100"/>
      <c r="Y22" s="4"/>
      <c r="AA22" t="str">
        <f t="shared" si="0"/>
        <v>Building Permits</v>
      </c>
      <c r="AB22" s="251">
        <f t="shared" si="1"/>
        <v>69893.26080220555</v>
      </c>
      <c r="AC22" s="251">
        <v>48803.959014973276</v>
      </c>
      <c r="AD22" s="251">
        <v>65998.503499304948</v>
      </c>
      <c r="AE22" s="251">
        <v>69893.26080220555</v>
      </c>
    </row>
    <row r="23" spans="1:31" x14ac:dyDescent="0.25">
      <c r="A23" s="9"/>
      <c r="B23" s="9"/>
      <c r="C23" s="9"/>
      <c r="D23" s="9"/>
      <c r="E23" s="9"/>
      <c r="F23" s="9"/>
      <c r="G23" s="9"/>
      <c r="H23" s="9"/>
      <c r="J23" s="9"/>
      <c r="K23" s="9"/>
      <c r="L23" s="9"/>
      <c r="M23" s="9"/>
      <c r="N23" s="9"/>
      <c r="O23" s="9"/>
      <c r="P23" s="9"/>
      <c r="Q23" s="9"/>
      <c r="R23" s="9"/>
      <c r="S23" s="9"/>
      <c r="T23" s="264"/>
      <c r="U23" s="104" t="s">
        <v>89</v>
      </c>
      <c r="V23" s="145">
        <f>'Calculation Sheet'!F41</f>
        <v>377423.60833190999</v>
      </c>
      <c r="W23" s="100"/>
      <c r="Y23" s="1"/>
      <c r="AA23" t="str">
        <f t="shared" si="0"/>
        <v>Insurance / G&amp;A</v>
      </c>
      <c r="AB23" s="251">
        <f t="shared" si="1"/>
        <v>377423.60833190999</v>
      </c>
      <c r="AC23" s="251">
        <v>263541.37868085568</v>
      </c>
      <c r="AD23" s="251">
        <v>356391.9188962467</v>
      </c>
      <c r="AE23" s="251">
        <v>377423.60833190999</v>
      </c>
    </row>
    <row r="24" spans="1:31" x14ac:dyDescent="0.25">
      <c r="A24" s="9"/>
      <c r="B24" s="9"/>
      <c r="C24" s="427" t="e" vm="8">
        <v>#VALUE!</v>
      </c>
      <c r="D24" s="428"/>
      <c r="E24" s="280"/>
      <c r="F24" s="428" t="e" vm="9">
        <v>#VALUE!</v>
      </c>
      <c r="G24" s="428"/>
      <c r="H24" s="280"/>
      <c r="I24" s="428" t="e" vm="10">
        <v>#VALUE!</v>
      </c>
      <c r="J24" s="428"/>
      <c r="K24" s="280"/>
      <c r="L24" s="428" t="e" vm="11">
        <v>#VALUE!</v>
      </c>
      <c r="M24" s="432"/>
      <c r="N24" s="9"/>
      <c r="O24" s="422" t="e" vm="12">
        <v>#VALUE!</v>
      </c>
      <c r="P24" s="422"/>
      <c r="Q24" s="9"/>
      <c r="R24" s="9"/>
      <c r="S24" s="9"/>
      <c r="T24" s="264"/>
      <c r="U24" s="104" t="s">
        <v>90</v>
      </c>
      <c r="V24" s="145">
        <f>'Calculation Sheet'!F42</f>
        <v>768825.86882426101</v>
      </c>
      <c r="W24" s="100"/>
      <c r="Y24" s="1"/>
      <c r="AA24" t="str">
        <f t="shared" si="0"/>
        <v>EPC Profit</v>
      </c>
      <c r="AB24" s="251">
        <f t="shared" si="1"/>
        <v>768825.86882426101</v>
      </c>
      <c r="AC24" s="251">
        <v>536843.54916470603</v>
      </c>
      <c r="AD24" s="251">
        <v>725983.53849235445</v>
      </c>
      <c r="AE24" s="251">
        <v>768825.86882426101</v>
      </c>
    </row>
    <row r="25" spans="1:31" x14ac:dyDescent="0.25">
      <c r="A25" s="9"/>
      <c r="B25" s="9"/>
      <c r="C25" s="429"/>
      <c r="D25" s="422"/>
      <c r="E25" s="9"/>
      <c r="F25" s="422"/>
      <c r="G25" s="422"/>
      <c r="I25" s="422"/>
      <c r="J25" s="422"/>
      <c r="L25" s="422"/>
      <c r="M25" s="433"/>
      <c r="N25" s="9"/>
      <c r="O25" s="422"/>
      <c r="P25" s="422"/>
      <c r="Q25" s="9"/>
      <c r="R25" s="9"/>
      <c r="S25" s="9"/>
      <c r="T25" s="264"/>
      <c r="U25" s="95" t="s">
        <v>91</v>
      </c>
      <c r="V25" s="155">
        <f>SUM(V21:V24)</f>
        <v>2697879.8669651346</v>
      </c>
      <c r="W25" s="100"/>
      <c r="Y25" s="1"/>
      <c r="AA25" t="str">
        <f t="shared" si="0"/>
        <v>Subtotal: Const Mgmt and Indirects</v>
      </c>
      <c r="AB25" s="251">
        <f t="shared" si="1"/>
        <v>2697879.8669651346</v>
      </c>
      <c r="AC25" s="251">
        <v>1883832.8179779686</v>
      </c>
      <c r="AD25" s="251">
        <v>2547542.2350731711</v>
      </c>
      <c r="AE25" s="251">
        <v>2697879.8669651346</v>
      </c>
    </row>
    <row r="26" spans="1:31" x14ac:dyDescent="0.25">
      <c r="A26" s="9"/>
      <c r="B26" s="9"/>
      <c r="C26" s="429"/>
      <c r="D26" s="422"/>
      <c r="E26" s="9" t="e" vm="13">
        <v>#VALUE!</v>
      </c>
      <c r="F26" s="422"/>
      <c r="G26" s="422"/>
      <c r="H26" s="9" t="e" vm="13">
        <v>#VALUE!</v>
      </c>
      <c r="I26" s="422"/>
      <c r="J26" s="422"/>
      <c r="K26" s="9" t="e" vm="14">
        <v>#VALUE!</v>
      </c>
      <c r="L26" s="422"/>
      <c r="M26" s="433"/>
      <c r="N26" s="9"/>
      <c r="O26" s="422"/>
      <c r="P26" s="422"/>
      <c r="Q26" s="9"/>
      <c r="R26" s="9"/>
      <c r="S26" s="9"/>
      <c r="T26" s="264"/>
      <c r="U26" s="104" t="s">
        <v>92</v>
      </c>
      <c r="V26" s="145">
        <v>2200000</v>
      </c>
      <c r="W26" s="100"/>
      <c r="Y26" s="1"/>
      <c r="AA26" t="str">
        <f t="shared" si="0"/>
        <v>User-Interconnect (Base $2,200,000)</v>
      </c>
      <c r="AB26" s="251">
        <f t="shared" si="1"/>
        <v>2200000</v>
      </c>
      <c r="AC26" s="251">
        <v>2200000</v>
      </c>
      <c r="AD26" s="251">
        <v>2200000</v>
      </c>
      <c r="AE26" s="251">
        <v>2200000</v>
      </c>
    </row>
    <row r="27" spans="1:31" x14ac:dyDescent="0.25">
      <c r="A27" s="9"/>
      <c r="B27" s="9"/>
      <c r="C27" s="429"/>
      <c r="D27" s="422"/>
      <c r="F27" s="422"/>
      <c r="G27" s="422"/>
      <c r="I27" s="422"/>
      <c r="J27" s="422"/>
      <c r="L27" s="422"/>
      <c r="M27" s="433"/>
      <c r="N27" s="9"/>
      <c r="O27" s="422"/>
      <c r="P27" s="422"/>
      <c r="Q27" s="9"/>
      <c r="R27" s="9"/>
      <c r="S27" s="9"/>
      <c r="T27" s="264"/>
      <c r="U27" s="104" t="s">
        <v>93</v>
      </c>
      <c r="V27" s="263">
        <v>2</v>
      </c>
      <c r="W27" s="100"/>
      <c r="X27" s="159">
        <f>(V31+V36)/V10</f>
        <v>3.1080140505187255</v>
      </c>
      <c r="Y27" s="4" t="s">
        <v>94</v>
      </c>
      <c r="AA27" t="str">
        <f t="shared" si="0"/>
        <v xml:space="preserve">User-Lateral Miles </v>
      </c>
      <c r="AB27" s="251">
        <f t="shared" si="1"/>
        <v>2</v>
      </c>
      <c r="AC27" s="251">
        <v>2</v>
      </c>
      <c r="AD27" s="251">
        <v>2</v>
      </c>
      <c r="AE27" s="251">
        <v>2</v>
      </c>
    </row>
    <row r="28" spans="1:31" x14ac:dyDescent="0.25">
      <c r="A28" s="9"/>
      <c r="B28" s="9"/>
      <c r="C28" s="430"/>
      <c r="D28" s="431"/>
      <c r="E28" s="281"/>
      <c r="F28" s="431"/>
      <c r="G28" s="431"/>
      <c r="H28" s="281"/>
      <c r="I28" s="431"/>
      <c r="J28" s="431"/>
      <c r="K28" s="281"/>
      <c r="L28" s="431"/>
      <c r="M28" s="434"/>
      <c r="N28" s="9"/>
      <c r="O28" s="422"/>
      <c r="P28" s="422"/>
      <c r="Q28" s="9"/>
      <c r="R28" s="9"/>
      <c r="S28" s="9"/>
      <c r="T28" s="9"/>
      <c r="U28" s="104" t="s">
        <v>95</v>
      </c>
      <c r="V28" s="145">
        <f>'Calculation Sheet'!F44</f>
        <v>1846804.9792531119</v>
      </c>
      <c r="W28" s="100"/>
      <c r="Y28" s="1"/>
      <c r="AA28" t="str">
        <f t="shared" si="0"/>
        <v xml:space="preserve">Lateral </v>
      </c>
      <c r="AB28" s="251">
        <f t="shared" si="1"/>
        <v>1846804.9792531119</v>
      </c>
      <c r="AC28" s="251">
        <v>1846804.9792531119</v>
      </c>
      <c r="AD28" s="251">
        <v>1846804.9792531119</v>
      </c>
      <c r="AE28" s="251">
        <v>1846804.9792531119</v>
      </c>
    </row>
    <row r="29" spans="1:31" x14ac:dyDescent="0.25">
      <c r="A29" s="9"/>
      <c r="B29" s="9"/>
      <c r="C29" s="422" t="s">
        <v>712</v>
      </c>
      <c r="D29" s="422"/>
      <c r="E29" s="9"/>
      <c r="F29" s="422" t="s">
        <v>713</v>
      </c>
      <c r="G29" s="422"/>
      <c r="H29" s="9"/>
      <c r="I29" s="422" t="s">
        <v>714</v>
      </c>
      <c r="J29" s="422"/>
      <c r="K29" s="9"/>
      <c r="L29" s="422" t="s">
        <v>715</v>
      </c>
      <c r="M29" s="422"/>
      <c r="N29" s="9"/>
      <c r="O29" s="422" t="s">
        <v>716</v>
      </c>
      <c r="P29" s="422"/>
      <c r="Q29" s="9"/>
      <c r="R29" s="9"/>
      <c r="S29" s="9"/>
      <c r="T29" s="9"/>
      <c r="U29" s="95" t="s">
        <v>96</v>
      </c>
      <c r="V29" s="155">
        <f>SUM(V26,V28)</f>
        <v>4046804.9792531119</v>
      </c>
      <c r="W29" s="100"/>
      <c r="Y29" s="1"/>
      <c r="AA29" t="str">
        <f t="shared" si="0"/>
        <v>Subtotal Interconnect</v>
      </c>
      <c r="AB29" s="251">
        <f t="shared" si="1"/>
        <v>4046804.9792531119</v>
      </c>
      <c r="AC29" s="251">
        <v>4046804.9792531119</v>
      </c>
      <c r="AD29" s="251">
        <v>4046804.9792531119</v>
      </c>
      <c r="AE29" s="251">
        <v>4046804.9792531119</v>
      </c>
    </row>
    <row r="30" spans="1:31" x14ac:dyDescent="0.25">
      <c r="A30" s="9"/>
      <c r="B30" s="9"/>
      <c r="D30" s="9"/>
      <c r="E30" s="9"/>
      <c r="F30" s="9"/>
      <c r="G30" s="9"/>
      <c r="H30" s="9"/>
      <c r="J30" s="9"/>
      <c r="K30" s="9"/>
      <c r="L30" s="425">
        <f>'Calculation Sheet'!F23</f>
        <v>87642.182295988925</v>
      </c>
      <c r="M30" s="426"/>
      <c r="N30" s="9"/>
      <c r="O30" s="9"/>
      <c r="P30" s="9"/>
      <c r="Q30" s="9"/>
      <c r="R30" s="9"/>
      <c r="S30" s="9"/>
      <c r="T30" s="9"/>
      <c r="U30" s="9" t="s">
        <v>97</v>
      </c>
      <c r="V30" s="145">
        <f>'Calculation Sheet'!F46</f>
        <v>0</v>
      </c>
      <c r="W30" s="100"/>
      <c r="X30" s="160"/>
      <c r="Y30" s="1"/>
      <c r="AA30" t="str">
        <f t="shared" si="0"/>
        <v>Sales Tax</v>
      </c>
      <c r="AB30" s="251">
        <f t="shared" si="1"/>
        <v>0</v>
      </c>
      <c r="AC30" s="251">
        <v>0</v>
      </c>
      <c r="AD30" s="251">
        <v>0</v>
      </c>
      <c r="AE30" s="251">
        <v>0</v>
      </c>
    </row>
    <row r="31" spans="1:31" x14ac:dyDescent="0.25">
      <c r="A31" s="9"/>
      <c r="B31" s="9"/>
      <c r="C31" s="9"/>
      <c r="D31" s="9"/>
      <c r="E31" s="9"/>
      <c r="F31" s="9"/>
      <c r="G31" s="9"/>
      <c r="H31" s="9"/>
      <c r="I31" s="9"/>
      <c r="J31" s="9"/>
      <c r="K31" s="9"/>
      <c r="L31" s="9"/>
      <c r="M31" s="9"/>
      <c r="N31" s="9"/>
      <c r="O31" s="9"/>
      <c r="P31" s="9"/>
      <c r="Q31" s="9"/>
      <c r="R31" s="9"/>
      <c r="S31" s="9"/>
      <c r="T31" s="43" t="s">
        <v>98</v>
      </c>
      <c r="U31" s="43"/>
      <c r="V31" s="114">
        <f>SUM(V10,V20,V25,V30,V29)</f>
        <v>20723337.006659359</v>
      </c>
      <c r="W31" s="100"/>
      <c r="AA31" t="s">
        <v>98</v>
      </c>
      <c r="AB31" s="251">
        <f t="shared" si="1"/>
        <v>20723337.006659359</v>
      </c>
      <c r="AC31" s="251">
        <v>15691429.600225737</v>
      </c>
      <c r="AD31" s="251">
        <v>19794047.914187271</v>
      </c>
      <c r="AE31" s="251">
        <v>20723337.006659359</v>
      </c>
    </row>
    <row r="32" spans="1:31" x14ac:dyDescent="0.25">
      <c r="A32" s="9"/>
      <c r="B32" s="9"/>
      <c r="C32" s="9"/>
      <c r="D32" s="9"/>
      <c r="E32" s="9"/>
      <c r="F32" s="9"/>
      <c r="G32" s="9"/>
      <c r="H32" s="9"/>
      <c r="I32" s="9"/>
      <c r="J32" s="9"/>
      <c r="K32" s="9"/>
      <c r="L32" s="9"/>
      <c r="M32" s="9"/>
      <c r="N32" s="9"/>
      <c r="O32" s="422" t="s">
        <v>717</v>
      </c>
      <c r="P32" s="422"/>
      <c r="Q32" s="9"/>
      <c r="R32" s="9"/>
      <c r="S32" s="9"/>
      <c r="T32" s="9"/>
      <c r="U32" s="104" t="s">
        <v>99</v>
      </c>
      <c r="V32" s="145">
        <f>'Calculation Sheet'!F50</f>
        <v>250000</v>
      </c>
      <c r="W32" s="100"/>
      <c r="AA32" t="str">
        <f t="shared" si="0"/>
        <v>Utility Connection Fee</v>
      </c>
      <c r="AB32" s="251">
        <f t="shared" si="1"/>
        <v>250000</v>
      </c>
      <c r="AC32" s="251">
        <v>250000</v>
      </c>
      <c r="AD32" s="251">
        <v>250000</v>
      </c>
      <c r="AE32" s="251">
        <v>250000</v>
      </c>
    </row>
    <row r="33" spans="1:31" x14ac:dyDescent="0.25">
      <c r="A33" s="9"/>
      <c r="B33" s="9"/>
      <c r="C33" s="9"/>
      <c r="D33" s="9"/>
      <c r="E33" s="9"/>
      <c r="F33" s="9"/>
      <c r="G33" s="9"/>
      <c r="H33" s="9"/>
      <c r="I33" s="9"/>
      <c r="J33" s="9"/>
      <c r="K33" s="9"/>
      <c r="L33" s="9"/>
      <c r="M33" s="9"/>
      <c r="N33" s="9"/>
      <c r="O33" s="9"/>
      <c r="P33" s="9"/>
      <c r="Q33" s="9"/>
      <c r="R33" s="9"/>
      <c r="S33" s="9"/>
      <c r="T33" s="9"/>
      <c r="U33" s="104" t="s">
        <v>100</v>
      </c>
      <c r="V33" s="145">
        <f>'Calculation Sheet'!F51</f>
        <v>310850.05509989039</v>
      </c>
      <c r="W33" s="100"/>
      <c r="AA33" t="str">
        <f t="shared" si="0"/>
        <v>Insurance</v>
      </c>
      <c r="AB33" s="251">
        <f t="shared" si="1"/>
        <v>310850.05509989039</v>
      </c>
      <c r="AC33" s="251">
        <v>235371.44400338604</v>
      </c>
      <c r="AD33" s="251">
        <v>296910.71871280903</v>
      </c>
      <c r="AE33" s="251">
        <v>310850.05509989039</v>
      </c>
    </row>
    <row r="34" spans="1:31" x14ac:dyDescent="0.25">
      <c r="A34" s="9"/>
      <c r="B34" s="9"/>
      <c r="C34" s="9"/>
      <c r="D34" s="9"/>
      <c r="E34" s="9"/>
      <c r="F34" s="9"/>
      <c r="G34" s="9"/>
      <c r="H34" s="9"/>
      <c r="I34" s="9"/>
      <c r="J34" s="9"/>
      <c r="K34" s="9"/>
      <c r="L34" s="9"/>
      <c r="M34" s="9"/>
      <c r="N34" s="9"/>
      <c r="O34" s="9"/>
      <c r="P34" s="9"/>
      <c r="Q34" s="9"/>
      <c r="R34" s="9"/>
      <c r="S34" s="9"/>
      <c r="T34" s="9"/>
      <c r="U34" s="104" t="s">
        <v>101</v>
      </c>
      <c r="V34" s="145">
        <f>'Calculation Sheet'!F52</f>
        <v>1360000</v>
      </c>
      <c r="W34" s="100"/>
      <c r="AA34" t="str">
        <f t="shared" si="0"/>
        <v>Project Delivery</v>
      </c>
      <c r="AB34" s="251">
        <f t="shared" si="1"/>
        <v>1360000</v>
      </c>
      <c r="AC34" s="251">
        <v>1360000</v>
      </c>
      <c r="AD34" s="251">
        <v>1360000</v>
      </c>
      <c r="AE34" s="251">
        <v>1360000</v>
      </c>
    </row>
    <row r="35" spans="1:31" x14ac:dyDescent="0.25">
      <c r="A35" s="9"/>
      <c r="B35" s="9"/>
      <c r="C35" s="9"/>
      <c r="D35" s="9"/>
      <c r="E35" s="9"/>
      <c r="F35" s="9"/>
      <c r="G35" s="9"/>
      <c r="H35" s="9"/>
      <c r="I35" s="9"/>
      <c r="J35" s="9"/>
      <c r="K35" s="9"/>
      <c r="L35" s="9"/>
      <c r="M35" s="9"/>
      <c r="N35" s="9"/>
      <c r="O35" s="9"/>
      <c r="P35" s="9"/>
      <c r="Q35" s="9"/>
      <c r="R35" s="9"/>
      <c r="S35" s="9"/>
      <c r="T35" s="9"/>
      <c r="U35" s="104" t="s">
        <v>102</v>
      </c>
      <c r="V35" s="145">
        <f>'Calculation Sheet'!F53</f>
        <v>621700.11019978079</v>
      </c>
      <c r="W35" s="100"/>
      <c r="AA35" t="str">
        <f t="shared" si="0"/>
        <v>Dev Costs</v>
      </c>
      <c r="AB35" s="251">
        <f t="shared" si="1"/>
        <v>621700.11019978079</v>
      </c>
      <c r="AC35" s="251">
        <v>470742.88800677209</v>
      </c>
      <c r="AD35" s="251">
        <v>593821.43742561806</v>
      </c>
      <c r="AE35" s="251">
        <v>621700.11019978079</v>
      </c>
    </row>
    <row r="36" spans="1:31" x14ac:dyDescent="0.25">
      <c r="A36" s="9"/>
      <c r="B36" s="9"/>
      <c r="C36" s="9"/>
      <c r="D36" s="9"/>
      <c r="E36" s="9"/>
      <c r="F36" s="9"/>
      <c r="G36" s="9"/>
      <c r="H36" s="9"/>
      <c r="I36" s="9"/>
      <c r="J36" s="9"/>
      <c r="K36" s="9"/>
      <c r="L36" s="9"/>
      <c r="M36" s="9"/>
      <c r="N36" s="9"/>
      <c r="O36" s="9"/>
      <c r="P36" s="9"/>
      <c r="Q36" s="9"/>
      <c r="R36" s="9"/>
      <c r="S36" s="9"/>
      <c r="T36" s="264"/>
      <c r="U36" s="96" t="s">
        <v>758</v>
      </c>
      <c r="V36" s="145">
        <f>'Calculation Sheet'!F56</f>
        <v>247000</v>
      </c>
      <c r="W36" s="100"/>
      <c r="AA36" t="str">
        <f t="shared" si="0"/>
        <v xml:space="preserve">   Fixtures and Furnishings</v>
      </c>
      <c r="AB36" s="251">
        <f t="shared" si="1"/>
        <v>247000</v>
      </c>
      <c r="AC36" s="251">
        <v>247000</v>
      </c>
      <c r="AD36" s="251">
        <v>247000</v>
      </c>
      <c r="AE36" s="251">
        <v>247000</v>
      </c>
    </row>
    <row r="37" spans="1:31" x14ac:dyDescent="0.25">
      <c r="A37" s="9"/>
      <c r="B37" s="9"/>
      <c r="C37" s="9"/>
      <c r="D37" s="9"/>
      <c r="E37" s="9"/>
      <c r="F37" s="9"/>
      <c r="G37" s="9"/>
      <c r="H37" s="9"/>
      <c r="I37" s="9"/>
      <c r="J37" s="9"/>
      <c r="K37" s="9"/>
      <c r="L37" s="9"/>
      <c r="M37" s="9"/>
      <c r="N37" s="9"/>
      <c r="O37" s="9"/>
      <c r="P37" s="9"/>
      <c r="Q37" s="9"/>
      <c r="R37" s="9"/>
      <c r="S37" s="9"/>
      <c r="T37" s="9"/>
      <c r="U37" s="104" t="s">
        <v>103</v>
      </c>
      <c r="V37" s="145">
        <f>'Calculation Sheet'!F55</f>
        <v>426000</v>
      </c>
      <c r="W37" s="100"/>
      <c r="AA37" t="str">
        <f t="shared" si="0"/>
        <v>Ops During Construction</v>
      </c>
      <c r="AB37" s="251">
        <f t="shared" si="1"/>
        <v>426000</v>
      </c>
      <c r="AC37" s="251">
        <v>426000</v>
      </c>
      <c r="AD37" s="251">
        <v>426000</v>
      </c>
      <c r="AE37" s="251">
        <v>426000</v>
      </c>
    </row>
    <row r="38" spans="1:31" x14ac:dyDescent="0.25">
      <c r="A38" s="9"/>
      <c r="B38" s="9"/>
      <c r="C38" s="9"/>
      <c r="D38" s="9"/>
      <c r="E38" s="9"/>
      <c r="F38" s="9"/>
      <c r="G38" s="9"/>
      <c r="H38" s="9"/>
      <c r="I38" s="9"/>
      <c r="J38" s="9"/>
      <c r="K38" s="9"/>
      <c r="L38" s="9"/>
      <c r="M38" s="9"/>
      <c r="N38" s="9"/>
      <c r="O38" s="9"/>
      <c r="P38" s="9"/>
      <c r="Q38" s="9"/>
      <c r="R38" s="9"/>
      <c r="S38" s="9"/>
      <c r="T38" s="9"/>
      <c r="U38" s="104" t="s">
        <v>30</v>
      </c>
      <c r="V38" s="145">
        <f>'Calculation Sheet'!F57</f>
        <v>1554250.2754994519</v>
      </c>
      <c r="W38" s="100"/>
      <c r="AA38" t="str">
        <f t="shared" si="0"/>
        <v>Contingency</v>
      </c>
      <c r="AB38" s="251">
        <f t="shared" si="1"/>
        <v>1554250.2754994519</v>
      </c>
      <c r="AC38" s="251">
        <v>1176857.2200169303</v>
      </c>
      <c r="AD38" s="251">
        <v>1484553.5935640454</v>
      </c>
      <c r="AE38" s="251">
        <v>1554250.2754994519</v>
      </c>
    </row>
    <row r="39" spans="1:31" x14ac:dyDescent="0.25">
      <c r="A39" s="9"/>
      <c r="B39" s="9"/>
      <c r="C39" s="9"/>
      <c r="D39" s="9"/>
      <c r="E39" s="9"/>
      <c r="F39" s="9"/>
      <c r="G39" s="9"/>
      <c r="H39" s="9"/>
      <c r="I39" s="9"/>
      <c r="J39" s="9"/>
      <c r="K39" s="9"/>
      <c r="L39" s="9"/>
      <c r="M39" s="9"/>
      <c r="N39" s="9"/>
      <c r="O39" s="9"/>
      <c r="P39" s="9"/>
      <c r="Q39" s="9"/>
      <c r="R39" s="9"/>
      <c r="S39" s="9"/>
      <c r="T39" s="9"/>
      <c r="U39" s="95" t="s">
        <v>104</v>
      </c>
      <c r="V39" s="155">
        <f>SUM(V32:V38)</f>
        <v>4769800.4407991227</v>
      </c>
      <c r="W39" s="100"/>
      <c r="AA39" t="str">
        <f t="shared" si="0"/>
        <v>Commercial Subtotal</v>
      </c>
      <c r="AB39" s="251">
        <f t="shared" si="1"/>
        <v>4769800.4407991227</v>
      </c>
      <c r="AC39" s="251">
        <v>4165971.5520270881</v>
      </c>
      <c r="AD39" s="251">
        <v>4658285.7497024722</v>
      </c>
      <c r="AE39" s="251">
        <v>4769800.4407991227</v>
      </c>
    </row>
    <row r="40" spans="1:31" x14ac:dyDescent="0.25">
      <c r="A40" s="9"/>
      <c r="B40" s="9"/>
      <c r="C40" s="9"/>
      <c r="D40" s="9"/>
      <c r="E40" s="9"/>
      <c r="F40" s="9"/>
      <c r="G40" s="9"/>
      <c r="H40" s="9"/>
      <c r="I40" s="9"/>
      <c r="J40" s="9"/>
      <c r="K40" s="9"/>
      <c r="L40" s="9"/>
      <c r="M40" s="9"/>
      <c r="N40" s="9"/>
      <c r="O40" s="9"/>
      <c r="P40" s="9"/>
      <c r="Q40" s="9"/>
      <c r="R40" s="9"/>
      <c r="S40" s="9"/>
      <c r="T40" s="43" t="s">
        <v>105</v>
      </c>
      <c r="U40" s="43"/>
      <c r="V40" s="114">
        <f>SUM(V31,V39)</f>
        <v>25493137.447458483</v>
      </c>
      <c r="W40" s="100"/>
      <c r="AA40" t="s">
        <v>105</v>
      </c>
      <c r="AB40" s="251">
        <f t="shared" ref="AB40" si="2">V40</f>
        <v>25493137.447458483</v>
      </c>
      <c r="AC40" s="251">
        <v>19857401.152252827</v>
      </c>
      <c r="AD40" s="251">
        <v>24452333.663889743</v>
      </c>
      <c r="AE40" s="251">
        <v>25493137.447458483</v>
      </c>
    </row>
    <row r="41" spans="1:31" x14ac:dyDescent="0.25">
      <c r="A41" s="9"/>
      <c r="B41" s="9"/>
      <c r="C41" s="9"/>
      <c r="D41" s="9"/>
      <c r="E41" s="9"/>
      <c r="F41" s="9"/>
      <c r="G41" s="9"/>
      <c r="H41" s="9"/>
      <c r="I41" s="9"/>
      <c r="J41" s="9"/>
      <c r="K41" s="9"/>
      <c r="L41" s="9"/>
      <c r="M41" s="9"/>
      <c r="N41" s="9"/>
      <c r="O41" s="9"/>
      <c r="P41" s="9"/>
      <c r="Q41" s="9"/>
      <c r="R41" s="9"/>
      <c r="S41" s="9"/>
      <c r="T41" s="9"/>
      <c r="U41" s="34"/>
      <c r="V41" s="34"/>
      <c r="W41" s="9"/>
      <c r="AA41" t="s">
        <v>106</v>
      </c>
      <c r="AB41" s="251">
        <f>'Calculation Sheet'!E62</f>
        <v>22551599.623593476</v>
      </c>
      <c r="AC41" s="251">
        <v>16977694.941862781</v>
      </c>
      <c r="AD41" s="251">
        <v>21510795.84002474</v>
      </c>
      <c r="AE41" s="251">
        <v>22551599.623593476</v>
      </c>
    </row>
    <row r="42" spans="1:31" hidden="1" x14ac:dyDescent="0.25">
      <c r="T42" s="9"/>
      <c r="U42" s="34"/>
      <c r="V42" s="34"/>
      <c r="AA42" t="s">
        <v>107</v>
      </c>
      <c r="AB42" s="251" t="e">
        <f>'Calculation Sheet'!F46/'Calculation Sheet'!E46</f>
        <v>#DIV/0!</v>
      </c>
      <c r="AC42" s="251" t="e">
        <v>#DIV/0!</v>
      </c>
      <c r="AD42" s="251" t="e">
        <v>#DIV/0!</v>
      </c>
      <c r="AE42" s="251" t="e">
        <v>#DIV/0!</v>
      </c>
    </row>
  </sheetData>
  <mergeCells count="32">
    <mergeCell ref="O17:P17"/>
    <mergeCell ref="J4:K4"/>
    <mergeCell ref="L30:M30"/>
    <mergeCell ref="O29:P29"/>
    <mergeCell ref="O32:P32"/>
    <mergeCell ref="J6:K10"/>
    <mergeCell ref="J5:K5"/>
    <mergeCell ref="I18:J18"/>
    <mergeCell ref="L18:M18"/>
    <mergeCell ref="L6:M6"/>
    <mergeCell ref="O12:P16"/>
    <mergeCell ref="I24:J28"/>
    <mergeCell ref="O24:P28"/>
    <mergeCell ref="F18:G18"/>
    <mergeCell ref="I12:J16"/>
    <mergeCell ref="L12:M16"/>
    <mergeCell ref="C29:D29"/>
    <mergeCell ref="F29:G29"/>
    <mergeCell ref="I29:J29"/>
    <mergeCell ref="L29:M29"/>
    <mergeCell ref="C24:D28"/>
    <mergeCell ref="F24:G28"/>
    <mergeCell ref="L24:M28"/>
    <mergeCell ref="C17:D17"/>
    <mergeCell ref="F17:G17"/>
    <mergeCell ref="I17:J17"/>
    <mergeCell ref="L17:M17"/>
    <mergeCell ref="C7:D7"/>
    <mergeCell ref="C8:D8"/>
    <mergeCell ref="C6:D6"/>
    <mergeCell ref="C12:D16"/>
    <mergeCell ref="F12:G16"/>
  </mergeCells>
  <conditionalFormatting sqref="U5:U7 U11:V19 U21:V24">
    <cfRule type="expression" dxfId="40" priority="14">
      <formula>MOD(ROW(),2)=0</formula>
    </cfRule>
  </conditionalFormatting>
  <conditionalFormatting sqref="U4:V9 U42:V3229">
    <cfRule type="expression" dxfId="39" priority="16">
      <formula>MOD(ROW(),2)=0</formula>
    </cfRule>
  </conditionalFormatting>
  <conditionalFormatting sqref="U5:V7 U11:V19">
    <cfRule type="expression" dxfId="38" priority="15">
      <formula>MOD(ROW(),2)=0</formula>
    </cfRule>
  </conditionalFormatting>
  <conditionalFormatting sqref="U21:V24">
    <cfRule type="expression" dxfId="37" priority="6">
      <formula>MOD(ROW(),2)=0</formula>
    </cfRule>
  </conditionalFormatting>
  <conditionalFormatting sqref="U26:V28 U32:V38">
    <cfRule type="expression" dxfId="36" priority="3">
      <formula>MOD(ROW(),2)=0</formula>
    </cfRule>
    <cfRule type="expression" dxfId="35" priority="4">
      <formula>MOD(ROW(),2)=0</formula>
    </cfRule>
  </conditionalFormatting>
  <pageMargins left="0.7" right="0.7" top="0.75" bottom="0.75" header="0.3" footer="0.3"/>
  <pageSetup scale="36" fitToHeight="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3073" r:id="rId4" name="Drop Down 1">
              <controlPr defaultSize="0" autoLine="0" autoPict="0">
                <anchor moveWithCells="1" sizeWithCells="1">
                  <from>
                    <xdr:col>4</xdr:col>
                    <xdr:colOff>638175</xdr:colOff>
                    <xdr:row>18</xdr:row>
                    <xdr:rowOff>38100</xdr:rowOff>
                  </from>
                  <to>
                    <xdr:col>7</xdr:col>
                    <xdr:colOff>19050</xdr:colOff>
                    <xdr:row>19</xdr:row>
                    <xdr:rowOff>38100</xdr:rowOff>
                  </to>
                </anchor>
              </controlPr>
            </control>
          </mc:Choice>
        </mc:AlternateContent>
        <mc:AlternateContent xmlns:mc="http://schemas.openxmlformats.org/markup-compatibility/2006">
          <mc:Choice Requires="x14">
            <control shapeId="3076" r:id="rId5" name="Drop Down 4">
              <controlPr defaultSize="0" autoLine="0" autoPict="0">
                <anchor moveWithCells="1" sizeWithCells="1">
                  <from>
                    <xdr:col>11</xdr:col>
                    <xdr:colOff>85725</xdr:colOff>
                    <xdr:row>6</xdr:row>
                    <xdr:rowOff>38100</xdr:rowOff>
                  </from>
                  <to>
                    <xdr:col>13</xdr:col>
                    <xdr:colOff>133350</xdr:colOff>
                    <xdr:row>7</xdr:row>
                    <xdr:rowOff>38100</xdr:rowOff>
                  </to>
                </anchor>
              </controlPr>
            </control>
          </mc:Choice>
        </mc:AlternateContent>
        <mc:AlternateContent xmlns:mc="http://schemas.openxmlformats.org/markup-compatibility/2006">
          <mc:Choice Requires="x14">
            <control shapeId="3078" r:id="rId6" name="Drop Down 6">
              <controlPr defaultSize="0" autoLine="0" autoPict="0">
                <anchor moveWithCells="1" sizeWithCells="1">
                  <from>
                    <xdr:col>7</xdr:col>
                    <xdr:colOff>647700</xdr:colOff>
                    <xdr:row>18</xdr:row>
                    <xdr:rowOff>47625</xdr:rowOff>
                  </from>
                  <to>
                    <xdr:col>10</xdr:col>
                    <xdr:colOff>28575</xdr:colOff>
                    <xdr:row>19</xdr:row>
                    <xdr:rowOff>47625</xdr:rowOff>
                  </to>
                </anchor>
              </controlPr>
            </control>
          </mc:Choice>
        </mc:AlternateContent>
        <mc:AlternateContent xmlns:mc="http://schemas.openxmlformats.org/markup-compatibility/2006">
          <mc:Choice Requires="x14">
            <control shapeId="3079" r:id="rId7" name="Drop Down 7">
              <controlPr defaultSize="0" autoLine="0" autoPict="0">
                <anchor moveWithCells="1" sizeWithCells="1">
                  <from>
                    <xdr:col>10</xdr:col>
                    <xdr:colOff>638175</xdr:colOff>
                    <xdr:row>30</xdr:row>
                    <xdr:rowOff>47625</xdr:rowOff>
                  </from>
                  <to>
                    <xdr:col>13</xdr:col>
                    <xdr:colOff>19050</xdr:colOff>
                    <xdr:row>31</xdr:row>
                    <xdr:rowOff>47625</xdr:rowOff>
                  </to>
                </anchor>
              </controlPr>
            </control>
          </mc:Choice>
        </mc:AlternateContent>
        <mc:AlternateContent xmlns:mc="http://schemas.openxmlformats.org/markup-compatibility/2006">
          <mc:Choice Requires="x14">
            <control shapeId="3080" r:id="rId8" name="Drop Down 8">
              <controlPr defaultSize="0" autoLine="0" autoPict="0">
                <anchor moveWithCells="1" sizeWithCells="1">
                  <from>
                    <xdr:col>14</xdr:col>
                    <xdr:colOff>57150</xdr:colOff>
                    <xdr:row>29</xdr:row>
                    <xdr:rowOff>19050</xdr:rowOff>
                  </from>
                  <to>
                    <xdr:col>16</xdr:col>
                    <xdr:colOff>95250</xdr:colOff>
                    <xdr:row>30</xdr:row>
                    <xdr:rowOff>9525</xdr:rowOff>
                  </to>
                </anchor>
              </controlPr>
            </control>
          </mc:Choice>
        </mc:AlternateContent>
        <mc:AlternateContent xmlns:mc="http://schemas.openxmlformats.org/markup-compatibility/2006">
          <mc:Choice Requires="x14">
            <control shapeId="3081" r:id="rId9" name="Drop Down 9">
              <controlPr defaultSize="0" autoLine="0" autoPict="0">
                <anchor moveWithCells="1" sizeWithCells="1">
                  <from>
                    <xdr:col>14</xdr:col>
                    <xdr:colOff>57150</xdr:colOff>
                    <xdr:row>32</xdr:row>
                    <xdr:rowOff>19050</xdr:rowOff>
                  </from>
                  <to>
                    <xdr:col>16</xdr:col>
                    <xdr:colOff>95250</xdr:colOff>
                    <xdr:row>33</xdr:row>
                    <xdr:rowOff>19050</xdr:rowOff>
                  </to>
                </anchor>
              </controlPr>
            </control>
          </mc:Choice>
        </mc:AlternateContent>
        <mc:AlternateContent xmlns:mc="http://schemas.openxmlformats.org/markup-compatibility/2006">
          <mc:Choice Requires="x14">
            <control shapeId="3082" r:id="rId10" name="Drop Down 10">
              <controlPr defaultSize="0" autoLine="0" autoPict="0">
                <anchor moveWithCells="1" sizeWithCells="1">
                  <from>
                    <xdr:col>10</xdr:col>
                    <xdr:colOff>657225</xdr:colOff>
                    <xdr:row>18</xdr:row>
                    <xdr:rowOff>28575</xdr:rowOff>
                  </from>
                  <to>
                    <xdr:col>13</xdr:col>
                    <xdr:colOff>38100</xdr:colOff>
                    <xdr:row>19</xdr:row>
                    <xdr:rowOff>28575</xdr:rowOff>
                  </to>
                </anchor>
              </controlPr>
            </control>
          </mc:Choice>
        </mc:AlternateContent>
        <mc:AlternateContent xmlns:mc="http://schemas.openxmlformats.org/markup-compatibility/2006">
          <mc:Choice Requires="x14">
            <control shapeId="3083" r:id="rId11" name="Drop Down 11">
              <controlPr defaultSize="0" autoLine="0" autoPict="0">
                <anchor moveWithCells="1" sizeWithCells="1">
                  <from>
                    <xdr:col>11</xdr:col>
                    <xdr:colOff>0</xdr:colOff>
                    <xdr:row>20</xdr:row>
                    <xdr:rowOff>9525</xdr:rowOff>
                  </from>
                  <to>
                    <xdr:col>13</xdr:col>
                    <xdr:colOff>47625</xdr:colOff>
                    <xdr:row>21</xdr:row>
                    <xdr:rowOff>0</xdr:rowOff>
                  </to>
                </anchor>
              </controlPr>
            </control>
          </mc:Choice>
        </mc:AlternateContent>
        <mc:AlternateContent xmlns:mc="http://schemas.openxmlformats.org/markup-compatibility/2006">
          <mc:Choice Requires="x14">
            <control shapeId="3085" r:id="rId12" name="Drop Down 13">
              <controlPr defaultSize="0" autoLine="0" autoPict="0">
                <anchor moveWithCells="1" sizeWithCells="1">
                  <from>
                    <xdr:col>11</xdr:col>
                    <xdr:colOff>85725</xdr:colOff>
                    <xdr:row>7</xdr:row>
                    <xdr:rowOff>123825</xdr:rowOff>
                  </from>
                  <to>
                    <xdr:col>13</xdr:col>
                    <xdr:colOff>133350</xdr:colOff>
                    <xdr:row>8</xdr:row>
                    <xdr:rowOff>123825</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7E45E-FFED-41C3-B676-D3F3526A29B2}">
  <sheetPr codeName="Sheet2"/>
  <dimension ref="A3:S63"/>
  <sheetViews>
    <sheetView topLeftCell="A28" zoomScaleNormal="100" workbookViewId="0">
      <selection activeCell="F46" sqref="F46"/>
    </sheetView>
  </sheetViews>
  <sheetFormatPr defaultColWidth="0" defaultRowHeight="15" zeroHeight="1" x14ac:dyDescent="0.25"/>
  <cols>
    <col min="1" max="2" width="8.85546875" customWidth="1"/>
    <col min="3" max="3" width="2.5703125" customWidth="1"/>
    <col min="4" max="4" width="37.140625" customWidth="1"/>
    <col min="5" max="5" width="15.140625" customWidth="1"/>
    <col min="6" max="6" width="17" customWidth="1"/>
    <col min="7" max="7" width="88.7109375" customWidth="1"/>
    <col min="8" max="8" width="12.7109375" customWidth="1"/>
    <col min="9" max="9" width="17.85546875" hidden="1" customWidth="1"/>
    <col min="10" max="10" width="20.85546875" hidden="1" customWidth="1"/>
    <col min="11" max="11" width="8.85546875" hidden="1" customWidth="1"/>
    <col min="12" max="12" width="11.140625" hidden="1" customWidth="1"/>
    <col min="13" max="19" width="0" hidden="1" customWidth="1"/>
    <col min="20" max="16384" width="8.85546875" hidden="1"/>
  </cols>
  <sheetData>
    <row r="3" spans="2:7" s="9" customFormat="1" x14ac:dyDescent="0.25">
      <c r="B3" s="437" t="s">
        <v>108</v>
      </c>
      <c r="C3" s="437"/>
      <c r="D3" s="437"/>
      <c r="E3" s="43"/>
      <c r="F3" s="43"/>
      <c r="G3" s="43"/>
    </row>
    <row r="4" spans="2:7" s="9" customFormat="1" x14ac:dyDescent="0.25">
      <c r="B4" s="116"/>
      <c r="C4" s="442" t="s">
        <v>65</v>
      </c>
      <c r="D4" s="442"/>
      <c r="E4" s="94"/>
      <c r="F4" s="94" t="s">
        <v>109</v>
      </c>
      <c r="G4" s="94" t="s">
        <v>3</v>
      </c>
    </row>
    <row r="5" spans="2:7" s="9" customFormat="1" x14ac:dyDescent="0.25">
      <c r="B5" s="115"/>
      <c r="C5" s="439" t="s">
        <v>56</v>
      </c>
      <c r="D5" s="439"/>
      <c r="F5" s="100">
        <f>'Sales Tax and Escalation'!S45*'Pretty Picture'!X16*IF('Pretty Picture'!X4 = 1, Engineering!E12, IF('Pretty Picture'!X4 = 2, Engineering!F12,Engineering!G12))</f>
        <v>923758.38433609949</v>
      </c>
    </row>
    <row r="6" spans="2:7" s="9" customFormat="1" x14ac:dyDescent="0.25">
      <c r="B6" s="115"/>
      <c r="C6" s="96"/>
      <c r="D6" s="137" t="s">
        <v>57</v>
      </c>
      <c r="E6" s="138"/>
      <c r="F6" s="139">
        <f>'Sales Tax and Escalation'!S45*'Pretty Picture'!X16*IF('Pretty Picture'!X4 = 1, SUM(Engineering!E7:E8,Engineering!E10), IF('Pretty Picture'!X4 = 2, SUM(Engineering!F7:F8,Engineering!F10),SUM(Engineering!G7:G8,Engineering!G10)))</f>
        <v>817504.64011064998</v>
      </c>
      <c r="G6" s="135"/>
    </row>
    <row r="7" spans="2:7" s="9" customFormat="1" x14ac:dyDescent="0.25">
      <c r="B7" s="115"/>
      <c r="C7" s="96"/>
      <c r="D7" s="137" t="s">
        <v>110</v>
      </c>
      <c r="E7" s="138"/>
      <c r="F7" s="139">
        <f>'Sales Tax and Escalation'!S45*'Pretty Picture'!X16*IF('Pretty Picture'!X4 = 1, Engineering!E9, IF('Pretty Picture'!X4 = 2, Engineering!F9,Engineering!G9))</f>
        <v>106253.7442254495</v>
      </c>
    </row>
    <row r="8" spans="2:7" s="9" customFormat="1" x14ac:dyDescent="0.25">
      <c r="B8" s="115"/>
      <c r="C8" s="444" t="s">
        <v>68</v>
      </c>
      <c r="D8" s="444"/>
      <c r="F8" s="100">
        <f>SUM(F9:F11)</f>
        <v>6747182.176721313</v>
      </c>
    </row>
    <row r="9" spans="2:7" s="9" customFormat="1" x14ac:dyDescent="0.25">
      <c r="B9" s="115"/>
      <c r="C9" s="96"/>
      <c r="D9" s="137" t="s">
        <v>49</v>
      </c>
      <c r="E9" s="138"/>
      <c r="F9" s="139">
        <f>'Sales Tax and Escalation'!S46*'Pretty Picture'!X16*'Gas Upgrader'!E14</f>
        <v>6113160.8192202281</v>
      </c>
    </row>
    <row r="10" spans="2:7" s="9" customFormat="1" x14ac:dyDescent="0.25">
      <c r="B10" s="115"/>
      <c r="C10" s="96"/>
      <c r="D10" s="137" t="s">
        <v>10</v>
      </c>
      <c r="E10" s="138"/>
      <c r="F10" s="139">
        <f>'Sales Tax and Escalation'!S45*'Pretty Picture'!X16*Flare!E24</f>
        <v>142425.47008752974</v>
      </c>
    </row>
    <row r="11" spans="2:7" s="9" customFormat="1" x14ac:dyDescent="0.25">
      <c r="B11" s="115"/>
      <c r="C11" s="96"/>
      <c r="D11" s="137" t="s">
        <v>70</v>
      </c>
      <c r="E11" s="138"/>
      <c r="F11" s="139">
        <f>'Sales Tax and Escalation'!S45*'Pretty Picture'!X16*Compressor!E15</f>
        <v>491595.88741355459</v>
      </c>
    </row>
    <row r="12" spans="2:7" s="9" customFormat="1" x14ac:dyDescent="0.25">
      <c r="B12" s="115"/>
      <c r="C12" s="444" t="s">
        <v>111</v>
      </c>
      <c r="D12" s="444"/>
      <c r="E12" s="138"/>
      <c r="F12" s="100">
        <f>'Pretty Picture'!V8</f>
        <v>0</v>
      </c>
    </row>
    <row r="13" spans="2:7" s="9" customFormat="1" x14ac:dyDescent="0.25">
      <c r="B13" s="115"/>
      <c r="C13" s="444" t="s">
        <v>111</v>
      </c>
      <c r="D13" s="444"/>
      <c r="E13" s="138"/>
      <c r="F13" s="100">
        <f>'Pretty Picture'!V9</f>
        <v>0</v>
      </c>
    </row>
    <row r="14" spans="2:7" s="9" customFormat="1" x14ac:dyDescent="0.25">
      <c r="B14" s="115"/>
      <c r="C14" s="444" t="s">
        <v>76</v>
      </c>
      <c r="D14" s="444"/>
      <c r="F14" s="100">
        <f>'Sales Tax and Escalation'!S45*'Pretty Picture'!X16*IF('Pretty Picture'!X4=1,CivStr!I38,IF('Pretty Picture'!X4=2,CivStr!J38,CivStr!K38))</f>
        <v>1102429.1993084371</v>
      </c>
    </row>
    <row r="15" spans="2:7" s="9" customFormat="1" x14ac:dyDescent="0.25">
      <c r="B15" s="115"/>
      <c r="C15" s="110"/>
      <c r="D15" s="137" t="s">
        <v>112</v>
      </c>
      <c r="E15" s="140"/>
      <c r="F15" s="139">
        <f>'Sales Tax and Escalation'!S45*'Pretty Picture'!X16*IF('Pretty Picture'!X4=1,CivStr!I23,IF('Pretty Picture'!X4=2,CivStr!J23+CivStr!I23,CivStr!J23+CivStr!K23+CivStr!I23))</f>
        <v>727938.18962655601</v>
      </c>
      <c r="G15" s="110"/>
    </row>
    <row r="16" spans="2:7" s="9" customFormat="1" x14ac:dyDescent="0.25">
      <c r="B16" s="115"/>
      <c r="C16" s="110"/>
      <c r="D16" s="137" t="s">
        <v>113</v>
      </c>
      <c r="E16" s="140"/>
      <c r="F16" s="139">
        <f>'Sales Tax and Escalation'!S45*'Pretty Picture'!X16*IF('Pretty Picture'!X4=1,CivStr!I31,IF('Pretty Picture'!X4=2,CivStr!J31+CivStr!I31,CivStr!J31+CivStr!K31+CivStr!I31))</f>
        <v>299695.40802212997</v>
      </c>
      <c r="G16" s="110"/>
    </row>
    <row r="17" spans="2:7" s="9" customFormat="1" x14ac:dyDescent="0.25">
      <c r="B17" s="115"/>
      <c r="C17" s="110"/>
      <c r="D17" s="137" t="s">
        <v>114</v>
      </c>
      <c r="E17" s="140"/>
      <c r="F17" s="139">
        <f>'Sales Tax and Escalation'!S45*'Pretty Picture'!X16*IF('Pretty Picture'!X4=1,CivStr!I37,IF('Pretty Picture'!X4=2,CivStr!J37+CivStr!I37,CivStr!J37+CivStr!K37+CivStr!I37))</f>
        <v>74795.601659751032</v>
      </c>
      <c r="G17" s="110"/>
    </row>
    <row r="18" spans="2:7" s="9" customFormat="1" x14ac:dyDescent="0.25">
      <c r="B18" s="115"/>
      <c r="C18" s="444" t="s">
        <v>77</v>
      </c>
      <c r="D18" s="444"/>
      <c r="E18" s="97"/>
      <c r="F18" s="100">
        <f>'Sales Tax and Escalation'!S45*'Pretty Picture'!X16*Piping!E13</f>
        <v>1312220.6019363762</v>
      </c>
    </row>
    <row r="19" spans="2:7" s="9" customFormat="1" x14ac:dyDescent="0.25">
      <c r="B19" s="115"/>
      <c r="D19" s="137" t="s">
        <v>77</v>
      </c>
      <c r="E19" s="141"/>
      <c r="F19" s="139">
        <f>'Sales Tax and Escalation'!S45*'Pretty Picture'!X16*Piping!E13</f>
        <v>1312220.6019363762</v>
      </c>
    </row>
    <row r="20" spans="2:7" s="9" customFormat="1" x14ac:dyDescent="0.25">
      <c r="B20" s="115"/>
      <c r="C20" s="443" t="s">
        <v>79</v>
      </c>
      <c r="D20" s="443"/>
      <c r="E20" s="98"/>
      <c r="F20" s="101">
        <f>'Sales Tax and Escalation'!S45*'Pretty Picture'!X16*((IF('Pretty Picture'!X4=1,'Process Electrical'!R123,IF('Pretty Picture'!X4=2,'Process Electrical'!S123,'Process Electrical'!T123)))+Generator!E14)</f>
        <v>1274795.3220971632</v>
      </c>
    </row>
    <row r="21" spans="2:7" s="9" customFormat="1" x14ac:dyDescent="0.25">
      <c r="B21" s="115"/>
      <c r="C21" s="111"/>
      <c r="D21" s="137" t="s">
        <v>115</v>
      </c>
      <c r="E21" s="140"/>
      <c r="F21" s="139">
        <f>'Sales Tax and Escalation'!S45*'Pretty Picture'!X16*'Process Electrical'!R9</f>
        <v>66543.898525966899</v>
      </c>
      <c r="G21" s="111"/>
    </row>
    <row r="22" spans="2:7" s="9" customFormat="1" x14ac:dyDescent="0.25">
      <c r="B22" s="115"/>
      <c r="C22" s="111"/>
      <c r="D22" s="137" t="s">
        <v>116</v>
      </c>
      <c r="E22" s="140"/>
      <c r="F22" s="139">
        <f>'Sales Tax and Escalation'!S45*'Pretty Picture'!X16*IF('Pretty Picture'!X4=1,'Process Electrical'!R27,IF('Pretty Picture'!X4=2,'Process Electrical'!S27+'Process Electrical'!R27,'Process Electrical'!S27+'Process Electrical'!R27))</f>
        <v>388306.02406915621</v>
      </c>
      <c r="G22" s="111"/>
    </row>
    <row r="23" spans="2:7" s="9" customFormat="1" x14ac:dyDescent="0.25">
      <c r="B23" s="115"/>
      <c r="C23" s="111"/>
      <c r="D23" s="137" t="s">
        <v>117</v>
      </c>
      <c r="E23" s="140"/>
      <c r="F23" s="139">
        <f>'Sales Tax and Escalation'!S45*'Pretty Picture'!X16*Generator!E14</f>
        <v>87642.182295988925</v>
      </c>
      <c r="G23" s="111"/>
    </row>
    <row r="24" spans="2:7" s="9" customFormat="1" x14ac:dyDescent="0.25">
      <c r="B24" s="115"/>
      <c r="C24" s="111"/>
      <c r="D24" s="137" t="s">
        <v>118</v>
      </c>
      <c r="E24" s="140"/>
      <c r="F24" s="139">
        <f>'Sales Tax and Escalation'!S45*'Pretty Picture'!X16*IF('Pretty Picture'!X4=1,'Process Electrical'!R112,IF('Pretty Picture'!X4=2,'Process Electrical'!S112+'Process Electrical'!R112,'Process Electrical'!S112+'Process Electrical'!R112))</f>
        <v>613759.41355857556</v>
      </c>
      <c r="G24" s="111"/>
    </row>
    <row r="25" spans="2:7" s="9" customFormat="1" x14ac:dyDescent="0.25">
      <c r="B25" s="115"/>
      <c r="C25" s="111"/>
      <c r="D25" s="137" t="s">
        <v>53</v>
      </c>
      <c r="E25" s="140"/>
      <c r="F25" s="139">
        <f>'Sales Tax and Escalation'!S45*'Pretty Picture'!X16*IF('Pretty Picture'!X4=1,('Process Electrical'!R117+'Process Electrical'!R122),IF('Pretty Picture'!X4=2,'Process Electrical'!S117+'Process Electrical'!R117+'Process Electrical'!S122+'Process Electrical'!R122,'Process Electrical'!T117+'Process Electrical'!S117+'Process Electrical'!R117+'Process Electrical'!T122+'Process Electrical'!S122+'Process Electrical'!R122))</f>
        <v>118543.8036474758</v>
      </c>
      <c r="G25" s="111"/>
    </row>
    <row r="26" spans="2:7" s="9" customFormat="1" x14ac:dyDescent="0.25">
      <c r="B26" s="115"/>
      <c r="C26" s="439" t="s">
        <v>80</v>
      </c>
      <c r="D26" s="439"/>
      <c r="F26" s="100">
        <f>SUM(F27:F28)</f>
        <v>972528.01507607184</v>
      </c>
    </row>
    <row r="27" spans="2:7" s="9" customFormat="1" x14ac:dyDescent="0.25">
      <c r="B27" s="115"/>
      <c r="C27" s="96"/>
      <c r="D27" s="137" t="s">
        <v>119</v>
      </c>
      <c r="E27" s="138"/>
      <c r="F27" s="139">
        <f>'Sales Tax and Escalation'!S45*'Pretty Picture'!X16*Chromatograph!E14</f>
        <v>238548.7211618257</v>
      </c>
    </row>
    <row r="28" spans="2:7" s="9" customFormat="1" x14ac:dyDescent="0.25">
      <c r="B28" s="115"/>
      <c r="C28" s="96"/>
      <c r="D28" s="137" t="s">
        <v>120</v>
      </c>
      <c r="E28" s="138"/>
      <c r="F28" s="139">
        <f>'Sales Tax and Escalation'!S45*'Pretty Picture'!X16*'Inst. &amp; Controls'!K36</f>
        <v>733979.29391424614</v>
      </c>
    </row>
    <row r="29" spans="2:7" s="9" customFormat="1" x14ac:dyDescent="0.25">
      <c r="B29" s="115"/>
      <c r="C29" s="439" t="s">
        <v>82</v>
      </c>
      <c r="D29" s="439"/>
      <c r="F29" s="100">
        <f>'Sales Tax and Escalation'!S45*'Pretty Picture'!X16*IF('Pretty Picture'!X4=1,'Non-Process'!I50,IF('Pretty Picture'!X4=2,'Non-Process'!J50,'Non-Process'!K50))</f>
        <v>491537.82386500679</v>
      </c>
    </row>
    <row r="30" spans="2:7" s="9" customFormat="1" x14ac:dyDescent="0.25">
      <c r="B30" s="115"/>
      <c r="C30" s="96"/>
      <c r="D30" s="137" t="s">
        <v>121</v>
      </c>
      <c r="E30" s="138"/>
      <c r="F30" s="139">
        <f>'Sales Tax and Escalation'!S45*'Pretty Picture'!X16*IF('Pretty Picture'!X4 = 1, 'Non-Process'!I26, IF('Pretty Picture'!X4 = 2, 'Non-Process'!J26+'Non-Process'!I26,'Non-Process'!K26+'Non-Process'!I26))</f>
        <v>242512.68284923927</v>
      </c>
    </row>
    <row r="31" spans="2:7" s="9" customFormat="1" x14ac:dyDescent="0.25">
      <c r="B31" s="115"/>
      <c r="C31" s="96"/>
      <c r="D31" s="137" t="s">
        <v>22</v>
      </c>
      <c r="E31" s="138"/>
      <c r="F31" s="139">
        <f>'Sales Tax and Escalation'!S45*'Pretty Picture'!X16*IF('Pretty Picture'!X4 = 1, 'Non-Process'!I43, IF('Pretty Picture'!X4 = 2, 'Non-Process'!J43+'Non-Process'!I43,'Non-Process'!K43+'Non-Process'!I43))</f>
        <v>147834.17358229597</v>
      </c>
    </row>
    <row r="32" spans="2:7" s="9" customFormat="1" x14ac:dyDescent="0.25">
      <c r="B32" s="115"/>
      <c r="D32" s="137" t="s">
        <v>122</v>
      </c>
      <c r="E32" s="138"/>
      <c r="F32" s="139">
        <f>'Sales Tax and Escalation'!S45*'Pretty Picture'!X16*IF('Pretty Picture'!X4 = 1, 'Non-Process'!I49, IF('Pretty Picture'!X4 = 2, 'Non-Process'!J49+'Non-Process'!I49,'Non-Process'!K49+'Non-Process'!I49))</f>
        <v>39359.353958506217</v>
      </c>
    </row>
    <row r="33" spans="2:7" s="9" customFormat="1" x14ac:dyDescent="0.25">
      <c r="B33" s="115"/>
      <c r="C33" s="439" t="s">
        <v>7</v>
      </c>
      <c r="D33" s="439"/>
      <c r="E33" s="241">
        <v>0.09</v>
      </c>
      <c r="F33" s="100">
        <f>SUM(F5,F8,F14,F18,F20,F26,F29,F35,F34,F12,F13)*E33</f>
        <v>1154200.6371006421</v>
      </c>
      <c r="G33" s="9" t="s">
        <v>123</v>
      </c>
    </row>
    <row r="34" spans="2:7" s="9" customFormat="1" x14ac:dyDescent="0.25">
      <c r="B34" s="115"/>
      <c r="C34" s="445" t="s">
        <v>124</v>
      </c>
      <c r="D34" s="439"/>
      <c r="E34" s="138"/>
      <c r="F34" s="100">
        <f>'Pretty Picture'!X16*'Pretty Picture'!V18</f>
        <v>0</v>
      </c>
    </row>
    <row r="35" spans="2:7" s="9" customFormat="1" x14ac:dyDescent="0.25">
      <c r="B35" s="115"/>
      <c r="C35" s="445" t="s">
        <v>124</v>
      </c>
      <c r="D35" s="439"/>
      <c r="E35" s="138"/>
      <c r="F35" s="100">
        <f>'Pretty Picture'!X16*'Pretty Picture'!V19</f>
        <v>0</v>
      </c>
    </row>
    <row r="36" spans="2:7" s="9" customFormat="1" x14ac:dyDescent="0.25">
      <c r="B36" s="115"/>
      <c r="C36" s="441" t="s">
        <v>125</v>
      </c>
      <c r="D36" s="440"/>
      <c r="E36" s="95"/>
      <c r="F36" s="102">
        <f>SUM(F5,F8,F14,F18,F20,F26,F29,F35,F34,F12,F33)</f>
        <v>13978652.16044111</v>
      </c>
    </row>
    <row r="37" spans="2:7" s="9" customFormat="1" x14ac:dyDescent="0.25">
      <c r="B37" s="115"/>
      <c r="F37" s="100"/>
    </row>
    <row r="38" spans="2:7" s="9" customFormat="1" x14ac:dyDescent="0.25">
      <c r="B38" s="115"/>
      <c r="C38" s="439" t="s">
        <v>126</v>
      </c>
      <c r="D38" s="439"/>
      <c r="F38" s="100">
        <f>SUM(F39:F42)</f>
        <v>2697879.8669651346</v>
      </c>
    </row>
    <row r="39" spans="2:7" s="9" customFormat="1" x14ac:dyDescent="0.25">
      <c r="B39" s="115"/>
      <c r="D39" s="137" t="s">
        <v>87</v>
      </c>
      <c r="E39" s="142">
        <f>0.106</f>
        <v>0.106</v>
      </c>
      <c r="F39" s="139">
        <f>F36*E39</f>
        <v>1481737.1290067576</v>
      </c>
      <c r="G39" s="9" t="s">
        <v>127</v>
      </c>
    </row>
    <row r="40" spans="2:7" s="9" customFormat="1" x14ac:dyDescent="0.25">
      <c r="B40" s="115"/>
      <c r="D40" s="137" t="s">
        <v>88</v>
      </c>
      <c r="E40" s="142">
        <v>5.0000000000000001E-3</v>
      </c>
      <c r="F40" s="139">
        <f>F36*E40</f>
        <v>69893.26080220555</v>
      </c>
    </row>
    <row r="41" spans="2:7" s="9" customFormat="1" x14ac:dyDescent="0.25">
      <c r="B41" s="115"/>
      <c r="D41" s="137" t="s">
        <v>89</v>
      </c>
      <c r="E41" s="142">
        <v>2.7E-2</v>
      </c>
      <c r="F41" s="139">
        <f>F36*E41</f>
        <v>377423.60833190999</v>
      </c>
    </row>
    <row r="42" spans="2:7" s="9" customFormat="1" x14ac:dyDescent="0.25">
      <c r="B42" s="115"/>
      <c r="D42" s="137" t="s">
        <v>90</v>
      </c>
      <c r="E42" s="143">
        <v>5.5E-2</v>
      </c>
      <c r="F42" s="139">
        <f>F36*E42</f>
        <v>768825.86882426101</v>
      </c>
    </row>
    <row r="43" spans="2:7" x14ac:dyDescent="0.25">
      <c r="B43" s="115"/>
      <c r="C43" s="439" t="s">
        <v>128</v>
      </c>
      <c r="D43" s="439"/>
      <c r="E43" s="9"/>
      <c r="F43" s="100">
        <f>'Pretty Picture'!V26</f>
        <v>2200000</v>
      </c>
    </row>
    <row r="44" spans="2:7" x14ac:dyDescent="0.25">
      <c r="B44" s="115"/>
      <c r="C44" s="439" t="s">
        <v>129</v>
      </c>
      <c r="D44" s="439"/>
      <c r="E44" s="9"/>
      <c r="F44" s="100">
        <f>'Sales Tax and Escalation'!S45*'Pretty Picture'!X16*'Pretty Picture'!V27*900000</f>
        <v>1846804.9792531119</v>
      </c>
    </row>
    <row r="45" spans="2:7" x14ac:dyDescent="0.25">
      <c r="B45" s="115"/>
      <c r="C45" s="440" t="s">
        <v>130</v>
      </c>
      <c r="D45" s="440"/>
      <c r="E45" s="95"/>
      <c r="F45" s="102">
        <f>SUM(F36,F38,F43,F44)</f>
        <v>20723337.006659359</v>
      </c>
    </row>
    <row r="46" spans="2:7" s="9" customFormat="1" x14ac:dyDescent="0.25">
      <c r="B46" s="115"/>
      <c r="C46" s="439" t="s">
        <v>131</v>
      </c>
      <c r="D46" s="439"/>
      <c r="E46" s="241">
        <f>VLOOKUP('Sales Tax and Escalation'!J3,'Sales Tax and Escalation'!C4:I54,5,FALSE)</f>
        <v>0</v>
      </c>
      <c r="F46" s="100">
        <f>IF('Sales Tax and Escalation'!J5=1,F29*E46,'Calculation Sheet'!F36*'Calculation Sheet'!E46)</f>
        <v>0</v>
      </c>
    </row>
    <row r="47" spans="2:7" x14ac:dyDescent="0.25">
      <c r="B47" s="115"/>
      <c r="C47" s="439" t="s">
        <v>132</v>
      </c>
      <c r="D47" s="439"/>
      <c r="E47" s="241">
        <v>0.04</v>
      </c>
      <c r="F47" s="122">
        <f>F36-F36/'Pretty Picture'!X16</f>
        <v>0</v>
      </c>
      <c r="G47" s="9" t="s">
        <v>133</v>
      </c>
    </row>
    <row r="48" spans="2:7" x14ac:dyDescent="0.25"/>
    <row r="49" spans="2:7" x14ac:dyDescent="0.25">
      <c r="B49" s="437" t="s">
        <v>98</v>
      </c>
      <c r="C49" s="437"/>
      <c r="D49" s="437"/>
      <c r="E49" s="78"/>
      <c r="F49" s="240">
        <f>SUM(F45:F46)</f>
        <v>20723337.006659359</v>
      </c>
      <c r="G49" s="78"/>
    </row>
    <row r="50" spans="2:7" x14ac:dyDescent="0.25">
      <c r="B50" s="115"/>
      <c r="C50" s="439" t="s">
        <v>99</v>
      </c>
      <c r="D50" s="439"/>
      <c r="E50" s="241"/>
      <c r="F50" s="100">
        <f>Commercial!I13</f>
        <v>250000</v>
      </c>
      <c r="G50" s="9" t="str">
        <f>Commercial!J13</f>
        <v>Initial fee to connect to utilities (Pasco $450k)</v>
      </c>
    </row>
    <row r="51" spans="2:7" x14ac:dyDescent="0.25">
      <c r="B51" s="115"/>
      <c r="C51" s="439" t="s">
        <v>100</v>
      </c>
      <c r="D51" s="439"/>
      <c r="E51" s="241">
        <f>Commercial!G14</f>
        <v>1.4999999999999999E-2</v>
      </c>
      <c r="F51" s="100">
        <f>Commercial!I14</f>
        <v>310850.05509989039</v>
      </c>
      <c r="G51" s="9" t="str">
        <f>Commercial!J14</f>
        <v>% of EPC (quotes from McGriff/Marsh)</v>
      </c>
    </row>
    <row r="52" spans="2:7" x14ac:dyDescent="0.25">
      <c r="B52" s="115"/>
      <c r="C52" s="439" t="s">
        <v>101</v>
      </c>
      <c r="D52" s="439"/>
      <c r="E52" s="241"/>
      <c r="F52" s="100">
        <f>Commercial!I15</f>
        <v>1360000</v>
      </c>
      <c r="G52" s="9" t="s">
        <v>134</v>
      </c>
    </row>
    <row r="53" spans="2:7" x14ac:dyDescent="0.25">
      <c r="B53" s="115"/>
      <c r="C53" s="439" t="s">
        <v>102</v>
      </c>
      <c r="D53" s="439"/>
      <c r="E53" s="241">
        <f>Commercial!G16</f>
        <v>0.03</v>
      </c>
      <c r="F53" s="100">
        <f>Commercial!I16</f>
        <v>621700.11019978079</v>
      </c>
      <c r="G53" s="9" t="str">
        <f>Commercial!J16</f>
        <v>% of EPC. Project standard</v>
      </c>
    </row>
    <row r="54" spans="2:7" x14ac:dyDescent="0.25">
      <c r="B54" s="115"/>
      <c r="C54" s="439" t="s">
        <v>135</v>
      </c>
      <c r="D54" s="439"/>
      <c r="E54" s="241"/>
      <c r="F54" s="100">
        <f>Commercial!I17</f>
        <v>0</v>
      </c>
      <c r="G54" s="9" t="str">
        <f>Commercial!J17</f>
        <v>% of EPC. Unique to project</v>
      </c>
    </row>
    <row r="55" spans="2:7" x14ac:dyDescent="0.25">
      <c r="B55" s="115"/>
      <c r="C55" s="439" t="s">
        <v>103</v>
      </c>
      <c r="D55" s="439"/>
      <c r="E55" s="241"/>
      <c r="F55" s="100">
        <f>Commercial!I18</f>
        <v>426000</v>
      </c>
      <c r="G55" s="9" t="s">
        <v>134</v>
      </c>
    </row>
    <row r="56" spans="2:7" x14ac:dyDescent="0.25">
      <c r="B56" s="115"/>
      <c r="C56" s="96" t="s">
        <v>757</v>
      </c>
      <c r="D56" s="96"/>
      <c r="E56" s="241"/>
      <c r="F56" s="100">
        <f>Commercial!I19</f>
        <v>247000</v>
      </c>
      <c r="G56" s="9"/>
    </row>
    <row r="57" spans="2:7" x14ac:dyDescent="0.25">
      <c r="B57" s="115"/>
      <c r="C57" s="439" t="s">
        <v>30</v>
      </c>
      <c r="D57" s="439"/>
      <c r="E57" s="241">
        <f>Commercial!G20</f>
        <v>7.4999999999999997E-2</v>
      </c>
      <c r="F57" s="100">
        <f>Commercial!I20</f>
        <v>1554250.2754994519</v>
      </c>
      <c r="G57" s="9" t="str">
        <f>Commercial!J20</f>
        <v>% of EPC. Project standard</v>
      </c>
    </row>
    <row r="58" spans="2:7" x14ac:dyDescent="0.25">
      <c r="B58" s="115"/>
      <c r="C58" s="439"/>
      <c r="D58" s="439"/>
      <c r="E58" s="9"/>
      <c r="F58" s="100">
        <f>Commercial!I21</f>
        <v>0</v>
      </c>
      <c r="G58" s="9"/>
    </row>
    <row r="59" spans="2:7" x14ac:dyDescent="0.25">
      <c r="B59" s="115"/>
      <c r="C59" s="441" t="s">
        <v>136</v>
      </c>
      <c r="D59" s="440"/>
      <c r="E59" s="95"/>
      <c r="F59" s="102">
        <f>Commercial!I22</f>
        <v>4769800.4407991227</v>
      </c>
      <c r="G59" s="9"/>
    </row>
    <row r="60" spans="2:7" x14ac:dyDescent="0.25">
      <c r="B60" s="437" t="s">
        <v>105</v>
      </c>
      <c r="C60" s="437"/>
      <c r="D60" s="437"/>
      <c r="E60" s="44"/>
      <c r="F60" s="166">
        <f>SUM(F45:F46,F59)</f>
        <v>25493137.447458483</v>
      </c>
      <c r="G60" s="78"/>
    </row>
    <row r="61" spans="2:7" x14ac:dyDescent="0.25">
      <c r="B61" s="9"/>
      <c r="C61" s="9"/>
      <c r="D61" s="9"/>
      <c r="E61" s="9"/>
      <c r="F61" s="9"/>
      <c r="G61" s="9"/>
    </row>
    <row r="62" spans="2:7" x14ac:dyDescent="0.25">
      <c r="B62" s="437" t="s">
        <v>106</v>
      </c>
      <c r="C62" s="437" t="s">
        <v>106</v>
      </c>
      <c r="D62" s="437"/>
      <c r="E62" s="166">
        <f>SUM(F60)-F50-F29-F43</f>
        <v>22551599.623593476</v>
      </c>
      <c r="F62" s="438" t="s">
        <v>137</v>
      </c>
      <c r="G62" s="438"/>
    </row>
    <row r="63" spans="2:7" x14ac:dyDescent="0.25"/>
  </sheetData>
  <mergeCells count="34">
    <mergeCell ref="B3:D3"/>
    <mergeCell ref="C29:D29"/>
    <mergeCell ref="C36:D36"/>
    <mergeCell ref="C38:D38"/>
    <mergeCell ref="C8:D8"/>
    <mergeCell ref="C35:D35"/>
    <mergeCell ref="C33:D33"/>
    <mergeCell ref="C34:D34"/>
    <mergeCell ref="C12:D12"/>
    <mergeCell ref="C13:D13"/>
    <mergeCell ref="C5:D5"/>
    <mergeCell ref="C14:D14"/>
    <mergeCell ref="C18:D18"/>
    <mergeCell ref="B60:D60"/>
    <mergeCell ref="C4:D4"/>
    <mergeCell ref="C57:D57"/>
    <mergeCell ref="C20:D20"/>
    <mergeCell ref="C26:D26"/>
    <mergeCell ref="B62:D62"/>
    <mergeCell ref="F62:G62"/>
    <mergeCell ref="C43:D43"/>
    <mergeCell ref="C44:D44"/>
    <mergeCell ref="C45:D45"/>
    <mergeCell ref="B49:D49"/>
    <mergeCell ref="C59:D59"/>
    <mergeCell ref="C50:D50"/>
    <mergeCell ref="C51:D51"/>
    <mergeCell ref="C52:D52"/>
    <mergeCell ref="C53:D53"/>
    <mergeCell ref="C54:D54"/>
    <mergeCell ref="C55:D55"/>
    <mergeCell ref="C47:D47"/>
    <mergeCell ref="C58:D58"/>
    <mergeCell ref="C46:D46"/>
  </mergeCells>
  <conditionalFormatting sqref="C34:C35 E34:G35 C37:G42 G43:G45">
    <cfRule type="expression" dxfId="34" priority="4">
      <formula>MOD(ROW(),2)=0</formula>
    </cfRule>
  </conditionalFormatting>
  <conditionalFormatting sqref="C5:G33 C34:C35 E34:G35">
    <cfRule type="expression" dxfId="33" priority="5">
      <formula>MOD(ROW(),2)=0</formula>
    </cfRule>
  </conditionalFormatting>
  <conditionalFormatting sqref="C5:G33 C43:F44">
    <cfRule type="expression" dxfId="32" priority="1">
      <formula>MOD(ROW(),2)=0</formula>
    </cfRule>
  </conditionalFormatting>
  <conditionalFormatting sqref="C50:G58">
    <cfRule type="expression" dxfId="31" priority="2">
      <formula>MOD(ROW(),2)=0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64C58-D7B1-412F-B536-4FD4DD9EE73A}">
  <sheetPr codeName="Sheet9"/>
  <dimension ref="A1:T16"/>
  <sheetViews>
    <sheetView zoomScaleNormal="100" workbookViewId="0">
      <selection activeCell="F13" sqref="F13"/>
    </sheetView>
  </sheetViews>
  <sheetFormatPr defaultColWidth="0" defaultRowHeight="15" x14ac:dyDescent="0.25"/>
  <cols>
    <col min="1" max="1" width="5.7109375" style="31" customWidth="1"/>
    <col min="2" max="2" width="1.85546875" style="31" customWidth="1"/>
    <col min="3" max="3" width="41.42578125" style="31" customWidth="1"/>
    <col min="4" max="4" width="15.5703125" style="31" customWidth="1"/>
    <col min="5" max="5" width="18" style="31" bestFit="1" customWidth="1"/>
    <col min="6" max="6" width="55" style="31" customWidth="1"/>
    <col min="7" max="7" width="1.85546875" style="31" customWidth="1"/>
    <col min="8" max="8" width="5.7109375" style="31" customWidth="1"/>
    <col min="9" max="10" width="12.7109375" style="31" customWidth="1"/>
    <col min="11" max="11" width="9.140625" style="31" customWidth="1"/>
    <col min="12" max="13" width="16.140625" style="31" customWidth="1"/>
    <col min="14" max="14" width="53" style="31" customWidth="1"/>
    <col min="15" max="15" width="3.42578125" style="31" hidden="1" customWidth="1"/>
    <col min="16" max="17" width="9.140625" style="31" customWidth="1"/>
    <col min="18" max="18" width="9.140625" style="31" hidden="1" customWidth="1"/>
    <col min="19" max="20" width="56" style="31" hidden="1" customWidth="1"/>
    <col min="21" max="16384" width="9.140625" style="31" hidden="1"/>
  </cols>
  <sheetData>
    <row r="1" spans="1:17" ht="36" customHeight="1" x14ac:dyDescent="0.25"/>
    <row r="2" spans="1:17" customFormat="1" ht="8.1" customHeight="1" thickBot="1" x14ac:dyDescent="0.3">
      <c r="A2" s="31"/>
      <c r="B2" s="9"/>
      <c r="C2" s="9"/>
      <c r="D2" s="9"/>
      <c r="E2" s="9"/>
      <c r="F2" s="9"/>
      <c r="G2" s="9"/>
      <c r="H2" s="31"/>
      <c r="I2" s="31"/>
      <c r="J2" s="31"/>
      <c r="K2" s="31"/>
      <c r="L2" s="31"/>
      <c r="M2" s="31"/>
      <c r="N2" s="31"/>
      <c r="O2" s="31"/>
      <c r="P2" s="31"/>
      <c r="Q2" s="31"/>
    </row>
    <row r="3" spans="1:17" customFormat="1" ht="15.75" thickBot="1" x14ac:dyDescent="0.3">
      <c r="A3" s="31"/>
      <c r="B3" s="9"/>
      <c r="C3" s="287" t="s">
        <v>49</v>
      </c>
      <c r="D3" s="397"/>
      <c r="E3" s="398"/>
      <c r="F3" s="289"/>
      <c r="G3" s="9"/>
      <c r="H3" s="31"/>
      <c r="I3" s="31"/>
      <c r="J3" s="31"/>
      <c r="K3" s="31"/>
      <c r="L3" s="31"/>
      <c r="M3" s="31"/>
      <c r="N3" s="31"/>
      <c r="O3" s="31"/>
      <c r="P3" s="31"/>
      <c r="Q3" s="31"/>
    </row>
    <row r="4" spans="1:17" customFormat="1" x14ac:dyDescent="0.25">
      <c r="A4" s="31"/>
      <c r="B4" s="9"/>
      <c r="C4" s="290" t="s">
        <v>138</v>
      </c>
      <c r="D4" s="113" t="s">
        <v>139</v>
      </c>
      <c r="E4" s="117" t="s">
        <v>140</v>
      </c>
      <c r="F4" s="291" t="s">
        <v>3</v>
      </c>
      <c r="G4" s="9"/>
      <c r="H4" s="31"/>
      <c r="I4" s="446" t="s">
        <v>141</v>
      </c>
      <c r="J4" s="447"/>
      <c r="K4" s="31"/>
      <c r="L4" s="302" t="s">
        <v>142</v>
      </c>
      <c r="M4" s="303" t="s">
        <v>143</v>
      </c>
      <c r="N4" s="304" t="s">
        <v>144</v>
      </c>
      <c r="O4" t="s">
        <v>145</v>
      </c>
      <c r="P4" s="31"/>
      <c r="Q4" s="31"/>
    </row>
    <row r="5" spans="1:17" customFormat="1" x14ac:dyDescent="0.25">
      <c r="A5" s="31"/>
      <c r="B5" s="9"/>
      <c r="C5" s="313" t="s">
        <v>146</v>
      </c>
      <c r="D5" s="314">
        <v>1</v>
      </c>
      <c r="E5" s="33">
        <v>3172596</v>
      </c>
      <c r="F5" s="315"/>
      <c r="G5" s="9"/>
      <c r="H5" s="31"/>
      <c r="I5" s="319" t="s">
        <v>147</v>
      </c>
      <c r="J5" s="320" t="s">
        <v>148</v>
      </c>
      <c r="K5" s="31"/>
      <c r="L5" s="305">
        <v>0.3</v>
      </c>
      <c r="M5" s="29"/>
      <c r="N5" s="297" t="s">
        <v>149</v>
      </c>
      <c r="O5" t="s">
        <v>150</v>
      </c>
      <c r="P5" s="31"/>
      <c r="Q5" s="31"/>
    </row>
    <row r="6" spans="1:17" customFormat="1" x14ac:dyDescent="0.25">
      <c r="A6" s="31"/>
      <c r="B6" s="9"/>
      <c r="C6" s="311" t="s">
        <v>151</v>
      </c>
      <c r="D6" s="316">
        <v>2</v>
      </c>
      <c r="E6" s="120">
        <f>E5+2039310</f>
        <v>5211906</v>
      </c>
      <c r="F6" s="317"/>
      <c r="G6" s="9"/>
      <c r="H6" s="31"/>
      <c r="I6" s="305">
        <v>0.44</v>
      </c>
      <c r="J6" s="321">
        <v>0.38</v>
      </c>
      <c r="K6" s="31"/>
      <c r="L6" s="305">
        <v>0.2</v>
      </c>
      <c r="M6" s="29"/>
      <c r="N6" s="297" t="s">
        <v>152</v>
      </c>
      <c r="P6" s="31"/>
      <c r="Q6" s="31"/>
    </row>
    <row r="7" spans="1:17" customFormat="1" x14ac:dyDescent="0.25">
      <c r="A7" s="31"/>
      <c r="B7" s="9"/>
      <c r="C7" s="313" t="s">
        <v>153</v>
      </c>
      <c r="D7" s="314">
        <v>3</v>
      </c>
      <c r="E7" s="33">
        <f>E6+509941</f>
        <v>5721847</v>
      </c>
      <c r="F7" s="315"/>
      <c r="G7" s="9"/>
      <c r="H7" s="31"/>
      <c r="I7" s="305">
        <v>0.43</v>
      </c>
      <c r="J7" s="321">
        <v>0.37</v>
      </c>
      <c r="K7" s="31"/>
      <c r="L7" s="305">
        <v>0.5</v>
      </c>
      <c r="M7" s="29"/>
      <c r="N7" s="297" t="s">
        <v>154</v>
      </c>
      <c r="P7" s="31"/>
      <c r="Q7" s="31"/>
    </row>
    <row r="8" spans="1:17" customFormat="1" ht="15.75" thickBot="1" x14ac:dyDescent="0.3">
      <c r="A8" s="31"/>
      <c r="B8" s="9"/>
      <c r="C8" s="311" t="s">
        <v>719</v>
      </c>
      <c r="D8" s="316">
        <v>4</v>
      </c>
      <c r="E8" s="120">
        <v>7971358</v>
      </c>
      <c r="F8" s="317" t="s">
        <v>720</v>
      </c>
      <c r="G8" s="9"/>
      <c r="H8" s="31"/>
      <c r="I8" s="322">
        <v>0.46</v>
      </c>
      <c r="J8" s="323">
        <v>0.4</v>
      </c>
      <c r="K8" s="31"/>
      <c r="L8" s="306" t="s">
        <v>105</v>
      </c>
      <c r="M8" s="307">
        <v>53</v>
      </c>
      <c r="N8" s="308"/>
      <c r="P8" s="31"/>
      <c r="Q8" s="31"/>
    </row>
    <row r="9" spans="1:17" customFormat="1" ht="15.75" thickBot="1" x14ac:dyDescent="0.3">
      <c r="A9" s="31"/>
      <c r="B9" s="9"/>
      <c r="C9" s="295" t="s">
        <v>155</v>
      </c>
      <c r="D9" s="296">
        <f>'Pretty Picture'!X4</f>
        <v>3</v>
      </c>
      <c r="E9" s="118">
        <f>VLOOKUP(D9,D5:E8,2,TRUE)</f>
        <v>5721847</v>
      </c>
      <c r="F9" s="312"/>
      <c r="G9" s="9"/>
      <c r="H9" s="31"/>
      <c r="I9" s="31"/>
      <c r="J9" s="31"/>
      <c r="K9" s="31"/>
      <c r="L9" s="31"/>
      <c r="M9" s="31"/>
      <c r="N9" s="31"/>
      <c r="O9" s="31"/>
      <c r="P9" s="31"/>
      <c r="Q9" s="31"/>
    </row>
    <row r="10" spans="1:17" customFormat="1" x14ac:dyDescent="0.25">
      <c r="A10" s="31"/>
      <c r="B10" s="9"/>
      <c r="C10" s="290" t="s">
        <v>156</v>
      </c>
      <c r="D10" s="113" t="s">
        <v>157</v>
      </c>
      <c r="E10" s="113" t="s">
        <v>158</v>
      </c>
      <c r="F10" s="291" t="s">
        <v>3</v>
      </c>
      <c r="G10" s="9"/>
      <c r="H10" s="31"/>
      <c r="I10" s="446" t="s">
        <v>162</v>
      </c>
      <c r="J10" s="447"/>
      <c r="K10" s="31"/>
      <c r="L10" s="31"/>
      <c r="M10" s="31"/>
      <c r="N10" s="31"/>
      <c r="O10" s="9"/>
      <c r="P10" s="31"/>
      <c r="Q10" s="31"/>
    </row>
    <row r="11" spans="1:17" customFormat="1" x14ac:dyDescent="0.25">
      <c r="A11" s="31"/>
      <c r="B11" s="9"/>
      <c r="C11" s="313" t="s">
        <v>159</v>
      </c>
      <c r="D11" s="318" t="s">
        <v>145</v>
      </c>
      <c r="E11" s="33">
        <v>132000</v>
      </c>
      <c r="F11" s="315" t="s">
        <v>160</v>
      </c>
      <c r="G11" s="9"/>
      <c r="H11" s="31"/>
      <c r="I11" s="448" t="s">
        <v>163</v>
      </c>
      <c r="J11" s="449"/>
      <c r="K11" s="31"/>
      <c r="L11" s="31"/>
      <c r="M11" s="31"/>
      <c r="N11" s="31"/>
      <c r="O11" s="9"/>
      <c r="P11" s="31"/>
      <c r="Q11" s="31"/>
    </row>
    <row r="12" spans="1:17" customFormat="1" ht="15.75" thickBot="1" x14ac:dyDescent="0.3">
      <c r="A12" s="31"/>
      <c r="B12" s="9"/>
      <c r="C12" s="311" t="s">
        <v>161</v>
      </c>
      <c r="D12" s="34" t="s">
        <v>145</v>
      </c>
      <c r="E12" s="120">
        <v>100000</v>
      </c>
      <c r="F12" s="315" t="s">
        <v>160</v>
      </c>
      <c r="G12" s="9"/>
      <c r="H12" s="31"/>
      <c r="I12" s="450" t="s">
        <v>164</v>
      </c>
      <c r="J12" s="451"/>
      <c r="K12" s="31"/>
      <c r="L12" s="31"/>
      <c r="M12" s="31"/>
      <c r="N12" s="31"/>
      <c r="O12" s="9"/>
      <c r="P12" s="31"/>
      <c r="Q12" s="31"/>
    </row>
    <row r="13" spans="1:17" customFormat="1" x14ac:dyDescent="0.25">
      <c r="A13" s="31"/>
      <c r="B13" s="9"/>
      <c r="C13" s="313"/>
      <c r="D13" s="318"/>
      <c r="E13" s="33"/>
      <c r="F13" s="315"/>
      <c r="G13" s="9"/>
      <c r="H13" s="31"/>
      <c r="I13" s="31"/>
      <c r="J13" s="31"/>
      <c r="K13" s="31"/>
      <c r="L13" s="31"/>
      <c r="M13" s="31"/>
      <c r="N13" s="31"/>
      <c r="O13" s="31"/>
      <c r="P13" s="31"/>
      <c r="Q13" s="31"/>
    </row>
    <row r="14" spans="1:17" customFormat="1" ht="15.75" thickBot="1" x14ac:dyDescent="0.3">
      <c r="A14" s="31"/>
      <c r="B14" s="9"/>
      <c r="C14" s="298" t="s">
        <v>105</v>
      </c>
      <c r="D14" s="299"/>
      <c r="E14" s="300">
        <f>SUMIF(D11:D13,"yes",E11:E14)+E9</f>
        <v>5953847</v>
      </c>
      <c r="F14" s="301"/>
      <c r="G14" s="9"/>
      <c r="H14" s="31"/>
      <c r="I14" s="31"/>
      <c r="J14" s="31"/>
      <c r="K14" s="31"/>
      <c r="L14" s="31"/>
      <c r="M14" s="31"/>
      <c r="N14" s="31"/>
      <c r="O14" s="31"/>
      <c r="P14" s="31"/>
      <c r="Q14" s="31"/>
    </row>
    <row r="15" spans="1:17" customFormat="1" ht="8.1" customHeight="1" x14ac:dyDescent="0.25">
      <c r="A15" s="31"/>
      <c r="B15" s="9"/>
      <c r="C15" s="9"/>
      <c r="D15" s="9"/>
      <c r="E15" s="9"/>
      <c r="F15" s="9"/>
      <c r="G15" s="9"/>
      <c r="H15" s="31"/>
      <c r="I15" s="31"/>
      <c r="J15" s="31"/>
      <c r="K15" s="31"/>
      <c r="L15" s="31"/>
      <c r="M15" s="31"/>
      <c r="N15" s="31"/>
      <c r="O15" s="31"/>
      <c r="P15" s="31"/>
      <c r="Q15" s="31"/>
    </row>
    <row r="16" spans="1:17" ht="36" customHeight="1" x14ac:dyDescent="0.25"/>
  </sheetData>
  <mergeCells count="5">
    <mergeCell ref="I4:J4"/>
    <mergeCell ref="D3:E3"/>
    <mergeCell ref="I10:J10"/>
    <mergeCell ref="I11:J11"/>
    <mergeCell ref="I12:J12"/>
  </mergeCells>
  <dataValidations count="1">
    <dataValidation type="list" allowBlank="1" showInputMessage="1" showErrorMessage="1" sqref="D11:D13" xr:uid="{2928BFF6-9BF2-4DCE-AD0D-67C8CECC7B0F}">
      <formula1>$O$4:$O$5</formula1>
    </dataValidation>
  </dataValidations>
  <hyperlinks>
    <hyperlink ref="I11" r:id="rId1" xr:uid="{F71B9319-FB6C-459C-887C-09A3FDC41546}"/>
    <hyperlink ref="I12" r:id="rId2" xr:uid="{59E15DBD-D381-4CB6-A1DE-BF55CAB683AF}"/>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2FBE7-52D0-42B5-98AE-4D2BE1BFD2D6}">
  <sheetPr codeName="Sheet8"/>
  <dimension ref="A1:MK130"/>
  <sheetViews>
    <sheetView workbookViewId="0">
      <selection activeCell="F4" sqref="F4"/>
    </sheetView>
  </sheetViews>
  <sheetFormatPr defaultColWidth="0" defaultRowHeight="15" zeroHeight="1" x14ac:dyDescent="0.25"/>
  <cols>
    <col min="1" max="1" width="5.7109375" customWidth="1"/>
    <col min="2" max="2" width="1.85546875" customWidth="1"/>
    <col min="3" max="3" width="41.42578125" customWidth="1"/>
    <col min="4" max="4" width="6.85546875" customWidth="1"/>
    <col min="5" max="5" width="10.5703125" customWidth="1"/>
    <col min="6" max="6" width="52.140625" customWidth="1"/>
    <col min="7" max="7" width="1.85546875" customWidth="1"/>
    <col min="8" max="8" width="5.7109375" customWidth="1"/>
    <col min="9" max="9" width="16.42578125" bestFit="1" customWidth="1"/>
    <col min="10" max="10" width="14.42578125" customWidth="1"/>
    <col min="11" max="11" width="36.42578125" bestFit="1" customWidth="1"/>
    <col min="12" max="12" width="3.42578125" hidden="1" customWidth="1"/>
    <col min="13" max="14" width="9.140625" customWidth="1"/>
    <col min="15" max="15" width="11.140625" hidden="1" customWidth="1"/>
    <col min="16" max="16" width="9.140625" style="9" hidden="1" customWidth="1"/>
    <col min="17" max="17" width="56" style="9" hidden="1" customWidth="1"/>
    <col min="18" max="32" width="0" style="9" hidden="1" customWidth="1"/>
    <col min="33" max="349" width="0" hidden="1" customWidth="1"/>
    <col min="350" max="16384" width="9.140625" hidden="1"/>
  </cols>
  <sheetData>
    <row r="1" spans="1:15" ht="36" customHeight="1" x14ac:dyDescent="0.25">
      <c r="A1" s="31"/>
      <c r="B1" s="31"/>
      <c r="C1" s="31"/>
      <c r="D1" s="31"/>
      <c r="E1" s="31"/>
      <c r="F1" s="31"/>
      <c r="G1" s="31"/>
      <c r="H1" s="31"/>
      <c r="I1" s="31"/>
      <c r="J1" s="31"/>
      <c r="K1" s="31"/>
      <c r="L1" s="31"/>
      <c r="M1" s="31"/>
      <c r="N1" s="31"/>
      <c r="O1" s="31"/>
    </row>
    <row r="2" spans="1:15" ht="8.1" customHeight="1" thickBot="1" x14ac:dyDescent="0.3">
      <c r="A2" s="31"/>
      <c r="B2" s="9"/>
      <c r="C2" s="9"/>
      <c r="D2" s="9"/>
      <c r="E2" s="9"/>
      <c r="F2" s="9"/>
      <c r="G2" s="9"/>
      <c r="H2" s="31"/>
      <c r="I2" s="31"/>
      <c r="J2" s="31"/>
      <c r="K2" s="31"/>
      <c r="L2" s="31"/>
      <c r="M2" s="31"/>
      <c r="N2" s="31"/>
      <c r="O2" s="31"/>
    </row>
    <row r="3" spans="1:15" ht="15.75" thickBot="1" x14ac:dyDescent="0.3">
      <c r="A3" s="31"/>
      <c r="B3" s="9"/>
      <c r="C3" s="287" t="s">
        <v>735</v>
      </c>
      <c r="D3" s="397"/>
      <c r="E3" s="398"/>
      <c r="F3" s="359" t="s">
        <v>759</v>
      </c>
      <c r="G3" s="9"/>
      <c r="H3" s="31"/>
      <c r="I3" s="31"/>
      <c r="J3" s="31"/>
      <c r="K3" s="31"/>
      <c r="L3" s="31"/>
      <c r="M3" s="31"/>
      <c r="N3" s="31"/>
      <c r="O3" s="31"/>
    </row>
    <row r="4" spans="1:15" x14ac:dyDescent="0.25">
      <c r="A4" s="31"/>
      <c r="B4" s="9"/>
      <c r="C4" s="290" t="s">
        <v>165</v>
      </c>
      <c r="D4" s="113" t="s">
        <v>139</v>
      </c>
      <c r="E4" s="117" t="s">
        <v>140</v>
      </c>
      <c r="F4" s="291" t="s">
        <v>3</v>
      </c>
      <c r="G4" s="9"/>
      <c r="H4" s="31"/>
      <c r="I4" s="302" t="s">
        <v>142</v>
      </c>
      <c r="J4" s="303" t="s">
        <v>143</v>
      </c>
      <c r="K4" s="304" t="s">
        <v>166</v>
      </c>
      <c r="L4" t="s">
        <v>145</v>
      </c>
      <c r="M4" s="31"/>
      <c r="N4" s="31"/>
      <c r="O4" s="31"/>
    </row>
    <row r="5" spans="1:15" x14ac:dyDescent="0.25">
      <c r="A5" s="31"/>
      <c r="B5" s="9"/>
      <c r="C5" s="292" t="s">
        <v>146</v>
      </c>
      <c r="D5" s="293">
        <v>1</v>
      </c>
      <c r="E5" s="32">
        <f>IF('Pretty Picture'!X18=1,279151,67972)</f>
        <v>67972</v>
      </c>
      <c r="F5" s="294" t="str">
        <f>IF('Pretty Picture'!X18=1,"Per Zeeco Budgetary Pricing", "Persimmon 30' Flare")</f>
        <v>Persimmon 30' Flare</v>
      </c>
      <c r="G5" s="9"/>
      <c r="H5" s="31"/>
      <c r="I5" s="305">
        <v>0.15</v>
      </c>
      <c r="J5" s="28">
        <v>0</v>
      </c>
      <c r="K5" s="297" t="s">
        <v>167</v>
      </c>
      <c r="L5" t="s">
        <v>150</v>
      </c>
      <c r="M5" s="31"/>
      <c r="N5" s="31"/>
      <c r="O5" s="31" t="s">
        <v>168</v>
      </c>
    </row>
    <row r="6" spans="1:15" x14ac:dyDescent="0.25">
      <c r="A6" s="31"/>
      <c r="B6" s="9"/>
      <c r="C6" s="292" t="s">
        <v>151</v>
      </c>
      <c r="D6" s="293">
        <v>2</v>
      </c>
      <c r="E6" s="32">
        <f>IF('Pretty Picture'!X18=1,297489,67972)</f>
        <v>67972</v>
      </c>
      <c r="F6" s="294" t="str">
        <f>IF('Pretty Picture'!X18=1,"Per Zeeco Budgetary Pricing", "Persimmon 30' Flare")</f>
        <v>Persimmon 30' Flare</v>
      </c>
      <c r="G6" s="9"/>
      <c r="H6" s="31"/>
      <c r="I6" s="305">
        <v>0.5</v>
      </c>
      <c r="J6" s="28">
        <v>14</v>
      </c>
      <c r="K6" s="297" t="s">
        <v>169</v>
      </c>
      <c r="M6" s="31"/>
      <c r="N6" s="31"/>
      <c r="O6" s="31" t="s">
        <v>170</v>
      </c>
    </row>
    <row r="7" spans="1:15" x14ac:dyDescent="0.25">
      <c r="A7" s="31"/>
      <c r="B7" s="9"/>
      <c r="C7" s="292" t="s">
        <v>153</v>
      </c>
      <c r="D7" s="293">
        <v>3</v>
      </c>
      <c r="E7" s="32">
        <f>IF('Pretty Picture'!X18=1,319903,67972)</f>
        <v>67972</v>
      </c>
      <c r="F7" s="294" t="str">
        <f>IF('Pretty Picture'!X18=1,"Per Zeeco Budgetary Pricing", "Persimmon 30' Flare")</f>
        <v>Persimmon 30' Flare</v>
      </c>
      <c r="G7" s="9"/>
      <c r="H7" s="31"/>
      <c r="I7" s="305">
        <v>0.35</v>
      </c>
      <c r="J7" s="28">
        <v>30</v>
      </c>
      <c r="K7" s="297" t="s">
        <v>171</v>
      </c>
      <c r="M7" s="31"/>
      <c r="N7" s="31"/>
      <c r="O7" s="31"/>
    </row>
    <row r="8" spans="1:15" x14ac:dyDescent="0.25">
      <c r="A8" s="31"/>
      <c r="B8" s="9"/>
      <c r="C8" s="292" t="s">
        <v>726</v>
      </c>
      <c r="D8" s="293">
        <v>4</v>
      </c>
      <c r="E8" s="32">
        <f>IF('Pretty Picture'!X18=1,340279,56600)</f>
        <v>56600</v>
      </c>
      <c r="F8" s="294" t="str">
        <f>IF('Pretty Picture'!X18=1,"Extrapolated based on budgetary pricing", "Nashville 20' Flare")</f>
        <v>Nashville 20' Flare</v>
      </c>
      <c r="G8" s="9"/>
      <c r="H8" s="31"/>
      <c r="I8" s="305"/>
      <c r="J8" s="28"/>
      <c r="K8" s="297"/>
      <c r="M8" s="31"/>
      <c r="N8" s="31"/>
      <c r="O8" s="31"/>
    </row>
    <row r="9" spans="1:15" ht="15.75" thickBot="1" x14ac:dyDescent="0.3">
      <c r="A9" s="31"/>
      <c r="B9" s="9"/>
      <c r="C9" s="295" t="s">
        <v>155</v>
      </c>
      <c r="D9" s="296">
        <f>'Pretty Picture'!X4</f>
        <v>3</v>
      </c>
      <c r="E9" s="118">
        <f>VLOOKUP(D9,D5:E8,2,TRUE)</f>
        <v>67972</v>
      </c>
      <c r="F9" s="297"/>
      <c r="G9" s="9"/>
      <c r="H9" s="31"/>
      <c r="I9" s="306" t="s">
        <v>172</v>
      </c>
      <c r="J9" s="307">
        <f>SUM(J5:J7)</f>
        <v>44</v>
      </c>
      <c r="K9" s="308"/>
      <c r="M9" s="31"/>
      <c r="N9" s="31"/>
      <c r="O9" s="31"/>
    </row>
    <row r="10" spans="1:15" ht="15.75" thickBot="1" x14ac:dyDescent="0.3">
      <c r="A10" s="31"/>
      <c r="B10" s="9"/>
      <c r="C10" s="290" t="s">
        <v>156</v>
      </c>
      <c r="D10" s="113" t="s">
        <v>157</v>
      </c>
      <c r="E10" s="113" t="s">
        <v>158</v>
      </c>
      <c r="F10" s="291" t="s">
        <v>3</v>
      </c>
      <c r="G10" s="9"/>
      <c r="H10" s="31"/>
      <c r="I10" s="31"/>
      <c r="J10" s="31"/>
      <c r="K10" s="31"/>
      <c r="L10" s="31"/>
      <c r="M10" s="31"/>
      <c r="N10" s="31"/>
      <c r="O10" s="31"/>
    </row>
    <row r="11" spans="1:15" x14ac:dyDescent="0.25">
      <c r="A11" s="31"/>
      <c r="B11" s="9"/>
      <c r="C11" s="292" t="s">
        <v>173</v>
      </c>
      <c r="D11" s="28" t="s">
        <v>145</v>
      </c>
      <c r="E11" s="32">
        <v>15000</v>
      </c>
      <c r="F11" s="294" t="s">
        <v>174</v>
      </c>
      <c r="G11" s="9"/>
      <c r="H11" s="31"/>
      <c r="I11" s="446" t="s">
        <v>162</v>
      </c>
      <c r="J11" s="447"/>
      <c r="K11" s="31"/>
      <c r="L11" s="9"/>
      <c r="M11" s="31"/>
      <c r="N11" s="31"/>
      <c r="O11" s="31"/>
    </row>
    <row r="12" spans="1:15" x14ac:dyDescent="0.25">
      <c r="A12" s="31"/>
      <c r="B12" s="9"/>
      <c r="C12" s="292" t="s">
        <v>175</v>
      </c>
      <c r="D12" s="28" t="s">
        <v>145</v>
      </c>
      <c r="E12" s="32">
        <v>10000</v>
      </c>
      <c r="F12" s="294" t="s">
        <v>174</v>
      </c>
      <c r="G12" s="9"/>
      <c r="H12" s="31"/>
      <c r="I12" s="309" t="s">
        <v>616</v>
      </c>
      <c r="J12" s="310" t="s">
        <v>705</v>
      </c>
      <c r="K12" s="31"/>
      <c r="L12" s="9"/>
      <c r="M12" s="31"/>
      <c r="N12" s="31"/>
      <c r="O12" s="31"/>
    </row>
    <row r="13" spans="1:15" ht="15.75" thickBot="1" x14ac:dyDescent="0.3">
      <c r="A13" s="31"/>
      <c r="B13" s="9"/>
      <c r="C13" s="292" t="s">
        <v>176</v>
      </c>
      <c r="D13" s="28" t="s">
        <v>145</v>
      </c>
      <c r="E13" s="32">
        <v>10000</v>
      </c>
      <c r="F13" s="294" t="s">
        <v>174</v>
      </c>
      <c r="G13" s="9"/>
      <c r="H13" s="31"/>
      <c r="I13" s="450" t="s">
        <v>181</v>
      </c>
      <c r="J13" s="451"/>
      <c r="K13" s="31"/>
      <c r="L13" s="9"/>
      <c r="M13" s="31"/>
      <c r="N13" s="31"/>
      <c r="O13" s="31"/>
    </row>
    <row r="14" spans="1:15" x14ac:dyDescent="0.25">
      <c r="A14" s="31"/>
      <c r="B14" s="9"/>
      <c r="C14" s="292" t="s">
        <v>56</v>
      </c>
      <c r="D14" s="28" t="s">
        <v>145</v>
      </c>
      <c r="E14" s="32">
        <f>10665*1.016772</f>
        <v>10843.873380000001</v>
      </c>
      <c r="F14" s="294" t="s">
        <v>725</v>
      </c>
      <c r="G14" s="9"/>
      <c r="H14" s="31"/>
      <c r="I14" s="31"/>
      <c r="J14" s="31"/>
      <c r="K14" s="31"/>
      <c r="L14" s="9"/>
      <c r="M14" s="31"/>
      <c r="N14" s="31"/>
      <c r="O14" s="31"/>
    </row>
    <row r="15" spans="1:15" x14ac:dyDescent="0.25">
      <c r="A15" s="31"/>
      <c r="B15" s="9"/>
      <c r="C15" s="292" t="s">
        <v>721</v>
      </c>
      <c r="D15" s="28" t="s">
        <v>150</v>
      </c>
      <c r="E15" s="32">
        <f>12240*1.016772</f>
        <v>12445.289280000001</v>
      </c>
      <c r="F15" s="294" t="s">
        <v>725</v>
      </c>
      <c r="G15" s="9"/>
      <c r="H15" s="31"/>
      <c r="I15" s="31"/>
      <c r="J15" s="31"/>
      <c r="K15" s="31"/>
      <c r="L15" s="9"/>
      <c r="M15" s="31"/>
      <c r="N15" s="31"/>
      <c r="O15" s="31"/>
    </row>
    <row r="16" spans="1:15" x14ac:dyDescent="0.25">
      <c r="A16" s="31"/>
      <c r="B16" s="9"/>
      <c r="C16" s="292" t="s">
        <v>727</v>
      </c>
      <c r="D16" s="28" t="s">
        <v>150</v>
      </c>
      <c r="E16" s="32">
        <f>E9</f>
        <v>67972</v>
      </c>
      <c r="F16" s="294" t="s">
        <v>728</v>
      </c>
      <c r="G16" s="9"/>
      <c r="H16" s="31"/>
      <c r="I16" s="31"/>
      <c r="J16" s="31"/>
      <c r="K16" s="31"/>
      <c r="L16" s="9"/>
      <c r="M16" s="31"/>
      <c r="N16" s="31"/>
      <c r="O16" s="31"/>
    </row>
    <row r="17" spans="1:349" x14ac:dyDescent="0.25">
      <c r="A17" s="31"/>
      <c r="B17" s="9"/>
      <c r="C17" s="292" t="s">
        <v>722</v>
      </c>
      <c r="D17" s="28" t="s">
        <v>150</v>
      </c>
      <c r="E17" s="32">
        <f>14800*1.016772</f>
        <v>15048.2256</v>
      </c>
      <c r="F17" s="294" t="s">
        <v>725</v>
      </c>
      <c r="G17" s="9"/>
      <c r="H17" s="31"/>
      <c r="I17" s="31"/>
      <c r="J17" s="31"/>
      <c r="K17" s="31"/>
      <c r="L17" s="9"/>
      <c r="M17" s="31"/>
      <c r="N17" s="31"/>
      <c r="O17" s="31"/>
    </row>
    <row r="18" spans="1:349" x14ac:dyDescent="0.25">
      <c r="A18" s="31"/>
      <c r="B18" s="9"/>
      <c r="C18" s="292" t="s">
        <v>723</v>
      </c>
      <c r="D18" s="28" t="s">
        <v>150</v>
      </c>
      <c r="E18" s="32">
        <f>6900*1.016772</f>
        <v>7015.7268000000004</v>
      </c>
      <c r="F18" s="294" t="s">
        <v>725</v>
      </c>
      <c r="G18" s="9"/>
      <c r="H18" s="31"/>
      <c r="I18" s="31"/>
      <c r="J18" s="31"/>
      <c r="K18" s="31"/>
      <c r="L18" s="9"/>
      <c r="M18" s="31"/>
      <c r="N18" s="31"/>
      <c r="O18" s="31"/>
    </row>
    <row r="19" spans="1:349" x14ac:dyDescent="0.25">
      <c r="A19" s="31"/>
      <c r="B19" s="9"/>
      <c r="C19" s="292" t="s">
        <v>724</v>
      </c>
      <c r="D19" s="28" t="s">
        <v>150</v>
      </c>
      <c r="E19" s="32">
        <f>10000*1.016772</f>
        <v>10167.719999999999</v>
      </c>
      <c r="F19" s="294" t="s">
        <v>725</v>
      </c>
      <c r="G19" s="9"/>
      <c r="H19" s="31"/>
      <c r="I19" s="31"/>
      <c r="J19" s="31"/>
      <c r="K19" s="31"/>
      <c r="L19" s="9"/>
      <c r="M19" s="31"/>
      <c r="N19" s="31"/>
      <c r="O19" s="31"/>
    </row>
    <row r="20" spans="1:349" x14ac:dyDescent="0.25">
      <c r="A20" s="31"/>
      <c r="B20" s="9"/>
      <c r="C20" s="292" t="s">
        <v>177</v>
      </c>
      <c r="D20" s="28" t="s">
        <v>150</v>
      </c>
      <c r="E20" s="32"/>
      <c r="F20" s="297"/>
      <c r="G20" s="9"/>
      <c r="H20" s="31"/>
      <c r="I20" s="31"/>
      <c r="J20" s="31"/>
      <c r="K20" s="31"/>
      <c r="L20" s="9"/>
      <c r="M20" s="31"/>
      <c r="N20" s="31"/>
      <c r="O20" s="31"/>
    </row>
    <row r="21" spans="1:349" x14ac:dyDescent="0.25">
      <c r="A21" s="31"/>
      <c r="B21" s="9"/>
      <c r="C21" s="292" t="s">
        <v>178</v>
      </c>
      <c r="D21" s="28" t="s">
        <v>150</v>
      </c>
      <c r="E21" s="32"/>
      <c r="F21" s="297"/>
      <c r="G21" s="9"/>
      <c r="H21" s="31"/>
      <c r="I21" s="31"/>
      <c r="J21" s="31"/>
      <c r="K21" s="31"/>
      <c r="L21" s="9"/>
      <c r="M21" s="31"/>
      <c r="N21" s="31"/>
      <c r="O21" s="31"/>
    </row>
    <row r="22" spans="1:349" x14ac:dyDescent="0.25">
      <c r="A22" s="31"/>
      <c r="B22" s="9"/>
      <c r="C22" s="292" t="s">
        <v>179</v>
      </c>
      <c r="D22" s="28" t="s">
        <v>150</v>
      </c>
      <c r="E22" s="32"/>
      <c r="F22" s="297"/>
      <c r="G22" s="9"/>
      <c r="H22" s="31"/>
      <c r="I22" s="31"/>
      <c r="J22" s="31"/>
      <c r="K22" s="31"/>
      <c r="L22" s="9"/>
      <c r="M22" s="31"/>
      <c r="N22" s="31"/>
      <c r="O22" s="31"/>
    </row>
    <row r="23" spans="1:349" x14ac:dyDescent="0.25">
      <c r="A23" s="31"/>
      <c r="B23" s="9"/>
      <c r="C23" s="292" t="s">
        <v>180</v>
      </c>
      <c r="D23" s="28" t="s">
        <v>145</v>
      </c>
      <c r="E23" s="32">
        <v>25000</v>
      </c>
      <c r="F23" s="294" t="s">
        <v>174</v>
      </c>
      <c r="G23" s="9"/>
      <c r="H23" s="31"/>
      <c r="I23" s="31"/>
      <c r="J23" s="31"/>
      <c r="K23" s="31"/>
      <c r="L23" s="9"/>
      <c r="M23" s="31"/>
      <c r="N23" s="31"/>
      <c r="O23" s="31"/>
    </row>
    <row r="24" spans="1:349" ht="15.75" thickBot="1" x14ac:dyDescent="0.3">
      <c r="A24" s="31"/>
      <c r="B24" s="9"/>
      <c r="C24" s="298" t="s">
        <v>105</v>
      </c>
      <c r="D24" s="299"/>
      <c r="E24" s="300">
        <f>IF('Pretty Picture'!X6=2,0,SUMIF(D11:D23,"yes",E11:E24)+E9)</f>
        <v>138815.87338</v>
      </c>
      <c r="F24" s="301"/>
      <c r="G24" s="9"/>
      <c r="H24" s="31"/>
      <c r="I24" s="31"/>
      <c r="J24" s="31"/>
      <c r="K24" s="31"/>
      <c r="L24" s="9"/>
      <c r="M24" s="31"/>
      <c r="N24" s="31"/>
      <c r="O24" s="31"/>
    </row>
    <row r="25" spans="1:349" ht="8.1" customHeight="1" x14ac:dyDescent="0.25">
      <c r="A25" s="31"/>
      <c r="B25" s="9"/>
      <c r="C25" s="9"/>
      <c r="D25" s="9"/>
      <c r="E25" s="9"/>
      <c r="F25" s="9"/>
      <c r="G25" s="9"/>
      <c r="H25" s="31"/>
      <c r="I25" s="31"/>
      <c r="J25" s="31"/>
      <c r="K25" s="31"/>
      <c r="L25" s="9"/>
      <c r="M25" s="31"/>
      <c r="N25" s="31"/>
      <c r="O25" s="31"/>
    </row>
    <row r="26" spans="1:349" ht="36" customHeight="1" x14ac:dyDescent="0.25">
      <c r="A26" s="31"/>
      <c r="B26" s="31"/>
      <c r="C26" s="31"/>
      <c r="D26" s="31"/>
      <c r="E26" s="31"/>
      <c r="F26" s="31"/>
      <c r="G26" s="31"/>
      <c r="H26" s="31"/>
      <c r="I26" s="31"/>
      <c r="J26" s="31"/>
      <c r="K26" s="31"/>
      <c r="L26" s="9"/>
      <c r="M26" s="31"/>
      <c r="N26" s="31"/>
      <c r="O26" s="31"/>
    </row>
    <row r="27" spans="1:349" x14ac:dyDescent="0.25">
      <c r="A27" s="31"/>
      <c r="B27" s="31"/>
      <c r="C27" s="31"/>
      <c r="D27" s="31"/>
      <c r="E27" s="31"/>
      <c r="F27" s="31"/>
      <c r="G27" s="31"/>
      <c r="H27" s="31"/>
      <c r="I27" s="31"/>
      <c r="J27" s="31"/>
      <c r="K27" s="31"/>
      <c r="L27" s="9"/>
      <c r="M27" s="31"/>
      <c r="N27" s="31"/>
      <c r="O27" s="31"/>
    </row>
    <row r="28" spans="1:349" x14ac:dyDescent="0.25">
      <c r="A28" s="31"/>
      <c r="B28" s="31"/>
      <c r="C28" s="31"/>
      <c r="D28" s="31"/>
      <c r="E28" s="31"/>
      <c r="F28" s="31"/>
      <c r="G28" s="31"/>
      <c r="H28" s="31"/>
      <c r="I28" s="31"/>
      <c r="J28" s="31"/>
      <c r="K28" s="31"/>
      <c r="L28" s="9"/>
      <c r="M28" s="31"/>
      <c r="N28" s="31"/>
      <c r="O28" s="31"/>
    </row>
    <row r="29" spans="1:349" x14ac:dyDescent="0.25">
      <c r="A29" s="31"/>
      <c r="B29" s="31"/>
      <c r="C29" s="31"/>
      <c r="D29" s="31"/>
      <c r="E29" s="31"/>
      <c r="F29" s="31"/>
      <c r="G29" s="31"/>
      <c r="H29" s="31"/>
      <c r="I29" s="31"/>
      <c r="J29" s="31"/>
      <c r="K29" s="31"/>
      <c r="L29" s="9"/>
      <c r="M29" s="31"/>
      <c r="N29" s="31"/>
      <c r="O29" s="31"/>
      <c r="AG29" s="9"/>
      <c r="AH29" s="9"/>
      <c r="AI29" s="9"/>
      <c r="AJ29" s="9"/>
      <c r="AK29" s="9"/>
      <c r="AL29" s="9"/>
      <c r="AM29" s="9"/>
      <c r="AN29" s="9"/>
      <c r="AO29" s="9"/>
      <c r="AP29" s="9"/>
      <c r="AQ29" s="9"/>
      <c r="AR29" s="9"/>
      <c r="AS29" s="9"/>
      <c r="AT29" s="9"/>
      <c r="AU29" s="9"/>
      <c r="AV29" s="9"/>
      <c r="AW29" s="9"/>
      <c r="AX29" s="9"/>
      <c r="AY29" s="9"/>
      <c r="AZ29" s="9"/>
      <c r="BA29" s="9"/>
      <c r="BB29" s="9"/>
      <c r="BC29" s="9"/>
      <c r="BD29" s="9"/>
      <c r="BE29" s="9"/>
      <c r="BF29" s="9"/>
      <c r="BG29" s="9"/>
      <c r="BH29" s="9"/>
      <c r="BI29" s="9"/>
      <c r="BJ29" s="9"/>
      <c r="BK29" s="9"/>
      <c r="BL29" s="9"/>
      <c r="BM29" s="9"/>
      <c r="BN29" s="9"/>
      <c r="BO29" s="9"/>
      <c r="BP29" s="9"/>
      <c r="BQ29" s="9"/>
      <c r="BR29" s="9"/>
      <c r="BS29" s="9"/>
      <c r="BT29" s="9"/>
      <c r="BU29" s="9"/>
      <c r="BV29" s="9"/>
      <c r="BW29" s="9"/>
      <c r="BX29" s="9"/>
      <c r="BY29" s="9"/>
      <c r="BZ29" s="9"/>
      <c r="CA29" s="9"/>
      <c r="CB29" s="9"/>
      <c r="CC29" s="9"/>
      <c r="CD29" s="9"/>
      <c r="CE29" s="9"/>
      <c r="CF29" s="9"/>
      <c r="CG29" s="9"/>
      <c r="CH29" s="9"/>
      <c r="CI29" s="9"/>
      <c r="CJ29" s="9"/>
      <c r="CK29" s="9"/>
      <c r="CL29" s="9"/>
      <c r="CM29" s="9"/>
      <c r="CN29" s="9"/>
      <c r="CO29" s="9"/>
      <c r="CP29" s="9"/>
      <c r="CQ29" s="9"/>
      <c r="CR29" s="9"/>
      <c r="CS29" s="9"/>
      <c r="CT29" s="9"/>
      <c r="CU29" s="9"/>
      <c r="CV29" s="9"/>
      <c r="CW29" s="9"/>
      <c r="CX29" s="9"/>
      <c r="CY29" s="9"/>
      <c r="CZ29" s="9"/>
      <c r="DA29" s="9"/>
      <c r="DB29" s="9"/>
      <c r="DC29" s="9"/>
      <c r="DD29" s="9"/>
      <c r="DE29" s="9"/>
      <c r="DF29" s="9"/>
      <c r="DG29" s="9"/>
      <c r="DH29" s="9"/>
      <c r="DI29" s="9"/>
      <c r="DJ29" s="9"/>
      <c r="DK29" s="9"/>
      <c r="DL29" s="9"/>
      <c r="DM29" s="9"/>
      <c r="DN29" s="9"/>
      <c r="DO29" s="9"/>
      <c r="DP29" s="9"/>
      <c r="DQ29" s="9"/>
      <c r="DR29" s="9"/>
      <c r="DS29" s="9"/>
      <c r="DT29" s="9"/>
      <c r="DU29" s="9"/>
      <c r="DV29" s="9"/>
      <c r="DW29" s="9"/>
      <c r="DX29" s="9"/>
      <c r="DY29" s="9"/>
      <c r="DZ29" s="9"/>
      <c r="EA29" s="9"/>
      <c r="EB29" s="9"/>
      <c r="EC29" s="9"/>
      <c r="ED29" s="9"/>
      <c r="EE29" s="9"/>
      <c r="EF29" s="9"/>
      <c r="EG29" s="9"/>
      <c r="EH29" s="9"/>
      <c r="EI29" s="9"/>
      <c r="EJ29" s="9"/>
      <c r="EK29" s="9"/>
      <c r="EL29" s="9"/>
      <c r="EM29" s="9"/>
      <c r="EN29" s="9"/>
      <c r="EO29" s="9"/>
      <c r="EP29" s="9"/>
      <c r="EQ29" s="9"/>
      <c r="ER29" s="9"/>
      <c r="ES29" s="9"/>
      <c r="ET29" s="9"/>
      <c r="EU29" s="9"/>
      <c r="EV29" s="9"/>
      <c r="EW29" s="9"/>
      <c r="EX29" s="9"/>
      <c r="EY29" s="9"/>
      <c r="EZ29" s="9"/>
      <c r="FA29" s="9"/>
      <c r="FB29" s="9"/>
      <c r="FC29" s="9"/>
      <c r="FD29" s="9"/>
      <c r="FE29" s="9"/>
      <c r="FF29" s="9"/>
      <c r="FG29" s="9"/>
      <c r="FH29" s="9"/>
      <c r="FI29" s="9"/>
      <c r="FJ29" s="9"/>
      <c r="FK29" s="9"/>
      <c r="FL29" s="9"/>
      <c r="FM29" s="9"/>
      <c r="FN29" s="9"/>
      <c r="FO29" s="9"/>
      <c r="FP29" s="9"/>
      <c r="FQ29" s="9"/>
      <c r="FR29" s="9"/>
      <c r="FS29" s="9"/>
      <c r="FT29" s="9"/>
      <c r="FU29" s="9"/>
      <c r="FV29" s="9"/>
      <c r="FW29" s="9"/>
      <c r="FX29" s="9"/>
      <c r="FY29" s="9"/>
      <c r="FZ29" s="9"/>
      <c r="GA29" s="9"/>
      <c r="GB29" s="9"/>
      <c r="GC29" s="9"/>
      <c r="GD29" s="9"/>
      <c r="GE29" s="9"/>
      <c r="GF29" s="9"/>
      <c r="GG29" s="9"/>
      <c r="GH29" s="9"/>
      <c r="GI29" s="9"/>
      <c r="GJ29" s="9"/>
      <c r="GK29" s="9"/>
      <c r="GL29" s="9"/>
      <c r="GM29" s="9"/>
      <c r="GN29" s="9"/>
      <c r="GO29" s="9"/>
      <c r="GP29" s="9"/>
      <c r="GQ29" s="9"/>
      <c r="GR29" s="9"/>
      <c r="GS29" s="9"/>
      <c r="GT29" s="9"/>
      <c r="GU29" s="9"/>
      <c r="GV29" s="9"/>
      <c r="GW29" s="9"/>
      <c r="GX29" s="9"/>
      <c r="GY29" s="9"/>
      <c r="GZ29" s="9"/>
      <c r="HA29" s="9"/>
      <c r="HB29" s="9"/>
      <c r="HC29" s="9"/>
      <c r="HD29" s="9"/>
      <c r="HE29" s="9"/>
      <c r="HF29" s="9"/>
      <c r="HG29" s="9"/>
      <c r="HH29" s="9"/>
      <c r="HI29" s="9"/>
      <c r="HJ29" s="9"/>
      <c r="HK29" s="9"/>
      <c r="HL29" s="9"/>
      <c r="HM29" s="9"/>
      <c r="HN29" s="9"/>
      <c r="HO29" s="9"/>
      <c r="HP29" s="9"/>
      <c r="HQ29" s="9"/>
      <c r="HR29" s="9"/>
      <c r="HS29" s="9"/>
      <c r="HT29" s="9"/>
      <c r="HU29" s="9"/>
      <c r="HV29" s="9"/>
      <c r="HW29" s="9"/>
      <c r="HX29" s="9"/>
      <c r="HY29" s="9"/>
      <c r="HZ29" s="9"/>
      <c r="IA29" s="9"/>
      <c r="IB29" s="9"/>
      <c r="IC29" s="9"/>
      <c r="ID29" s="9"/>
      <c r="IE29" s="9"/>
      <c r="IF29" s="9"/>
      <c r="IG29" s="9"/>
      <c r="IH29" s="9"/>
      <c r="II29" s="9"/>
      <c r="IJ29" s="9"/>
      <c r="IK29" s="9"/>
      <c r="IL29" s="9"/>
      <c r="IM29" s="9"/>
      <c r="IN29" s="9"/>
      <c r="IO29" s="9"/>
      <c r="IP29" s="9"/>
      <c r="IQ29" s="9"/>
      <c r="IR29" s="9"/>
      <c r="IS29" s="9"/>
      <c r="IT29" s="9"/>
      <c r="IU29" s="9"/>
      <c r="IV29" s="9"/>
      <c r="IW29" s="9"/>
      <c r="IX29" s="9"/>
      <c r="IY29" s="9"/>
      <c r="IZ29" s="9"/>
      <c r="JA29" s="9"/>
      <c r="JB29" s="9"/>
      <c r="JC29" s="9"/>
      <c r="JD29" s="9"/>
      <c r="JE29" s="9"/>
      <c r="JF29" s="9"/>
      <c r="JG29" s="9"/>
      <c r="JH29" s="9"/>
      <c r="JI29" s="9"/>
      <c r="JJ29" s="9"/>
      <c r="JK29" s="9"/>
      <c r="JL29" s="9"/>
      <c r="JM29" s="9"/>
      <c r="JN29" s="9"/>
      <c r="JO29" s="9"/>
      <c r="JP29" s="9"/>
      <c r="JQ29" s="9"/>
      <c r="JR29" s="9"/>
      <c r="JS29" s="9"/>
      <c r="JT29" s="9"/>
      <c r="JU29" s="9"/>
      <c r="JV29" s="9"/>
      <c r="JW29" s="9"/>
      <c r="JX29" s="9"/>
      <c r="JY29" s="9"/>
      <c r="JZ29" s="9"/>
      <c r="KA29" s="9"/>
      <c r="KB29" s="9"/>
      <c r="KC29" s="9"/>
      <c r="KD29" s="9"/>
      <c r="KE29" s="9"/>
      <c r="KF29" s="9"/>
      <c r="KG29" s="9"/>
      <c r="KH29" s="9"/>
      <c r="KI29" s="9"/>
      <c r="KJ29" s="9"/>
      <c r="KK29" s="9"/>
      <c r="KL29" s="9"/>
      <c r="KM29" s="9"/>
      <c r="KN29" s="9"/>
      <c r="KO29" s="9"/>
      <c r="KP29" s="9"/>
      <c r="KQ29" s="9"/>
      <c r="KR29" s="9"/>
      <c r="KS29" s="9"/>
      <c r="KT29" s="9"/>
      <c r="KU29" s="9"/>
      <c r="KV29" s="9"/>
      <c r="KW29" s="9"/>
      <c r="KX29" s="9"/>
      <c r="KY29" s="9"/>
      <c r="KZ29" s="9"/>
      <c r="LA29" s="9"/>
      <c r="LB29" s="9"/>
      <c r="LC29" s="9"/>
      <c r="LD29" s="9"/>
      <c r="LE29" s="9"/>
      <c r="LF29" s="9"/>
      <c r="LG29" s="9"/>
      <c r="LH29" s="9"/>
      <c r="LI29" s="9"/>
      <c r="LJ29" s="9"/>
      <c r="LK29" s="9"/>
      <c r="LL29" s="9"/>
      <c r="LM29" s="9"/>
      <c r="LN29" s="9"/>
      <c r="LO29" s="9"/>
      <c r="LP29" s="9"/>
      <c r="LQ29" s="9"/>
      <c r="LR29" s="9"/>
      <c r="LS29" s="9"/>
      <c r="LT29" s="9"/>
      <c r="LU29" s="9"/>
      <c r="LV29" s="9"/>
      <c r="LW29" s="9"/>
      <c r="LX29" s="9"/>
      <c r="LY29" s="9"/>
      <c r="LZ29" s="9"/>
      <c r="MA29" s="9"/>
      <c r="MB29" s="9"/>
      <c r="MC29" s="9"/>
      <c r="MD29" s="9"/>
      <c r="ME29" s="9"/>
      <c r="MF29" s="9"/>
      <c r="MG29" s="9"/>
      <c r="MH29" s="9"/>
      <c r="MI29" s="9"/>
      <c r="MJ29" s="9"/>
      <c r="MK29" s="9"/>
    </row>
    <row r="30" spans="1:349" hidden="1" x14ac:dyDescent="0.25">
      <c r="A30" s="9"/>
      <c r="B30" s="9"/>
      <c r="C30" s="9"/>
      <c r="D30" s="9"/>
      <c r="E30" s="9"/>
      <c r="F30" s="9"/>
      <c r="G30" s="9"/>
      <c r="H30" s="9"/>
      <c r="I30" s="9"/>
      <c r="J30" s="9"/>
      <c r="K30" s="9"/>
      <c r="L30" s="9"/>
      <c r="M30" s="9"/>
      <c r="N30" s="9"/>
      <c r="O30" s="9"/>
      <c r="AG30" s="9"/>
      <c r="AH30" s="9"/>
      <c r="AI30" s="9"/>
      <c r="AJ30" s="9"/>
      <c r="AK30" s="9"/>
      <c r="AL30" s="9"/>
      <c r="AM30" s="9"/>
      <c r="AN30" s="9"/>
      <c r="AO30" s="9"/>
      <c r="AP30" s="9"/>
      <c r="AQ30" s="9"/>
      <c r="AR30" s="9"/>
      <c r="AS30" s="9"/>
      <c r="AT30" s="9"/>
      <c r="AU30" s="9"/>
      <c r="AV30" s="9"/>
      <c r="AW30" s="9"/>
      <c r="AX30" s="9"/>
      <c r="AY30" s="9"/>
      <c r="AZ30" s="9"/>
      <c r="BA30" s="9"/>
      <c r="BB30" s="9"/>
      <c r="BC30" s="9"/>
      <c r="BD30" s="9"/>
      <c r="BE30" s="9"/>
      <c r="BF30" s="9"/>
      <c r="BG30" s="9"/>
      <c r="BH30" s="9"/>
      <c r="BI30" s="9"/>
      <c r="BJ30" s="9"/>
      <c r="BK30" s="9"/>
      <c r="BL30" s="9"/>
      <c r="BM30" s="9"/>
      <c r="BN30" s="9"/>
      <c r="BO30" s="9"/>
      <c r="BP30" s="9"/>
      <c r="BQ30" s="9"/>
      <c r="BR30" s="9"/>
      <c r="BS30" s="9"/>
      <c r="BT30" s="9"/>
      <c r="BU30" s="9"/>
      <c r="BV30" s="9"/>
      <c r="BW30" s="9"/>
      <c r="BX30" s="9"/>
      <c r="BY30" s="9"/>
      <c r="BZ30" s="9"/>
      <c r="CA30" s="9"/>
      <c r="CB30" s="9"/>
      <c r="CC30" s="9"/>
      <c r="CD30" s="9"/>
      <c r="CE30" s="9"/>
      <c r="CF30" s="9"/>
      <c r="CG30" s="9"/>
      <c r="CH30" s="9"/>
      <c r="CI30" s="9"/>
      <c r="CJ30" s="9"/>
      <c r="CK30" s="9"/>
      <c r="CL30" s="9"/>
      <c r="CM30" s="9"/>
      <c r="CN30" s="9"/>
      <c r="CO30" s="9"/>
      <c r="CP30" s="9"/>
      <c r="CQ30" s="9"/>
      <c r="CR30" s="9"/>
      <c r="CS30" s="9"/>
      <c r="CT30" s="9"/>
      <c r="CU30" s="9"/>
      <c r="CV30" s="9"/>
      <c r="CW30" s="9"/>
      <c r="CX30" s="9"/>
      <c r="CY30" s="9"/>
      <c r="CZ30" s="9"/>
      <c r="DA30" s="9"/>
      <c r="DB30" s="9"/>
      <c r="DC30" s="9"/>
      <c r="DD30" s="9"/>
      <c r="DE30" s="9"/>
      <c r="DF30" s="9"/>
      <c r="DG30" s="9"/>
      <c r="DH30" s="9"/>
      <c r="DI30" s="9"/>
      <c r="DJ30" s="9"/>
      <c r="DK30" s="9"/>
      <c r="DL30" s="9"/>
      <c r="DM30" s="9"/>
      <c r="DN30" s="9"/>
      <c r="DO30" s="9"/>
      <c r="DP30" s="9"/>
      <c r="DQ30" s="9"/>
      <c r="DR30" s="9"/>
      <c r="DS30" s="9"/>
      <c r="DT30" s="9"/>
      <c r="DU30" s="9"/>
      <c r="DV30" s="9"/>
      <c r="DW30" s="9"/>
      <c r="DX30" s="9"/>
      <c r="DY30" s="9"/>
      <c r="DZ30" s="9"/>
      <c r="EA30" s="9"/>
      <c r="EB30" s="9"/>
      <c r="EC30" s="9"/>
      <c r="ED30" s="9"/>
      <c r="EE30" s="9"/>
      <c r="EF30" s="9"/>
      <c r="EG30" s="9"/>
      <c r="EH30" s="9"/>
      <c r="EI30" s="9"/>
      <c r="EJ30" s="9"/>
      <c r="EK30" s="9"/>
      <c r="EL30" s="9"/>
      <c r="EM30" s="9"/>
      <c r="EN30" s="9"/>
      <c r="EO30" s="9"/>
      <c r="EP30" s="9"/>
      <c r="EQ30" s="9"/>
      <c r="ER30" s="9"/>
      <c r="ES30" s="9"/>
      <c r="ET30" s="9"/>
      <c r="EU30" s="9"/>
      <c r="EV30" s="9"/>
      <c r="EW30" s="9"/>
      <c r="EX30" s="9"/>
      <c r="EY30" s="9"/>
      <c r="EZ30" s="9"/>
      <c r="FA30" s="9"/>
      <c r="FB30" s="9"/>
      <c r="FC30" s="9"/>
      <c r="FD30" s="9"/>
      <c r="FE30" s="9"/>
      <c r="FF30" s="9"/>
      <c r="FG30" s="9"/>
      <c r="FH30" s="9"/>
      <c r="FI30" s="9"/>
      <c r="FJ30" s="9"/>
      <c r="FK30" s="9"/>
      <c r="FL30" s="9"/>
      <c r="FM30" s="9"/>
      <c r="FN30" s="9"/>
      <c r="FO30" s="9"/>
      <c r="FP30" s="9"/>
      <c r="FQ30" s="9"/>
      <c r="FR30" s="9"/>
      <c r="FS30" s="9"/>
      <c r="FT30" s="9"/>
      <c r="FU30" s="9"/>
      <c r="FV30" s="9"/>
      <c r="FW30" s="9"/>
      <c r="FX30" s="9"/>
      <c r="FY30" s="9"/>
      <c r="FZ30" s="9"/>
      <c r="GA30" s="9"/>
      <c r="GB30" s="9"/>
      <c r="GC30" s="9"/>
      <c r="GD30" s="9"/>
      <c r="GE30" s="9"/>
      <c r="GF30" s="9"/>
      <c r="GG30" s="9"/>
      <c r="GH30" s="9"/>
      <c r="GI30" s="9"/>
      <c r="GJ30" s="9"/>
      <c r="GK30" s="9"/>
      <c r="GL30" s="9"/>
      <c r="GM30" s="9"/>
      <c r="GN30" s="9"/>
      <c r="GO30" s="9"/>
      <c r="GP30" s="9"/>
      <c r="GQ30" s="9"/>
      <c r="GR30" s="9"/>
      <c r="GS30" s="9"/>
      <c r="GT30" s="9"/>
      <c r="GU30" s="9"/>
      <c r="GV30" s="9"/>
      <c r="GW30" s="9"/>
      <c r="GX30" s="9"/>
      <c r="GY30" s="9"/>
      <c r="GZ30" s="9"/>
      <c r="HA30" s="9"/>
      <c r="HB30" s="9"/>
      <c r="HC30" s="9"/>
      <c r="HD30" s="9"/>
      <c r="HE30" s="9"/>
      <c r="HF30" s="9"/>
      <c r="HG30" s="9"/>
      <c r="HH30" s="9"/>
      <c r="HI30" s="9"/>
      <c r="HJ30" s="9"/>
      <c r="HK30" s="9"/>
      <c r="HL30" s="9"/>
      <c r="HM30" s="9"/>
      <c r="HN30" s="9"/>
      <c r="HO30" s="9"/>
      <c r="HP30" s="9"/>
      <c r="HQ30" s="9"/>
      <c r="HR30" s="9"/>
      <c r="HS30" s="9"/>
      <c r="HT30" s="9"/>
      <c r="HU30" s="9"/>
      <c r="HV30" s="9"/>
      <c r="HW30" s="9"/>
      <c r="HX30" s="9"/>
      <c r="HY30" s="9"/>
      <c r="HZ30" s="9"/>
      <c r="IA30" s="9"/>
      <c r="IB30" s="9"/>
      <c r="IC30" s="9"/>
      <c r="ID30" s="9"/>
      <c r="IE30" s="9"/>
      <c r="IF30" s="9"/>
      <c r="IG30" s="9"/>
      <c r="IH30" s="9"/>
      <c r="II30" s="9"/>
      <c r="IJ30" s="9"/>
      <c r="IK30" s="9"/>
      <c r="IL30" s="9"/>
      <c r="IM30" s="9"/>
      <c r="IN30" s="9"/>
      <c r="IO30" s="9"/>
      <c r="IP30" s="9"/>
      <c r="IQ30" s="9"/>
      <c r="IR30" s="9"/>
      <c r="IS30" s="9"/>
      <c r="IT30" s="9"/>
      <c r="IU30" s="9"/>
      <c r="IV30" s="9"/>
      <c r="IW30" s="9"/>
      <c r="IX30" s="9"/>
      <c r="IY30" s="9"/>
      <c r="IZ30" s="9"/>
      <c r="JA30" s="9"/>
      <c r="JB30" s="9"/>
      <c r="JC30" s="9"/>
      <c r="JD30" s="9"/>
      <c r="JE30" s="9"/>
      <c r="JF30" s="9"/>
      <c r="JG30" s="9"/>
      <c r="JH30" s="9"/>
      <c r="JI30" s="9"/>
      <c r="JJ30" s="9"/>
      <c r="JK30" s="9"/>
      <c r="JL30" s="9"/>
      <c r="JM30" s="9"/>
      <c r="JN30" s="9"/>
      <c r="JO30" s="9"/>
      <c r="JP30" s="9"/>
      <c r="JQ30" s="9"/>
      <c r="JR30" s="9"/>
      <c r="JS30" s="9"/>
      <c r="JT30" s="9"/>
      <c r="JU30" s="9"/>
      <c r="JV30" s="9"/>
      <c r="JW30" s="9"/>
      <c r="JX30" s="9"/>
      <c r="JY30" s="9"/>
      <c r="JZ30" s="9"/>
      <c r="KA30" s="9"/>
      <c r="KB30" s="9"/>
      <c r="KC30" s="9"/>
      <c r="KD30" s="9"/>
      <c r="KE30" s="9"/>
      <c r="KF30" s="9"/>
      <c r="KG30" s="9"/>
      <c r="KH30" s="9"/>
      <c r="KI30" s="9"/>
      <c r="KJ30" s="9"/>
      <c r="KK30" s="9"/>
      <c r="KL30" s="9"/>
      <c r="KM30" s="9"/>
      <c r="KN30" s="9"/>
      <c r="KO30" s="9"/>
      <c r="KP30" s="9"/>
      <c r="KQ30" s="9"/>
      <c r="KR30" s="9"/>
      <c r="KS30" s="9"/>
      <c r="KT30" s="9"/>
      <c r="KU30" s="9"/>
      <c r="KV30" s="9"/>
      <c r="KW30" s="9"/>
      <c r="KX30" s="9"/>
      <c r="KY30" s="9"/>
      <c r="KZ30" s="9"/>
      <c r="LA30" s="9"/>
      <c r="LB30" s="9"/>
      <c r="LC30" s="9"/>
      <c r="LD30" s="9"/>
      <c r="LE30" s="9"/>
      <c r="LF30" s="9"/>
      <c r="LG30" s="9"/>
      <c r="LH30" s="9"/>
      <c r="LI30" s="9"/>
      <c r="LJ30" s="9"/>
      <c r="LK30" s="9"/>
      <c r="LL30" s="9"/>
      <c r="LM30" s="9"/>
      <c r="LN30" s="9"/>
      <c r="LO30" s="9"/>
      <c r="LP30" s="9"/>
      <c r="LQ30" s="9"/>
      <c r="LR30" s="9"/>
      <c r="LS30" s="9"/>
      <c r="LT30" s="9"/>
      <c r="LU30" s="9"/>
      <c r="LV30" s="9"/>
      <c r="LW30" s="9"/>
      <c r="LX30" s="9"/>
      <c r="LY30" s="9"/>
      <c r="LZ30" s="9"/>
      <c r="MA30" s="9"/>
      <c r="MB30" s="9"/>
      <c r="MC30" s="9"/>
      <c r="MD30" s="9"/>
      <c r="ME30" s="9"/>
      <c r="MF30" s="9"/>
      <c r="MG30" s="9"/>
      <c r="MH30" s="9"/>
      <c r="MI30" s="9"/>
      <c r="MJ30" s="9"/>
      <c r="MK30" s="9"/>
    </row>
    <row r="31" spans="1:349" hidden="1" x14ac:dyDescent="0.25">
      <c r="A31" s="9"/>
      <c r="B31" s="9"/>
      <c r="C31" s="9"/>
      <c r="D31" s="9"/>
      <c r="E31" s="9"/>
      <c r="F31" s="9"/>
      <c r="G31" s="9"/>
      <c r="H31" s="9"/>
      <c r="I31" s="9"/>
      <c r="J31" s="9"/>
      <c r="K31" s="9"/>
      <c r="L31" s="9"/>
      <c r="M31" s="9"/>
      <c r="N31" s="9"/>
      <c r="O31" s="9"/>
      <c r="AG31" s="9"/>
      <c r="AH31" s="9"/>
      <c r="AI31" s="9"/>
      <c r="AJ31" s="9"/>
      <c r="AK31" s="9"/>
      <c r="AL31" s="9"/>
      <c r="AM31" s="9"/>
      <c r="AN31" s="9"/>
      <c r="AO31" s="9"/>
      <c r="AP31" s="9"/>
      <c r="AQ31" s="9"/>
      <c r="AR31" s="9"/>
      <c r="AS31" s="9"/>
      <c r="AT31" s="9"/>
      <c r="AU31" s="9"/>
      <c r="AV31" s="9"/>
      <c r="AW31" s="9"/>
      <c r="AX31" s="9"/>
      <c r="AY31" s="9"/>
      <c r="AZ31" s="9"/>
      <c r="BA31" s="9"/>
      <c r="BB31" s="9"/>
      <c r="BC31" s="9"/>
      <c r="BD31" s="9"/>
      <c r="BE31" s="9"/>
      <c r="BF31" s="9"/>
      <c r="BG31" s="9"/>
      <c r="BH31" s="9"/>
      <c r="BI31" s="9"/>
      <c r="BJ31" s="9"/>
      <c r="BK31" s="9"/>
      <c r="BL31" s="9"/>
      <c r="BM31" s="9"/>
      <c r="BN31" s="9"/>
      <c r="BO31" s="9"/>
      <c r="BP31" s="9"/>
      <c r="BQ31" s="9"/>
      <c r="BR31" s="9"/>
      <c r="BS31" s="9"/>
      <c r="BT31" s="9"/>
      <c r="BU31" s="9"/>
      <c r="BV31" s="9"/>
      <c r="BW31" s="9"/>
      <c r="BX31" s="9"/>
      <c r="BY31" s="9"/>
      <c r="BZ31" s="9"/>
      <c r="CA31" s="9"/>
      <c r="CB31" s="9"/>
      <c r="CC31" s="9"/>
      <c r="CD31" s="9"/>
      <c r="CE31" s="9"/>
      <c r="CF31" s="9"/>
      <c r="CG31" s="9"/>
      <c r="CH31" s="9"/>
      <c r="CI31" s="9"/>
      <c r="CJ31" s="9"/>
      <c r="CK31" s="9"/>
      <c r="CL31" s="9"/>
      <c r="CM31" s="9"/>
      <c r="CN31" s="9"/>
      <c r="CO31" s="9"/>
      <c r="CP31" s="9"/>
      <c r="CQ31" s="9"/>
      <c r="CR31" s="9"/>
      <c r="CS31" s="9"/>
      <c r="CT31" s="9"/>
      <c r="CU31" s="9"/>
      <c r="CV31" s="9"/>
      <c r="CW31" s="9"/>
      <c r="CX31" s="9"/>
      <c r="CY31" s="9"/>
      <c r="CZ31" s="9"/>
      <c r="DA31" s="9"/>
      <c r="DB31" s="9"/>
      <c r="DC31" s="9"/>
      <c r="DD31" s="9"/>
      <c r="DE31" s="9"/>
      <c r="DF31" s="9"/>
      <c r="DG31" s="9"/>
      <c r="DH31" s="9"/>
      <c r="DI31" s="9"/>
      <c r="DJ31" s="9"/>
      <c r="DK31" s="9"/>
      <c r="DL31" s="9"/>
      <c r="DM31" s="9"/>
      <c r="DN31" s="9"/>
      <c r="DO31" s="9"/>
      <c r="DP31" s="9"/>
      <c r="DQ31" s="9"/>
      <c r="DR31" s="9"/>
      <c r="DS31" s="9"/>
      <c r="DT31" s="9"/>
      <c r="DU31" s="9"/>
      <c r="DV31" s="9"/>
      <c r="DW31" s="9"/>
      <c r="DX31" s="9"/>
      <c r="DY31" s="9"/>
      <c r="DZ31" s="9"/>
      <c r="EA31" s="9"/>
      <c r="EB31" s="9"/>
      <c r="EC31" s="9"/>
      <c r="ED31" s="9"/>
      <c r="EE31" s="9"/>
      <c r="EF31" s="9"/>
      <c r="EG31" s="9"/>
      <c r="EH31" s="9"/>
      <c r="EI31" s="9"/>
      <c r="EJ31" s="9"/>
      <c r="EK31" s="9"/>
      <c r="EL31" s="9"/>
      <c r="EM31" s="9"/>
      <c r="EN31" s="9"/>
      <c r="EO31" s="9"/>
      <c r="EP31" s="9"/>
      <c r="EQ31" s="9"/>
      <c r="ER31" s="9"/>
      <c r="ES31" s="9"/>
      <c r="ET31" s="9"/>
      <c r="EU31" s="9"/>
      <c r="EV31" s="9"/>
      <c r="EW31" s="9"/>
      <c r="EX31" s="9"/>
      <c r="EY31" s="9"/>
      <c r="EZ31" s="9"/>
      <c r="FA31" s="9"/>
      <c r="FB31" s="9"/>
      <c r="FC31" s="9"/>
      <c r="FD31" s="9"/>
      <c r="FE31" s="9"/>
      <c r="FF31" s="9"/>
      <c r="FG31" s="9"/>
      <c r="FH31" s="9"/>
      <c r="FI31" s="9"/>
      <c r="FJ31" s="9"/>
      <c r="FK31" s="9"/>
      <c r="FL31" s="9"/>
      <c r="FM31" s="9"/>
      <c r="FN31" s="9"/>
      <c r="FO31" s="9"/>
      <c r="FP31" s="9"/>
      <c r="FQ31" s="9"/>
      <c r="FR31" s="9"/>
      <c r="FS31" s="9"/>
      <c r="FT31" s="9"/>
      <c r="FU31" s="9"/>
      <c r="FV31" s="9"/>
      <c r="FW31" s="9"/>
      <c r="FX31" s="9"/>
      <c r="FY31" s="9"/>
      <c r="FZ31" s="9"/>
      <c r="GA31" s="9"/>
      <c r="GB31" s="9"/>
      <c r="GC31" s="9"/>
      <c r="GD31" s="9"/>
      <c r="GE31" s="9"/>
      <c r="GF31" s="9"/>
      <c r="GG31" s="9"/>
      <c r="GH31" s="9"/>
      <c r="GI31" s="9"/>
      <c r="GJ31" s="9"/>
      <c r="GK31" s="9"/>
      <c r="GL31" s="9"/>
      <c r="GM31" s="9"/>
      <c r="GN31" s="9"/>
      <c r="GO31" s="9"/>
      <c r="GP31" s="9"/>
      <c r="GQ31" s="9"/>
      <c r="GR31" s="9"/>
      <c r="GS31" s="9"/>
      <c r="GT31" s="9"/>
      <c r="GU31" s="9"/>
      <c r="GV31" s="9"/>
      <c r="GW31" s="9"/>
      <c r="GX31" s="9"/>
      <c r="GY31" s="9"/>
      <c r="GZ31" s="9"/>
      <c r="HA31" s="9"/>
      <c r="HB31" s="9"/>
      <c r="HC31" s="9"/>
      <c r="HD31" s="9"/>
      <c r="HE31" s="9"/>
      <c r="HF31" s="9"/>
      <c r="HG31" s="9"/>
      <c r="HH31" s="9"/>
      <c r="HI31" s="9"/>
      <c r="HJ31" s="9"/>
      <c r="HK31" s="9"/>
      <c r="HL31" s="9"/>
      <c r="HM31" s="9"/>
      <c r="HN31" s="9"/>
      <c r="HO31" s="9"/>
      <c r="HP31" s="9"/>
      <c r="HQ31" s="9"/>
      <c r="HR31" s="9"/>
      <c r="HS31" s="9"/>
      <c r="HT31" s="9"/>
      <c r="HU31" s="9"/>
      <c r="HV31" s="9"/>
      <c r="HW31" s="9"/>
      <c r="HX31" s="9"/>
      <c r="HY31" s="9"/>
      <c r="HZ31" s="9"/>
      <c r="IA31" s="9"/>
      <c r="IB31" s="9"/>
      <c r="IC31" s="9"/>
      <c r="ID31" s="9"/>
      <c r="IE31" s="9"/>
      <c r="IF31" s="9"/>
      <c r="IG31" s="9"/>
      <c r="IH31" s="9"/>
      <c r="II31" s="9"/>
      <c r="IJ31" s="9"/>
      <c r="IK31" s="9"/>
      <c r="IL31" s="9"/>
      <c r="IM31" s="9"/>
      <c r="IN31" s="9"/>
      <c r="IO31" s="9"/>
      <c r="IP31" s="9"/>
      <c r="IQ31" s="9"/>
      <c r="IR31" s="9"/>
      <c r="IS31" s="9"/>
      <c r="IT31" s="9"/>
      <c r="IU31" s="9"/>
      <c r="IV31" s="9"/>
      <c r="IW31" s="9"/>
      <c r="IX31" s="9"/>
      <c r="IY31" s="9"/>
      <c r="IZ31" s="9"/>
      <c r="JA31" s="9"/>
      <c r="JB31" s="9"/>
      <c r="JC31" s="9"/>
      <c r="JD31" s="9"/>
      <c r="JE31" s="9"/>
      <c r="JF31" s="9"/>
      <c r="JG31" s="9"/>
      <c r="JH31" s="9"/>
      <c r="JI31" s="9"/>
      <c r="JJ31" s="9"/>
      <c r="JK31" s="9"/>
      <c r="JL31" s="9"/>
      <c r="JM31" s="9"/>
      <c r="JN31" s="9"/>
      <c r="JO31" s="9"/>
      <c r="JP31" s="9"/>
      <c r="JQ31" s="9"/>
      <c r="JR31" s="9"/>
      <c r="JS31" s="9"/>
      <c r="JT31" s="9"/>
      <c r="JU31" s="9"/>
      <c r="JV31" s="9"/>
      <c r="JW31" s="9"/>
      <c r="JX31" s="9"/>
      <c r="JY31" s="9"/>
      <c r="JZ31" s="9"/>
      <c r="KA31" s="9"/>
      <c r="KB31" s="9"/>
      <c r="KC31" s="9"/>
      <c r="KD31" s="9"/>
      <c r="KE31" s="9"/>
      <c r="KF31" s="9"/>
      <c r="KG31" s="9"/>
      <c r="KH31" s="9"/>
      <c r="KI31" s="9"/>
      <c r="KJ31" s="9"/>
      <c r="KK31" s="9"/>
      <c r="KL31" s="9"/>
      <c r="KM31" s="9"/>
      <c r="KN31" s="9"/>
      <c r="KO31" s="9"/>
      <c r="KP31" s="9"/>
      <c r="KQ31" s="9"/>
      <c r="KR31" s="9"/>
      <c r="KS31" s="9"/>
      <c r="KT31" s="9"/>
      <c r="KU31" s="9"/>
      <c r="KV31" s="9"/>
      <c r="KW31" s="9"/>
      <c r="KX31" s="9"/>
      <c r="KY31" s="9"/>
      <c r="KZ31" s="9"/>
      <c r="LA31" s="9"/>
      <c r="LB31" s="9"/>
      <c r="LC31" s="9"/>
      <c r="LD31" s="9"/>
      <c r="LE31" s="9"/>
      <c r="LF31" s="9"/>
      <c r="LG31" s="9"/>
      <c r="LH31" s="9"/>
      <c r="LI31" s="9"/>
      <c r="LJ31" s="9"/>
      <c r="LK31" s="9"/>
      <c r="LL31" s="9"/>
      <c r="LM31" s="9"/>
      <c r="LN31" s="9"/>
      <c r="LO31" s="9"/>
      <c r="LP31" s="9"/>
      <c r="LQ31" s="9"/>
      <c r="LR31" s="9"/>
      <c r="LS31" s="9"/>
      <c r="LT31" s="9"/>
      <c r="LU31" s="9"/>
      <c r="LV31" s="9"/>
      <c r="LW31" s="9"/>
      <c r="LX31" s="9"/>
      <c r="LY31" s="9"/>
      <c r="LZ31" s="9"/>
      <c r="MA31" s="9"/>
      <c r="MB31" s="9"/>
      <c r="MC31" s="9"/>
      <c r="MD31" s="9"/>
      <c r="ME31" s="9"/>
      <c r="MF31" s="9"/>
      <c r="MG31" s="9"/>
      <c r="MH31" s="9"/>
      <c r="MI31" s="9"/>
      <c r="MJ31" s="9"/>
      <c r="MK31" s="9"/>
    </row>
    <row r="32" spans="1:349" hidden="1" x14ac:dyDescent="0.25">
      <c r="A32" s="9"/>
      <c r="B32" s="9"/>
      <c r="C32" s="9"/>
      <c r="D32" s="9"/>
      <c r="E32" s="9"/>
      <c r="F32" s="9"/>
      <c r="G32" s="9"/>
      <c r="H32" s="9"/>
      <c r="I32" s="9"/>
      <c r="J32" s="9"/>
      <c r="K32" s="9"/>
      <c r="L32" s="9"/>
      <c r="M32" s="9"/>
      <c r="N32" s="9"/>
      <c r="O32" s="9"/>
      <c r="AG32" s="9"/>
      <c r="AH32" s="9"/>
      <c r="AI32" s="9"/>
      <c r="AJ32" s="9"/>
      <c r="AK32" s="9"/>
      <c r="AL32" s="9"/>
      <c r="AM32" s="9"/>
      <c r="AN32" s="9"/>
      <c r="AO32" s="9"/>
      <c r="AP32" s="9"/>
      <c r="AQ32" s="9"/>
      <c r="AR32" s="9"/>
      <c r="AS32" s="9"/>
      <c r="AT32" s="9"/>
      <c r="AU32" s="9"/>
      <c r="AV32" s="9"/>
      <c r="AW32" s="9"/>
      <c r="AX32" s="9"/>
      <c r="AY32" s="9"/>
      <c r="AZ32" s="9"/>
      <c r="BA32" s="9"/>
      <c r="BB32" s="9"/>
      <c r="BC32" s="9"/>
      <c r="BD32" s="9"/>
      <c r="BE32" s="9"/>
      <c r="BF32" s="9"/>
      <c r="BG32" s="9"/>
      <c r="BH32" s="9"/>
      <c r="BI32" s="9"/>
      <c r="BJ32" s="9"/>
      <c r="BK32" s="9"/>
      <c r="BL32" s="9"/>
      <c r="BM32" s="9"/>
      <c r="BN32" s="9"/>
      <c r="BO32" s="9"/>
      <c r="BP32" s="9"/>
      <c r="BQ32" s="9"/>
      <c r="BR32" s="9"/>
      <c r="BS32" s="9"/>
      <c r="BT32" s="9"/>
      <c r="BU32" s="9"/>
      <c r="BV32" s="9"/>
      <c r="BW32" s="9"/>
      <c r="BX32" s="9"/>
      <c r="BY32" s="9"/>
      <c r="BZ32" s="9"/>
      <c r="CA32" s="9"/>
      <c r="CB32" s="9"/>
      <c r="CC32" s="9"/>
      <c r="CD32" s="9"/>
      <c r="CE32" s="9"/>
      <c r="CF32" s="9"/>
      <c r="CG32" s="9"/>
      <c r="CH32" s="9"/>
      <c r="CI32" s="9"/>
      <c r="CJ32" s="9"/>
      <c r="CK32" s="9"/>
      <c r="CL32" s="9"/>
      <c r="CM32" s="9"/>
      <c r="CN32" s="9"/>
      <c r="CO32" s="9"/>
      <c r="CP32" s="9"/>
      <c r="CQ32" s="9"/>
      <c r="CR32" s="9"/>
      <c r="CS32" s="9"/>
      <c r="CT32" s="9"/>
      <c r="CU32" s="9"/>
      <c r="CV32" s="9"/>
      <c r="CW32" s="9"/>
      <c r="CX32" s="9"/>
      <c r="CY32" s="9"/>
      <c r="CZ32" s="9"/>
      <c r="DA32" s="9"/>
      <c r="DB32" s="9"/>
      <c r="DC32" s="9"/>
      <c r="DD32" s="9"/>
      <c r="DE32" s="9"/>
      <c r="DF32" s="9"/>
      <c r="DG32" s="9"/>
      <c r="DH32" s="9"/>
      <c r="DI32" s="9"/>
      <c r="DJ32" s="9"/>
      <c r="DK32" s="9"/>
      <c r="DL32" s="9"/>
      <c r="DM32" s="9"/>
      <c r="DN32" s="9"/>
      <c r="DO32" s="9"/>
      <c r="DP32" s="9"/>
      <c r="DQ32" s="9"/>
      <c r="DR32" s="9"/>
      <c r="DS32" s="9"/>
      <c r="DT32" s="9"/>
      <c r="DU32" s="9"/>
      <c r="DV32" s="9"/>
      <c r="DW32" s="9"/>
      <c r="DX32" s="9"/>
      <c r="DY32" s="9"/>
      <c r="DZ32" s="9"/>
      <c r="EA32" s="9"/>
      <c r="EB32" s="9"/>
      <c r="EC32" s="9"/>
      <c r="ED32" s="9"/>
      <c r="EE32" s="9"/>
      <c r="EF32" s="9"/>
      <c r="EG32" s="9"/>
      <c r="EH32" s="9"/>
      <c r="EI32" s="9"/>
      <c r="EJ32" s="9"/>
      <c r="EK32" s="9"/>
      <c r="EL32" s="9"/>
      <c r="EM32" s="9"/>
      <c r="EN32" s="9"/>
      <c r="EO32" s="9"/>
      <c r="EP32" s="9"/>
      <c r="EQ32" s="9"/>
      <c r="ER32" s="9"/>
      <c r="ES32" s="9"/>
      <c r="ET32" s="9"/>
      <c r="EU32" s="9"/>
      <c r="EV32" s="9"/>
      <c r="EW32" s="9"/>
      <c r="EX32" s="9"/>
      <c r="EY32" s="9"/>
      <c r="EZ32" s="9"/>
      <c r="FA32" s="9"/>
      <c r="FB32" s="9"/>
      <c r="FC32" s="9"/>
      <c r="FD32" s="9"/>
      <c r="FE32" s="9"/>
      <c r="FF32" s="9"/>
      <c r="FG32" s="9"/>
      <c r="FH32" s="9"/>
      <c r="FI32" s="9"/>
      <c r="FJ32" s="9"/>
      <c r="FK32" s="9"/>
      <c r="FL32" s="9"/>
      <c r="FM32" s="9"/>
      <c r="FN32" s="9"/>
      <c r="FO32" s="9"/>
      <c r="FP32" s="9"/>
      <c r="FQ32" s="9"/>
      <c r="FR32" s="9"/>
      <c r="FS32" s="9"/>
      <c r="FT32" s="9"/>
      <c r="FU32" s="9"/>
      <c r="FV32" s="9"/>
      <c r="FW32" s="9"/>
      <c r="FX32" s="9"/>
      <c r="FY32" s="9"/>
      <c r="FZ32" s="9"/>
      <c r="GA32" s="9"/>
      <c r="GB32" s="9"/>
      <c r="GC32" s="9"/>
      <c r="GD32" s="9"/>
      <c r="GE32" s="9"/>
      <c r="GF32" s="9"/>
      <c r="GG32" s="9"/>
      <c r="GH32" s="9"/>
      <c r="GI32" s="9"/>
      <c r="GJ32" s="9"/>
      <c r="GK32" s="9"/>
      <c r="GL32" s="9"/>
      <c r="GM32" s="9"/>
      <c r="GN32" s="9"/>
      <c r="GO32" s="9"/>
      <c r="GP32" s="9"/>
      <c r="GQ32" s="9"/>
      <c r="GR32" s="9"/>
      <c r="GS32" s="9"/>
      <c r="GT32" s="9"/>
      <c r="GU32" s="9"/>
      <c r="GV32" s="9"/>
      <c r="GW32" s="9"/>
      <c r="GX32" s="9"/>
      <c r="GY32" s="9"/>
      <c r="GZ32" s="9"/>
      <c r="HA32" s="9"/>
      <c r="HB32" s="9"/>
      <c r="HC32" s="9"/>
      <c r="HD32" s="9"/>
      <c r="HE32" s="9"/>
      <c r="HF32" s="9"/>
      <c r="HG32" s="9"/>
      <c r="HH32" s="9"/>
      <c r="HI32" s="9"/>
      <c r="HJ32" s="9"/>
      <c r="HK32" s="9"/>
      <c r="HL32" s="9"/>
      <c r="HM32" s="9"/>
      <c r="HN32" s="9"/>
      <c r="HO32" s="9"/>
      <c r="HP32" s="9"/>
      <c r="HQ32" s="9"/>
      <c r="HR32" s="9"/>
      <c r="HS32" s="9"/>
      <c r="HT32" s="9"/>
      <c r="HU32" s="9"/>
      <c r="HV32" s="9"/>
      <c r="HW32" s="9"/>
      <c r="HX32" s="9"/>
      <c r="HY32" s="9"/>
      <c r="HZ32" s="9"/>
      <c r="IA32" s="9"/>
      <c r="IB32" s="9"/>
      <c r="IC32" s="9"/>
      <c r="ID32" s="9"/>
      <c r="IE32" s="9"/>
      <c r="IF32" s="9"/>
      <c r="IG32" s="9"/>
      <c r="IH32" s="9"/>
      <c r="II32" s="9"/>
      <c r="IJ32" s="9"/>
      <c r="IK32" s="9"/>
      <c r="IL32" s="9"/>
      <c r="IM32" s="9"/>
      <c r="IN32" s="9"/>
      <c r="IO32" s="9"/>
      <c r="IP32" s="9"/>
      <c r="IQ32" s="9"/>
      <c r="IR32" s="9"/>
      <c r="IS32" s="9"/>
      <c r="IT32" s="9"/>
      <c r="IU32" s="9"/>
      <c r="IV32" s="9"/>
      <c r="IW32" s="9"/>
      <c r="IX32" s="9"/>
      <c r="IY32" s="9"/>
      <c r="IZ32" s="9"/>
      <c r="JA32" s="9"/>
      <c r="JB32" s="9"/>
      <c r="JC32" s="9"/>
      <c r="JD32" s="9"/>
      <c r="JE32" s="9"/>
      <c r="JF32" s="9"/>
      <c r="JG32" s="9"/>
      <c r="JH32" s="9"/>
      <c r="JI32" s="9"/>
      <c r="JJ32" s="9"/>
      <c r="JK32" s="9"/>
      <c r="JL32" s="9"/>
      <c r="JM32" s="9"/>
      <c r="JN32" s="9"/>
      <c r="JO32" s="9"/>
      <c r="JP32" s="9"/>
      <c r="JQ32" s="9"/>
      <c r="JR32" s="9"/>
      <c r="JS32" s="9"/>
      <c r="JT32" s="9"/>
      <c r="JU32" s="9"/>
      <c r="JV32" s="9"/>
      <c r="JW32" s="9"/>
      <c r="JX32" s="9"/>
      <c r="JY32" s="9"/>
      <c r="JZ32" s="9"/>
      <c r="KA32" s="9"/>
      <c r="KB32" s="9"/>
      <c r="KC32" s="9"/>
      <c r="KD32" s="9"/>
      <c r="KE32" s="9"/>
      <c r="KF32" s="9"/>
      <c r="KG32" s="9"/>
      <c r="KH32" s="9"/>
      <c r="KI32" s="9"/>
      <c r="KJ32" s="9"/>
      <c r="KK32" s="9"/>
      <c r="KL32" s="9"/>
      <c r="KM32" s="9"/>
      <c r="KN32" s="9"/>
      <c r="KO32" s="9"/>
      <c r="KP32" s="9"/>
      <c r="KQ32" s="9"/>
      <c r="KR32" s="9"/>
      <c r="KS32" s="9"/>
      <c r="KT32" s="9"/>
      <c r="KU32" s="9"/>
      <c r="KV32" s="9"/>
      <c r="KW32" s="9"/>
      <c r="KX32" s="9"/>
      <c r="KY32" s="9"/>
      <c r="KZ32" s="9"/>
      <c r="LA32" s="9"/>
      <c r="LB32" s="9"/>
      <c r="LC32" s="9"/>
      <c r="LD32" s="9"/>
      <c r="LE32" s="9"/>
      <c r="LF32" s="9"/>
      <c r="LG32" s="9"/>
      <c r="LH32" s="9"/>
      <c r="LI32" s="9"/>
      <c r="LJ32" s="9"/>
      <c r="LK32" s="9"/>
      <c r="LL32" s="9"/>
      <c r="LM32" s="9"/>
      <c r="LN32" s="9"/>
      <c r="LO32" s="9"/>
      <c r="LP32" s="9"/>
      <c r="LQ32" s="9"/>
      <c r="LR32" s="9"/>
      <c r="LS32" s="9"/>
      <c r="LT32" s="9"/>
      <c r="LU32" s="9"/>
      <c r="LV32" s="9"/>
      <c r="LW32" s="9"/>
      <c r="LX32" s="9"/>
      <c r="LY32" s="9"/>
      <c r="LZ32" s="9"/>
      <c r="MA32" s="9"/>
      <c r="MB32" s="9"/>
      <c r="MC32" s="9"/>
      <c r="MD32" s="9"/>
      <c r="ME32" s="9"/>
      <c r="MF32" s="9"/>
      <c r="MG32" s="9"/>
      <c r="MH32" s="9"/>
      <c r="MI32" s="9"/>
      <c r="MJ32" s="9"/>
      <c r="MK32" s="9"/>
    </row>
    <row r="33" spans="1:349" hidden="1" x14ac:dyDescent="0.25">
      <c r="A33" s="9"/>
      <c r="B33" s="9"/>
      <c r="C33" s="9"/>
      <c r="D33" s="9"/>
      <c r="E33" s="9"/>
      <c r="F33" s="9"/>
      <c r="G33" s="9"/>
      <c r="H33" s="9"/>
      <c r="I33" s="9"/>
      <c r="J33" s="9"/>
      <c r="K33" s="9"/>
      <c r="L33" s="9"/>
      <c r="M33" s="9"/>
      <c r="N33" s="9"/>
      <c r="O33" s="9"/>
      <c r="AG33" s="9"/>
      <c r="AH33" s="9"/>
      <c r="AI33" s="9"/>
      <c r="AJ33" s="9"/>
      <c r="AK33" s="9"/>
      <c r="AL33" s="9"/>
      <c r="AM33" s="9"/>
      <c r="AN33" s="9"/>
      <c r="AO33" s="9"/>
      <c r="AP33" s="9"/>
      <c r="AQ33" s="9"/>
      <c r="AR33" s="9"/>
      <c r="AS33" s="9"/>
      <c r="AT33" s="9"/>
      <c r="AU33" s="9"/>
      <c r="AV33" s="9"/>
      <c r="AW33" s="9"/>
      <c r="AX33" s="9"/>
      <c r="AY33" s="9"/>
      <c r="AZ33" s="9"/>
      <c r="BA33" s="9"/>
      <c r="BB33" s="9"/>
      <c r="BC33" s="9"/>
      <c r="BD33" s="9"/>
      <c r="BE33" s="9"/>
      <c r="BF33" s="9"/>
      <c r="BG33" s="9"/>
      <c r="BH33" s="9"/>
      <c r="BI33" s="9"/>
      <c r="BJ33" s="9"/>
      <c r="BK33" s="9"/>
      <c r="BL33" s="9"/>
      <c r="BM33" s="9"/>
      <c r="BN33" s="9"/>
      <c r="BO33" s="9"/>
      <c r="BP33" s="9"/>
      <c r="BQ33" s="9"/>
      <c r="BR33" s="9"/>
      <c r="BS33" s="9"/>
      <c r="BT33" s="9"/>
      <c r="BU33" s="9"/>
      <c r="BV33" s="9"/>
      <c r="BW33" s="9"/>
      <c r="BX33" s="9"/>
      <c r="BY33" s="9"/>
      <c r="BZ33" s="9"/>
      <c r="CA33" s="9"/>
      <c r="CB33" s="9"/>
      <c r="CC33" s="9"/>
      <c r="CD33" s="9"/>
      <c r="CE33" s="9"/>
      <c r="CF33" s="9"/>
      <c r="CG33" s="9"/>
      <c r="CH33" s="9"/>
      <c r="CI33" s="9"/>
      <c r="CJ33" s="9"/>
      <c r="CK33" s="9"/>
      <c r="CL33" s="9"/>
      <c r="CM33" s="9"/>
      <c r="CN33" s="9"/>
      <c r="CO33" s="9"/>
      <c r="CP33" s="9"/>
      <c r="CQ33" s="9"/>
      <c r="CR33" s="9"/>
      <c r="CS33" s="9"/>
      <c r="CT33" s="9"/>
      <c r="CU33" s="9"/>
      <c r="CV33" s="9"/>
      <c r="CW33" s="9"/>
      <c r="CX33" s="9"/>
      <c r="CY33" s="9"/>
      <c r="CZ33" s="9"/>
      <c r="DA33" s="9"/>
      <c r="DB33" s="9"/>
      <c r="DC33" s="9"/>
      <c r="DD33" s="9"/>
      <c r="DE33" s="9"/>
      <c r="DF33" s="9"/>
      <c r="DG33" s="9"/>
      <c r="DH33" s="9"/>
      <c r="DI33" s="9"/>
      <c r="DJ33" s="9"/>
      <c r="DK33" s="9"/>
      <c r="DL33" s="9"/>
      <c r="DM33" s="9"/>
      <c r="DN33" s="9"/>
      <c r="DO33" s="9"/>
      <c r="DP33" s="9"/>
      <c r="DQ33" s="9"/>
      <c r="DR33" s="9"/>
      <c r="DS33" s="9"/>
      <c r="DT33" s="9"/>
      <c r="DU33" s="9"/>
      <c r="DV33" s="9"/>
      <c r="DW33" s="9"/>
      <c r="DX33" s="9"/>
      <c r="DY33" s="9"/>
      <c r="DZ33" s="9"/>
      <c r="EA33" s="9"/>
      <c r="EB33" s="9"/>
      <c r="EC33" s="9"/>
      <c r="ED33" s="9"/>
      <c r="EE33" s="9"/>
      <c r="EF33" s="9"/>
      <c r="EG33" s="9"/>
      <c r="EH33" s="9"/>
      <c r="EI33" s="9"/>
      <c r="EJ33" s="9"/>
      <c r="EK33" s="9"/>
      <c r="EL33" s="9"/>
      <c r="EM33" s="9"/>
      <c r="EN33" s="9"/>
      <c r="EO33" s="9"/>
      <c r="EP33" s="9"/>
      <c r="EQ33" s="9"/>
      <c r="ER33" s="9"/>
      <c r="ES33" s="9"/>
      <c r="ET33" s="9"/>
      <c r="EU33" s="9"/>
      <c r="EV33" s="9"/>
      <c r="EW33" s="9"/>
      <c r="EX33" s="9"/>
      <c r="EY33" s="9"/>
      <c r="EZ33" s="9"/>
      <c r="FA33" s="9"/>
      <c r="FB33" s="9"/>
      <c r="FC33" s="9"/>
      <c r="FD33" s="9"/>
      <c r="FE33" s="9"/>
      <c r="FF33" s="9"/>
      <c r="FG33" s="9"/>
      <c r="FH33" s="9"/>
      <c r="FI33" s="9"/>
      <c r="FJ33" s="9"/>
      <c r="FK33" s="9"/>
      <c r="FL33" s="9"/>
      <c r="FM33" s="9"/>
      <c r="FN33" s="9"/>
      <c r="FO33" s="9"/>
      <c r="FP33" s="9"/>
      <c r="FQ33" s="9"/>
      <c r="FR33" s="9"/>
      <c r="FS33" s="9"/>
      <c r="FT33" s="9"/>
      <c r="FU33" s="9"/>
      <c r="FV33" s="9"/>
      <c r="FW33" s="9"/>
      <c r="FX33" s="9"/>
      <c r="FY33" s="9"/>
      <c r="FZ33" s="9"/>
      <c r="GA33" s="9"/>
      <c r="GB33" s="9"/>
      <c r="GC33" s="9"/>
      <c r="GD33" s="9"/>
      <c r="GE33" s="9"/>
      <c r="GF33" s="9"/>
      <c r="GG33" s="9"/>
      <c r="GH33" s="9"/>
      <c r="GI33" s="9"/>
      <c r="GJ33" s="9"/>
      <c r="GK33" s="9"/>
      <c r="GL33" s="9"/>
      <c r="GM33" s="9"/>
      <c r="GN33" s="9"/>
      <c r="GO33" s="9"/>
      <c r="GP33" s="9"/>
      <c r="GQ33" s="9"/>
      <c r="GR33" s="9"/>
      <c r="GS33" s="9"/>
      <c r="GT33" s="9"/>
      <c r="GU33" s="9"/>
      <c r="GV33" s="9"/>
      <c r="GW33" s="9"/>
      <c r="GX33" s="9"/>
      <c r="GY33" s="9"/>
      <c r="GZ33" s="9"/>
      <c r="HA33" s="9"/>
      <c r="HB33" s="9"/>
      <c r="HC33" s="9"/>
      <c r="HD33" s="9"/>
      <c r="HE33" s="9"/>
      <c r="HF33" s="9"/>
      <c r="HG33" s="9"/>
      <c r="HH33" s="9"/>
      <c r="HI33" s="9"/>
      <c r="HJ33" s="9"/>
      <c r="HK33" s="9"/>
      <c r="HL33" s="9"/>
      <c r="HM33" s="9"/>
      <c r="HN33" s="9"/>
      <c r="HO33" s="9"/>
      <c r="HP33" s="9"/>
      <c r="HQ33" s="9"/>
      <c r="HR33" s="9"/>
      <c r="HS33" s="9"/>
      <c r="HT33" s="9"/>
      <c r="HU33" s="9"/>
      <c r="HV33" s="9"/>
      <c r="HW33" s="9"/>
      <c r="HX33" s="9"/>
      <c r="HY33" s="9"/>
      <c r="HZ33" s="9"/>
      <c r="IA33" s="9"/>
      <c r="IB33" s="9"/>
      <c r="IC33" s="9"/>
      <c r="ID33" s="9"/>
      <c r="IE33" s="9"/>
      <c r="IF33" s="9"/>
      <c r="IG33" s="9"/>
      <c r="IH33" s="9"/>
      <c r="II33" s="9"/>
      <c r="IJ33" s="9"/>
      <c r="IK33" s="9"/>
      <c r="IL33" s="9"/>
      <c r="IM33" s="9"/>
      <c r="IN33" s="9"/>
      <c r="IO33" s="9"/>
      <c r="IP33" s="9"/>
      <c r="IQ33" s="9"/>
      <c r="IR33" s="9"/>
      <c r="IS33" s="9"/>
      <c r="IT33" s="9"/>
      <c r="IU33" s="9"/>
      <c r="IV33" s="9"/>
      <c r="IW33" s="9"/>
      <c r="IX33" s="9"/>
      <c r="IY33" s="9"/>
      <c r="IZ33" s="9"/>
      <c r="JA33" s="9"/>
      <c r="JB33" s="9"/>
      <c r="JC33" s="9"/>
      <c r="JD33" s="9"/>
      <c r="JE33" s="9"/>
      <c r="JF33" s="9"/>
      <c r="JG33" s="9"/>
      <c r="JH33" s="9"/>
      <c r="JI33" s="9"/>
      <c r="JJ33" s="9"/>
      <c r="JK33" s="9"/>
      <c r="JL33" s="9"/>
      <c r="JM33" s="9"/>
      <c r="JN33" s="9"/>
      <c r="JO33" s="9"/>
      <c r="JP33" s="9"/>
      <c r="JQ33" s="9"/>
      <c r="JR33" s="9"/>
      <c r="JS33" s="9"/>
      <c r="JT33" s="9"/>
      <c r="JU33" s="9"/>
      <c r="JV33" s="9"/>
      <c r="JW33" s="9"/>
      <c r="JX33" s="9"/>
      <c r="JY33" s="9"/>
      <c r="JZ33" s="9"/>
      <c r="KA33" s="9"/>
      <c r="KB33" s="9"/>
      <c r="KC33" s="9"/>
      <c r="KD33" s="9"/>
      <c r="KE33" s="9"/>
      <c r="KF33" s="9"/>
      <c r="KG33" s="9"/>
      <c r="KH33" s="9"/>
      <c r="KI33" s="9"/>
      <c r="KJ33" s="9"/>
      <c r="KK33" s="9"/>
      <c r="KL33" s="9"/>
      <c r="KM33" s="9"/>
      <c r="KN33" s="9"/>
      <c r="KO33" s="9"/>
      <c r="KP33" s="9"/>
      <c r="KQ33" s="9"/>
      <c r="KR33" s="9"/>
      <c r="KS33" s="9"/>
      <c r="KT33" s="9"/>
      <c r="KU33" s="9"/>
      <c r="KV33" s="9"/>
      <c r="KW33" s="9"/>
      <c r="KX33" s="9"/>
      <c r="KY33" s="9"/>
      <c r="KZ33" s="9"/>
      <c r="LA33" s="9"/>
      <c r="LB33" s="9"/>
      <c r="LC33" s="9"/>
      <c r="LD33" s="9"/>
      <c r="LE33" s="9"/>
      <c r="LF33" s="9"/>
      <c r="LG33" s="9"/>
      <c r="LH33" s="9"/>
      <c r="LI33" s="9"/>
      <c r="LJ33" s="9"/>
      <c r="LK33" s="9"/>
      <c r="LL33" s="9"/>
      <c r="LM33" s="9"/>
      <c r="LN33" s="9"/>
      <c r="LO33" s="9"/>
      <c r="LP33" s="9"/>
      <c r="LQ33" s="9"/>
      <c r="LR33" s="9"/>
      <c r="LS33" s="9"/>
      <c r="LT33" s="9"/>
      <c r="LU33" s="9"/>
      <c r="LV33" s="9"/>
      <c r="LW33" s="9"/>
      <c r="LX33" s="9"/>
      <c r="LY33" s="9"/>
      <c r="LZ33" s="9"/>
      <c r="MA33" s="9"/>
      <c r="MB33" s="9"/>
      <c r="MC33" s="9"/>
      <c r="MD33" s="9"/>
      <c r="ME33" s="9"/>
      <c r="MF33" s="9"/>
      <c r="MG33" s="9"/>
      <c r="MH33" s="9"/>
      <c r="MI33" s="9"/>
      <c r="MJ33" s="9"/>
      <c r="MK33" s="9"/>
    </row>
    <row r="34" spans="1:349" hidden="1" x14ac:dyDescent="0.25">
      <c r="A34" s="9"/>
      <c r="B34" s="9"/>
      <c r="C34" s="9"/>
      <c r="D34" s="9"/>
      <c r="E34" s="9"/>
      <c r="F34" s="9"/>
      <c r="G34" s="9"/>
      <c r="H34" s="9"/>
      <c r="I34" s="9"/>
      <c r="J34" s="9"/>
      <c r="K34" s="9"/>
      <c r="L34" s="9"/>
      <c r="M34" s="9"/>
      <c r="N34" s="9"/>
      <c r="O34" s="9"/>
      <c r="AG34" s="9"/>
      <c r="AH34" s="9"/>
      <c r="AI34" s="9"/>
      <c r="AJ34" s="9"/>
      <c r="AK34" s="9"/>
      <c r="AL34" s="9"/>
      <c r="AM34" s="9"/>
      <c r="AN34" s="9"/>
      <c r="AO34" s="9"/>
      <c r="AP34" s="9"/>
      <c r="AQ34" s="9"/>
      <c r="AR34" s="9"/>
      <c r="AS34" s="9"/>
      <c r="AT34" s="9"/>
      <c r="AU34" s="9"/>
      <c r="AV34" s="9"/>
      <c r="AW34" s="9"/>
      <c r="AX34" s="9"/>
      <c r="AY34" s="9"/>
      <c r="AZ34" s="9"/>
      <c r="BA34" s="9"/>
      <c r="BB34" s="9"/>
      <c r="BC34" s="9"/>
      <c r="BD34" s="9"/>
      <c r="BE34" s="9"/>
      <c r="BF34" s="9"/>
      <c r="BG34" s="9"/>
      <c r="BH34" s="9"/>
      <c r="BI34" s="9"/>
      <c r="BJ34" s="9"/>
      <c r="BK34" s="9"/>
      <c r="BL34" s="9"/>
      <c r="BM34" s="9"/>
      <c r="BN34" s="9"/>
      <c r="BO34" s="9"/>
      <c r="BP34" s="9"/>
      <c r="BQ34" s="9"/>
      <c r="BR34" s="9"/>
      <c r="BS34" s="9"/>
      <c r="BT34" s="9"/>
      <c r="BU34" s="9"/>
      <c r="BV34" s="9"/>
      <c r="BW34" s="9"/>
      <c r="BX34" s="9"/>
      <c r="BY34" s="9"/>
      <c r="BZ34" s="9"/>
      <c r="CA34" s="9"/>
      <c r="CB34" s="9"/>
      <c r="CC34" s="9"/>
      <c r="CD34" s="9"/>
      <c r="CE34" s="9"/>
      <c r="CF34" s="9"/>
      <c r="CG34" s="9"/>
      <c r="CH34" s="9"/>
      <c r="CI34" s="9"/>
      <c r="CJ34" s="9"/>
      <c r="CK34" s="9"/>
      <c r="CL34" s="9"/>
      <c r="CM34" s="9"/>
      <c r="CN34" s="9"/>
      <c r="CO34" s="9"/>
      <c r="CP34" s="9"/>
      <c r="CQ34" s="9"/>
      <c r="CR34" s="9"/>
      <c r="CS34" s="9"/>
      <c r="CT34" s="9"/>
      <c r="CU34" s="9"/>
      <c r="CV34" s="9"/>
      <c r="CW34" s="9"/>
      <c r="CX34" s="9"/>
      <c r="CY34" s="9"/>
      <c r="CZ34" s="9"/>
      <c r="DA34" s="9"/>
      <c r="DB34" s="9"/>
      <c r="DC34" s="9"/>
      <c r="DD34" s="9"/>
      <c r="DE34" s="9"/>
      <c r="DF34" s="9"/>
      <c r="DG34" s="9"/>
      <c r="DH34" s="9"/>
      <c r="DI34" s="9"/>
      <c r="DJ34" s="9"/>
      <c r="DK34" s="9"/>
      <c r="DL34" s="9"/>
      <c r="DM34" s="9"/>
      <c r="DN34" s="9"/>
      <c r="DO34" s="9"/>
      <c r="DP34" s="9"/>
      <c r="DQ34" s="9"/>
      <c r="DR34" s="9"/>
      <c r="DS34" s="9"/>
      <c r="DT34" s="9"/>
      <c r="DU34" s="9"/>
      <c r="DV34" s="9"/>
      <c r="DW34" s="9"/>
      <c r="DX34" s="9"/>
      <c r="DY34" s="9"/>
      <c r="DZ34" s="9"/>
      <c r="EA34" s="9"/>
      <c r="EB34" s="9"/>
      <c r="EC34" s="9"/>
      <c r="ED34" s="9"/>
      <c r="EE34" s="9"/>
      <c r="EF34" s="9"/>
      <c r="EG34" s="9"/>
      <c r="EH34" s="9"/>
      <c r="EI34" s="9"/>
      <c r="EJ34" s="9"/>
      <c r="EK34" s="9"/>
      <c r="EL34" s="9"/>
      <c r="EM34" s="9"/>
      <c r="EN34" s="9"/>
      <c r="EO34" s="9"/>
      <c r="EP34" s="9"/>
      <c r="EQ34" s="9"/>
      <c r="ER34" s="9"/>
      <c r="ES34" s="9"/>
      <c r="ET34" s="9"/>
      <c r="EU34" s="9"/>
      <c r="EV34" s="9"/>
      <c r="EW34" s="9"/>
      <c r="EX34" s="9"/>
      <c r="EY34" s="9"/>
      <c r="EZ34" s="9"/>
      <c r="FA34" s="9"/>
      <c r="FB34" s="9"/>
      <c r="FC34" s="9"/>
      <c r="FD34" s="9"/>
      <c r="FE34" s="9"/>
      <c r="FF34" s="9"/>
      <c r="FG34" s="9"/>
      <c r="FH34" s="9"/>
      <c r="FI34" s="9"/>
      <c r="FJ34" s="9"/>
      <c r="FK34" s="9"/>
      <c r="FL34" s="9"/>
      <c r="FM34" s="9"/>
      <c r="FN34" s="9"/>
      <c r="FO34" s="9"/>
      <c r="FP34" s="9"/>
      <c r="FQ34" s="9"/>
      <c r="FR34" s="9"/>
      <c r="FS34" s="9"/>
      <c r="FT34" s="9"/>
      <c r="FU34" s="9"/>
      <c r="FV34" s="9"/>
      <c r="FW34" s="9"/>
      <c r="FX34" s="9"/>
      <c r="FY34" s="9"/>
      <c r="FZ34" s="9"/>
      <c r="GA34" s="9"/>
      <c r="GB34" s="9"/>
      <c r="GC34" s="9"/>
      <c r="GD34" s="9"/>
      <c r="GE34" s="9"/>
      <c r="GF34" s="9"/>
      <c r="GG34" s="9"/>
      <c r="GH34" s="9"/>
      <c r="GI34" s="9"/>
      <c r="GJ34" s="9"/>
      <c r="GK34" s="9"/>
      <c r="GL34" s="9"/>
      <c r="GM34" s="9"/>
      <c r="GN34" s="9"/>
      <c r="GO34" s="9"/>
      <c r="GP34" s="9"/>
      <c r="GQ34" s="9"/>
      <c r="GR34" s="9"/>
      <c r="GS34" s="9"/>
      <c r="GT34" s="9"/>
      <c r="GU34" s="9"/>
      <c r="GV34" s="9"/>
      <c r="GW34" s="9"/>
      <c r="GX34" s="9"/>
      <c r="GY34" s="9"/>
      <c r="GZ34" s="9"/>
      <c r="HA34" s="9"/>
      <c r="HB34" s="9"/>
      <c r="HC34" s="9"/>
      <c r="HD34" s="9"/>
      <c r="HE34" s="9"/>
      <c r="HF34" s="9"/>
      <c r="HG34" s="9"/>
      <c r="HH34" s="9"/>
      <c r="HI34" s="9"/>
      <c r="HJ34" s="9"/>
      <c r="HK34" s="9"/>
      <c r="HL34" s="9"/>
      <c r="HM34" s="9"/>
      <c r="HN34" s="9"/>
      <c r="HO34" s="9"/>
      <c r="HP34" s="9"/>
      <c r="HQ34" s="9"/>
      <c r="HR34" s="9"/>
      <c r="HS34" s="9"/>
      <c r="HT34" s="9"/>
      <c r="HU34" s="9"/>
      <c r="HV34" s="9"/>
      <c r="HW34" s="9"/>
      <c r="HX34" s="9"/>
      <c r="HY34" s="9"/>
      <c r="HZ34" s="9"/>
      <c r="IA34" s="9"/>
      <c r="IB34" s="9"/>
      <c r="IC34" s="9"/>
      <c r="ID34" s="9"/>
      <c r="IE34" s="9"/>
      <c r="IF34" s="9"/>
      <c r="IG34" s="9"/>
      <c r="IH34" s="9"/>
      <c r="II34" s="9"/>
      <c r="IJ34" s="9"/>
      <c r="IK34" s="9"/>
      <c r="IL34" s="9"/>
      <c r="IM34" s="9"/>
      <c r="IN34" s="9"/>
      <c r="IO34" s="9"/>
      <c r="IP34" s="9"/>
      <c r="IQ34" s="9"/>
      <c r="IR34" s="9"/>
      <c r="IS34" s="9"/>
      <c r="IT34" s="9"/>
      <c r="IU34" s="9"/>
      <c r="IV34" s="9"/>
      <c r="IW34" s="9"/>
      <c r="IX34" s="9"/>
      <c r="IY34" s="9"/>
      <c r="IZ34" s="9"/>
      <c r="JA34" s="9"/>
      <c r="JB34" s="9"/>
      <c r="JC34" s="9"/>
      <c r="JD34" s="9"/>
      <c r="JE34" s="9"/>
      <c r="JF34" s="9"/>
      <c r="JG34" s="9"/>
      <c r="JH34" s="9"/>
      <c r="JI34" s="9"/>
      <c r="JJ34" s="9"/>
      <c r="JK34" s="9"/>
      <c r="JL34" s="9"/>
      <c r="JM34" s="9"/>
      <c r="JN34" s="9"/>
      <c r="JO34" s="9"/>
      <c r="JP34" s="9"/>
      <c r="JQ34" s="9"/>
      <c r="JR34" s="9"/>
      <c r="JS34" s="9"/>
      <c r="JT34" s="9"/>
      <c r="JU34" s="9"/>
      <c r="JV34" s="9"/>
      <c r="JW34" s="9"/>
      <c r="JX34" s="9"/>
      <c r="JY34" s="9"/>
      <c r="JZ34" s="9"/>
      <c r="KA34" s="9"/>
      <c r="KB34" s="9"/>
      <c r="KC34" s="9"/>
      <c r="KD34" s="9"/>
      <c r="KE34" s="9"/>
      <c r="KF34" s="9"/>
      <c r="KG34" s="9"/>
      <c r="KH34" s="9"/>
      <c r="KI34" s="9"/>
      <c r="KJ34" s="9"/>
      <c r="KK34" s="9"/>
      <c r="KL34" s="9"/>
      <c r="KM34" s="9"/>
      <c r="KN34" s="9"/>
      <c r="KO34" s="9"/>
      <c r="KP34" s="9"/>
      <c r="KQ34" s="9"/>
      <c r="KR34" s="9"/>
      <c r="KS34" s="9"/>
      <c r="KT34" s="9"/>
      <c r="KU34" s="9"/>
      <c r="KV34" s="9"/>
      <c r="KW34" s="9"/>
      <c r="KX34" s="9"/>
      <c r="KY34" s="9"/>
      <c r="KZ34" s="9"/>
      <c r="LA34" s="9"/>
      <c r="LB34" s="9"/>
      <c r="LC34" s="9"/>
      <c r="LD34" s="9"/>
      <c r="LE34" s="9"/>
      <c r="LF34" s="9"/>
      <c r="LG34" s="9"/>
      <c r="LH34" s="9"/>
      <c r="LI34" s="9"/>
      <c r="LJ34" s="9"/>
      <c r="LK34" s="9"/>
      <c r="LL34" s="9"/>
      <c r="LM34" s="9"/>
      <c r="LN34" s="9"/>
      <c r="LO34" s="9"/>
      <c r="LP34" s="9"/>
      <c r="LQ34" s="9"/>
      <c r="LR34" s="9"/>
      <c r="LS34" s="9"/>
      <c r="LT34" s="9"/>
      <c r="LU34" s="9"/>
      <c r="LV34" s="9"/>
      <c r="LW34" s="9"/>
      <c r="LX34" s="9"/>
      <c r="LY34" s="9"/>
      <c r="LZ34" s="9"/>
      <c r="MA34" s="9"/>
      <c r="MB34" s="9"/>
      <c r="MC34" s="9"/>
      <c r="MD34" s="9"/>
      <c r="ME34" s="9"/>
      <c r="MF34" s="9"/>
      <c r="MG34" s="9"/>
      <c r="MH34" s="9"/>
      <c r="MI34" s="9"/>
      <c r="MJ34" s="9"/>
      <c r="MK34" s="9"/>
    </row>
    <row r="35" spans="1:349" hidden="1" x14ac:dyDescent="0.25">
      <c r="A35" s="9"/>
      <c r="B35" s="9"/>
      <c r="C35" s="9"/>
      <c r="D35" s="9"/>
      <c r="E35" s="9"/>
      <c r="F35" s="9"/>
      <c r="G35" s="9"/>
      <c r="H35" s="9"/>
      <c r="I35" s="9"/>
      <c r="J35" s="9"/>
      <c r="K35" s="9"/>
      <c r="L35" s="9"/>
      <c r="M35" s="9"/>
      <c r="N35" s="9"/>
      <c r="O35" s="9"/>
      <c r="AG35" s="9"/>
      <c r="AH35" s="9"/>
      <c r="AI35" s="9"/>
      <c r="AJ35" s="9"/>
      <c r="AK35" s="9"/>
      <c r="AL35" s="9"/>
      <c r="AM35" s="9"/>
      <c r="AN35" s="9"/>
      <c r="AO35" s="9"/>
      <c r="AP35" s="9"/>
      <c r="AQ35" s="9"/>
      <c r="AR35" s="9"/>
      <c r="AS35" s="9"/>
      <c r="AT35" s="9"/>
      <c r="AU35" s="9"/>
      <c r="AV35" s="9"/>
      <c r="AW35" s="9"/>
      <c r="AX35" s="9"/>
      <c r="AY35" s="9"/>
      <c r="AZ35" s="9"/>
      <c r="BA35" s="9"/>
      <c r="BB35" s="9"/>
      <c r="BC35" s="9"/>
      <c r="BD35" s="9"/>
      <c r="BE35" s="9"/>
      <c r="BF35" s="9"/>
      <c r="BG35" s="9"/>
      <c r="BH35" s="9"/>
      <c r="BI35" s="9"/>
      <c r="BJ35" s="9"/>
      <c r="BK35" s="9"/>
      <c r="BL35" s="9"/>
      <c r="BM35" s="9"/>
      <c r="BN35" s="9"/>
      <c r="BO35" s="9"/>
      <c r="BP35" s="9"/>
      <c r="BQ35" s="9"/>
      <c r="BR35" s="9"/>
      <c r="BS35" s="9"/>
      <c r="BT35" s="9"/>
      <c r="BU35" s="9"/>
      <c r="BV35" s="9"/>
      <c r="BW35" s="9"/>
      <c r="BX35" s="9"/>
      <c r="BY35" s="9"/>
      <c r="BZ35" s="9"/>
      <c r="CA35" s="9"/>
      <c r="CB35" s="9"/>
      <c r="CC35" s="9"/>
      <c r="CD35" s="9"/>
      <c r="CE35" s="9"/>
      <c r="CF35" s="9"/>
      <c r="CG35" s="9"/>
      <c r="CH35" s="9"/>
      <c r="CI35" s="9"/>
      <c r="CJ35" s="9"/>
      <c r="CK35" s="9"/>
      <c r="CL35" s="9"/>
      <c r="CM35" s="9"/>
      <c r="CN35" s="9"/>
      <c r="CO35" s="9"/>
      <c r="CP35" s="9"/>
      <c r="CQ35" s="9"/>
      <c r="CR35" s="9"/>
      <c r="CS35" s="9"/>
      <c r="CT35" s="9"/>
      <c r="CU35" s="9"/>
      <c r="CV35" s="9"/>
      <c r="CW35" s="9"/>
      <c r="CX35" s="9"/>
      <c r="CY35" s="9"/>
      <c r="CZ35" s="9"/>
      <c r="DA35" s="9"/>
      <c r="DB35" s="9"/>
      <c r="DC35" s="9"/>
      <c r="DD35" s="9"/>
      <c r="DE35" s="9"/>
      <c r="DF35" s="9"/>
      <c r="DG35" s="9"/>
      <c r="DH35" s="9"/>
      <c r="DI35" s="9"/>
      <c r="DJ35" s="9"/>
      <c r="DK35" s="9"/>
      <c r="DL35" s="9"/>
      <c r="DM35" s="9"/>
      <c r="DN35" s="9"/>
      <c r="DO35" s="9"/>
      <c r="DP35" s="9"/>
      <c r="DQ35" s="9"/>
      <c r="DR35" s="9"/>
      <c r="DS35" s="9"/>
      <c r="DT35" s="9"/>
      <c r="DU35" s="9"/>
      <c r="DV35" s="9"/>
      <c r="DW35" s="9"/>
      <c r="DX35" s="9"/>
      <c r="DY35" s="9"/>
      <c r="DZ35" s="9"/>
      <c r="EA35" s="9"/>
      <c r="EB35" s="9"/>
      <c r="EC35" s="9"/>
      <c r="ED35" s="9"/>
      <c r="EE35" s="9"/>
      <c r="EF35" s="9"/>
      <c r="EG35" s="9"/>
      <c r="EH35" s="9"/>
      <c r="EI35" s="9"/>
      <c r="EJ35" s="9"/>
      <c r="EK35" s="9"/>
      <c r="EL35" s="9"/>
      <c r="EM35" s="9"/>
      <c r="EN35" s="9"/>
      <c r="EO35" s="9"/>
      <c r="EP35" s="9"/>
      <c r="EQ35" s="9"/>
      <c r="ER35" s="9"/>
      <c r="ES35" s="9"/>
      <c r="ET35" s="9"/>
      <c r="EU35" s="9"/>
      <c r="EV35" s="9"/>
      <c r="EW35" s="9"/>
      <c r="EX35" s="9"/>
      <c r="EY35" s="9"/>
      <c r="EZ35" s="9"/>
      <c r="FA35" s="9"/>
      <c r="FB35" s="9"/>
      <c r="FC35" s="9"/>
      <c r="FD35" s="9"/>
      <c r="FE35" s="9"/>
      <c r="FF35" s="9"/>
      <c r="FG35" s="9"/>
      <c r="FH35" s="9"/>
      <c r="FI35" s="9"/>
      <c r="FJ35" s="9"/>
      <c r="FK35" s="9"/>
      <c r="FL35" s="9"/>
      <c r="FM35" s="9"/>
      <c r="FN35" s="9"/>
      <c r="FO35" s="9"/>
      <c r="FP35" s="9"/>
      <c r="FQ35" s="9"/>
      <c r="FR35" s="9"/>
      <c r="FS35" s="9"/>
      <c r="FT35" s="9"/>
      <c r="FU35" s="9"/>
      <c r="FV35" s="9"/>
      <c r="FW35" s="9"/>
      <c r="FX35" s="9"/>
      <c r="FY35" s="9"/>
      <c r="FZ35" s="9"/>
      <c r="GA35" s="9"/>
      <c r="GB35" s="9"/>
      <c r="GC35" s="9"/>
      <c r="GD35" s="9"/>
      <c r="GE35" s="9"/>
      <c r="GF35" s="9"/>
      <c r="GG35" s="9"/>
      <c r="GH35" s="9"/>
      <c r="GI35" s="9"/>
      <c r="GJ35" s="9"/>
      <c r="GK35" s="9"/>
      <c r="GL35" s="9"/>
      <c r="GM35" s="9"/>
      <c r="GN35" s="9"/>
      <c r="GO35" s="9"/>
      <c r="GP35" s="9"/>
      <c r="GQ35" s="9"/>
      <c r="GR35" s="9"/>
      <c r="GS35" s="9"/>
      <c r="GT35" s="9"/>
      <c r="GU35" s="9"/>
      <c r="GV35" s="9"/>
      <c r="GW35" s="9"/>
      <c r="GX35" s="9"/>
      <c r="GY35" s="9"/>
      <c r="GZ35" s="9"/>
      <c r="HA35" s="9"/>
      <c r="HB35" s="9"/>
      <c r="HC35" s="9"/>
      <c r="HD35" s="9"/>
      <c r="HE35" s="9"/>
      <c r="HF35" s="9"/>
      <c r="HG35" s="9"/>
      <c r="HH35" s="9"/>
      <c r="HI35" s="9"/>
      <c r="HJ35" s="9"/>
      <c r="HK35" s="9"/>
      <c r="HL35" s="9"/>
      <c r="HM35" s="9"/>
      <c r="HN35" s="9"/>
      <c r="HO35" s="9"/>
      <c r="HP35" s="9"/>
      <c r="HQ35" s="9"/>
      <c r="HR35" s="9"/>
      <c r="HS35" s="9"/>
      <c r="HT35" s="9"/>
      <c r="HU35" s="9"/>
      <c r="HV35" s="9"/>
      <c r="HW35" s="9"/>
      <c r="HX35" s="9"/>
      <c r="HY35" s="9"/>
      <c r="HZ35" s="9"/>
      <c r="IA35" s="9"/>
      <c r="IB35" s="9"/>
      <c r="IC35" s="9"/>
      <c r="ID35" s="9"/>
      <c r="IE35" s="9"/>
      <c r="IF35" s="9"/>
      <c r="IG35" s="9"/>
      <c r="IH35" s="9"/>
      <c r="II35" s="9"/>
      <c r="IJ35" s="9"/>
      <c r="IK35" s="9"/>
      <c r="IL35" s="9"/>
      <c r="IM35" s="9"/>
      <c r="IN35" s="9"/>
      <c r="IO35" s="9"/>
      <c r="IP35" s="9"/>
      <c r="IQ35" s="9"/>
      <c r="IR35" s="9"/>
      <c r="IS35" s="9"/>
      <c r="IT35" s="9"/>
      <c r="IU35" s="9"/>
      <c r="IV35" s="9"/>
      <c r="IW35" s="9"/>
      <c r="IX35" s="9"/>
      <c r="IY35" s="9"/>
      <c r="IZ35" s="9"/>
      <c r="JA35" s="9"/>
      <c r="JB35" s="9"/>
      <c r="JC35" s="9"/>
      <c r="JD35" s="9"/>
      <c r="JE35" s="9"/>
      <c r="JF35" s="9"/>
      <c r="JG35" s="9"/>
      <c r="JH35" s="9"/>
      <c r="JI35" s="9"/>
      <c r="JJ35" s="9"/>
      <c r="JK35" s="9"/>
      <c r="JL35" s="9"/>
      <c r="JM35" s="9"/>
      <c r="JN35" s="9"/>
      <c r="JO35" s="9"/>
      <c r="JP35" s="9"/>
      <c r="JQ35" s="9"/>
      <c r="JR35" s="9"/>
      <c r="JS35" s="9"/>
      <c r="JT35" s="9"/>
      <c r="JU35" s="9"/>
      <c r="JV35" s="9"/>
      <c r="JW35" s="9"/>
      <c r="JX35" s="9"/>
      <c r="JY35" s="9"/>
      <c r="JZ35" s="9"/>
      <c r="KA35" s="9"/>
      <c r="KB35" s="9"/>
      <c r="KC35" s="9"/>
      <c r="KD35" s="9"/>
      <c r="KE35" s="9"/>
      <c r="KF35" s="9"/>
      <c r="KG35" s="9"/>
      <c r="KH35" s="9"/>
      <c r="KI35" s="9"/>
      <c r="KJ35" s="9"/>
      <c r="KK35" s="9"/>
      <c r="KL35" s="9"/>
      <c r="KM35" s="9"/>
      <c r="KN35" s="9"/>
      <c r="KO35" s="9"/>
      <c r="KP35" s="9"/>
      <c r="KQ35" s="9"/>
      <c r="KR35" s="9"/>
      <c r="KS35" s="9"/>
      <c r="KT35" s="9"/>
      <c r="KU35" s="9"/>
      <c r="KV35" s="9"/>
      <c r="KW35" s="9"/>
      <c r="KX35" s="9"/>
      <c r="KY35" s="9"/>
      <c r="KZ35" s="9"/>
      <c r="LA35" s="9"/>
      <c r="LB35" s="9"/>
      <c r="LC35" s="9"/>
      <c r="LD35" s="9"/>
      <c r="LE35" s="9"/>
      <c r="LF35" s="9"/>
      <c r="LG35" s="9"/>
      <c r="LH35" s="9"/>
      <c r="LI35" s="9"/>
      <c r="LJ35" s="9"/>
      <c r="LK35" s="9"/>
      <c r="LL35" s="9"/>
      <c r="LM35" s="9"/>
      <c r="LN35" s="9"/>
      <c r="LO35" s="9"/>
      <c r="LP35" s="9"/>
      <c r="LQ35" s="9"/>
      <c r="LR35" s="9"/>
      <c r="LS35" s="9"/>
      <c r="LT35" s="9"/>
      <c r="LU35" s="9"/>
      <c r="LV35" s="9"/>
      <c r="LW35" s="9"/>
      <c r="LX35" s="9"/>
      <c r="LY35" s="9"/>
      <c r="LZ35" s="9"/>
      <c r="MA35" s="9"/>
      <c r="MB35" s="9"/>
      <c r="MC35" s="9"/>
      <c r="MD35" s="9"/>
      <c r="ME35" s="9"/>
      <c r="MF35" s="9"/>
      <c r="MG35" s="9"/>
      <c r="MH35" s="9"/>
      <c r="MI35" s="9"/>
      <c r="MJ35" s="9"/>
      <c r="MK35" s="9"/>
    </row>
    <row r="36" spans="1:349" hidden="1" x14ac:dyDescent="0.25">
      <c r="A36" s="9"/>
      <c r="B36" s="9"/>
      <c r="C36" s="9"/>
      <c r="D36" s="9"/>
      <c r="E36" s="9"/>
      <c r="F36" s="9"/>
      <c r="G36" s="9"/>
      <c r="H36" s="9"/>
      <c r="I36" s="9"/>
      <c r="J36" s="9"/>
      <c r="K36" s="9"/>
      <c r="L36" s="9"/>
      <c r="M36" s="9"/>
      <c r="N36" s="9"/>
      <c r="O36" s="9"/>
      <c r="AG36" s="9"/>
      <c r="AH36" s="9"/>
      <c r="AI36" s="9"/>
      <c r="AJ36" s="9"/>
      <c r="AK36" s="9"/>
      <c r="AL36" s="9"/>
      <c r="AM36" s="9"/>
      <c r="AN36" s="9"/>
      <c r="AO36" s="9"/>
      <c r="AP36" s="9"/>
      <c r="AQ36" s="9"/>
      <c r="AR36" s="9"/>
      <c r="AS36" s="9"/>
      <c r="AT36" s="9"/>
      <c r="AU36" s="9"/>
      <c r="AV36" s="9"/>
      <c r="AW36" s="9"/>
      <c r="AX36" s="9"/>
      <c r="AY36" s="9"/>
      <c r="AZ36" s="9"/>
      <c r="BA36" s="9"/>
      <c r="BB36" s="9"/>
      <c r="BC36" s="9"/>
      <c r="BD36" s="9"/>
      <c r="BE36" s="9"/>
      <c r="BF36" s="9"/>
      <c r="BG36" s="9"/>
      <c r="BH36" s="9"/>
      <c r="BI36" s="9"/>
      <c r="BJ36" s="9"/>
      <c r="BK36" s="9"/>
      <c r="BL36" s="9"/>
      <c r="BM36" s="9"/>
      <c r="BN36" s="9"/>
      <c r="BO36" s="9"/>
      <c r="BP36" s="9"/>
      <c r="BQ36" s="9"/>
      <c r="BR36" s="9"/>
      <c r="BS36" s="9"/>
      <c r="BT36" s="9"/>
      <c r="BU36" s="9"/>
      <c r="BV36" s="9"/>
      <c r="BW36" s="9"/>
      <c r="BX36" s="9"/>
      <c r="BY36" s="9"/>
      <c r="BZ36" s="9"/>
      <c r="CA36" s="9"/>
      <c r="CB36" s="9"/>
      <c r="CC36" s="9"/>
      <c r="CD36" s="9"/>
      <c r="CE36" s="9"/>
      <c r="CF36" s="9"/>
      <c r="CG36" s="9"/>
      <c r="CH36" s="9"/>
      <c r="CI36" s="9"/>
      <c r="CJ36" s="9"/>
      <c r="CK36" s="9"/>
      <c r="CL36" s="9"/>
      <c r="CM36" s="9"/>
      <c r="CN36" s="9"/>
      <c r="CO36" s="9"/>
      <c r="CP36" s="9"/>
      <c r="CQ36" s="9"/>
      <c r="CR36" s="9"/>
      <c r="CS36" s="9"/>
      <c r="CT36" s="9"/>
      <c r="CU36" s="9"/>
      <c r="CV36" s="9"/>
      <c r="CW36" s="9"/>
      <c r="CX36" s="9"/>
      <c r="CY36" s="9"/>
      <c r="CZ36" s="9"/>
      <c r="DA36" s="9"/>
      <c r="DB36" s="9"/>
      <c r="DC36" s="9"/>
      <c r="DD36" s="9"/>
      <c r="DE36" s="9"/>
      <c r="DF36" s="9"/>
      <c r="DG36" s="9"/>
      <c r="DH36" s="9"/>
      <c r="DI36" s="9"/>
      <c r="DJ36" s="9"/>
      <c r="DK36" s="9"/>
      <c r="DL36" s="9"/>
      <c r="DM36" s="9"/>
      <c r="DN36" s="9"/>
      <c r="DO36" s="9"/>
      <c r="DP36" s="9"/>
      <c r="DQ36" s="9"/>
      <c r="DR36" s="9"/>
      <c r="DS36" s="9"/>
      <c r="DT36" s="9"/>
      <c r="DU36" s="9"/>
      <c r="DV36" s="9"/>
      <c r="DW36" s="9"/>
      <c r="DX36" s="9"/>
      <c r="DY36" s="9"/>
      <c r="DZ36" s="9"/>
      <c r="EA36" s="9"/>
      <c r="EB36" s="9"/>
      <c r="EC36" s="9"/>
      <c r="ED36" s="9"/>
      <c r="EE36" s="9"/>
      <c r="EF36" s="9"/>
      <c r="EG36" s="9"/>
      <c r="EH36" s="9"/>
      <c r="EI36" s="9"/>
      <c r="EJ36" s="9"/>
      <c r="EK36" s="9"/>
      <c r="EL36" s="9"/>
      <c r="EM36" s="9"/>
      <c r="EN36" s="9"/>
      <c r="EO36" s="9"/>
      <c r="EP36" s="9"/>
      <c r="EQ36" s="9"/>
      <c r="ER36" s="9"/>
      <c r="ES36" s="9"/>
      <c r="ET36" s="9"/>
      <c r="EU36" s="9"/>
      <c r="EV36" s="9"/>
      <c r="EW36" s="9"/>
      <c r="EX36" s="9"/>
      <c r="EY36" s="9"/>
      <c r="EZ36" s="9"/>
      <c r="FA36" s="9"/>
      <c r="FB36" s="9"/>
      <c r="FC36" s="9"/>
      <c r="FD36" s="9"/>
      <c r="FE36" s="9"/>
      <c r="FF36" s="9"/>
      <c r="FG36" s="9"/>
      <c r="FH36" s="9"/>
      <c r="FI36" s="9"/>
      <c r="FJ36" s="9"/>
      <c r="FK36" s="9"/>
      <c r="FL36" s="9"/>
      <c r="FM36" s="9"/>
      <c r="FN36" s="9"/>
      <c r="FO36" s="9"/>
      <c r="FP36" s="9"/>
      <c r="FQ36" s="9"/>
      <c r="FR36" s="9"/>
      <c r="FS36" s="9"/>
      <c r="FT36" s="9"/>
      <c r="FU36" s="9"/>
      <c r="FV36" s="9"/>
      <c r="FW36" s="9"/>
      <c r="FX36" s="9"/>
      <c r="FY36" s="9"/>
      <c r="FZ36" s="9"/>
      <c r="GA36" s="9"/>
      <c r="GB36" s="9"/>
      <c r="GC36" s="9"/>
      <c r="GD36" s="9"/>
      <c r="GE36" s="9"/>
      <c r="GF36" s="9"/>
      <c r="GG36" s="9"/>
      <c r="GH36" s="9"/>
      <c r="GI36" s="9"/>
      <c r="GJ36" s="9"/>
      <c r="GK36" s="9"/>
      <c r="GL36" s="9"/>
      <c r="GM36" s="9"/>
      <c r="GN36" s="9"/>
      <c r="GO36" s="9"/>
      <c r="GP36" s="9"/>
      <c r="GQ36" s="9"/>
      <c r="GR36" s="9"/>
      <c r="GS36" s="9"/>
      <c r="GT36" s="9"/>
      <c r="GU36" s="9"/>
      <c r="GV36" s="9"/>
      <c r="GW36" s="9"/>
      <c r="GX36" s="9"/>
      <c r="GY36" s="9"/>
      <c r="GZ36" s="9"/>
      <c r="HA36" s="9"/>
      <c r="HB36" s="9"/>
      <c r="HC36" s="9"/>
      <c r="HD36" s="9"/>
      <c r="HE36" s="9"/>
      <c r="HF36" s="9"/>
      <c r="HG36" s="9"/>
      <c r="HH36" s="9"/>
      <c r="HI36" s="9"/>
      <c r="HJ36" s="9"/>
      <c r="HK36" s="9"/>
      <c r="HL36" s="9"/>
      <c r="HM36" s="9"/>
      <c r="HN36" s="9"/>
      <c r="HO36" s="9"/>
      <c r="HP36" s="9"/>
      <c r="HQ36" s="9"/>
      <c r="HR36" s="9"/>
      <c r="HS36" s="9"/>
      <c r="HT36" s="9"/>
      <c r="HU36" s="9"/>
      <c r="HV36" s="9"/>
      <c r="HW36" s="9"/>
      <c r="HX36" s="9"/>
      <c r="HY36" s="9"/>
      <c r="HZ36" s="9"/>
      <c r="IA36" s="9"/>
      <c r="IB36" s="9"/>
      <c r="IC36" s="9"/>
      <c r="ID36" s="9"/>
      <c r="IE36" s="9"/>
      <c r="IF36" s="9"/>
      <c r="IG36" s="9"/>
      <c r="IH36" s="9"/>
      <c r="II36" s="9"/>
      <c r="IJ36" s="9"/>
      <c r="IK36" s="9"/>
      <c r="IL36" s="9"/>
      <c r="IM36" s="9"/>
      <c r="IN36" s="9"/>
      <c r="IO36" s="9"/>
      <c r="IP36" s="9"/>
      <c r="IQ36" s="9"/>
      <c r="IR36" s="9"/>
      <c r="IS36" s="9"/>
      <c r="IT36" s="9"/>
      <c r="IU36" s="9"/>
      <c r="IV36" s="9"/>
      <c r="IW36" s="9"/>
      <c r="IX36" s="9"/>
      <c r="IY36" s="9"/>
      <c r="IZ36" s="9"/>
      <c r="JA36" s="9"/>
      <c r="JB36" s="9"/>
      <c r="JC36" s="9"/>
      <c r="JD36" s="9"/>
      <c r="JE36" s="9"/>
      <c r="JF36" s="9"/>
      <c r="JG36" s="9"/>
      <c r="JH36" s="9"/>
      <c r="JI36" s="9"/>
      <c r="JJ36" s="9"/>
      <c r="JK36" s="9"/>
      <c r="JL36" s="9"/>
      <c r="JM36" s="9"/>
      <c r="JN36" s="9"/>
      <c r="JO36" s="9"/>
      <c r="JP36" s="9"/>
      <c r="JQ36" s="9"/>
      <c r="JR36" s="9"/>
      <c r="JS36" s="9"/>
      <c r="JT36" s="9"/>
      <c r="JU36" s="9"/>
      <c r="JV36" s="9"/>
      <c r="JW36" s="9"/>
      <c r="JX36" s="9"/>
      <c r="JY36" s="9"/>
      <c r="JZ36" s="9"/>
      <c r="KA36" s="9"/>
      <c r="KB36" s="9"/>
      <c r="KC36" s="9"/>
      <c r="KD36" s="9"/>
      <c r="KE36" s="9"/>
      <c r="KF36" s="9"/>
      <c r="KG36" s="9"/>
      <c r="KH36" s="9"/>
      <c r="KI36" s="9"/>
      <c r="KJ36" s="9"/>
      <c r="KK36" s="9"/>
      <c r="KL36" s="9"/>
      <c r="KM36" s="9"/>
      <c r="KN36" s="9"/>
      <c r="KO36" s="9"/>
      <c r="KP36" s="9"/>
      <c r="KQ36" s="9"/>
      <c r="KR36" s="9"/>
      <c r="KS36" s="9"/>
      <c r="KT36" s="9"/>
      <c r="KU36" s="9"/>
      <c r="KV36" s="9"/>
      <c r="KW36" s="9"/>
      <c r="KX36" s="9"/>
      <c r="KY36" s="9"/>
      <c r="KZ36" s="9"/>
      <c r="LA36" s="9"/>
      <c r="LB36" s="9"/>
      <c r="LC36" s="9"/>
      <c r="LD36" s="9"/>
      <c r="LE36" s="9"/>
      <c r="LF36" s="9"/>
      <c r="LG36" s="9"/>
      <c r="LH36" s="9"/>
      <c r="LI36" s="9"/>
      <c r="LJ36" s="9"/>
      <c r="LK36" s="9"/>
      <c r="LL36" s="9"/>
      <c r="LM36" s="9"/>
      <c r="LN36" s="9"/>
      <c r="LO36" s="9"/>
      <c r="LP36" s="9"/>
      <c r="LQ36" s="9"/>
      <c r="LR36" s="9"/>
      <c r="LS36" s="9"/>
      <c r="LT36" s="9"/>
      <c r="LU36" s="9"/>
      <c r="LV36" s="9"/>
      <c r="LW36" s="9"/>
      <c r="LX36" s="9"/>
      <c r="LY36" s="9"/>
      <c r="LZ36" s="9"/>
      <c r="MA36" s="9"/>
      <c r="MB36" s="9"/>
      <c r="MC36" s="9"/>
      <c r="MD36" s="9"/>
      <c r="ME36" s="9"/>
      <c r="MF36" s="9"/>
      <c r="MG36" s="9"/>
      <c r="MH36" s="9"/>
      <c r="MI36" s="9"/>
      <c r="MJ36" s="9"/>
      <c r="MK36" s="9"/>
    </row>
    <row r="37" spans="1:349" hidden="1" x14ac:dyDescent="0.25">
      <c r="A37" s="9"/>
      <c r="B37" s="9"/>
      <c r="C37" s="9"/>
      <c r="D37" s="9"/>
      <c r="E37" s="9"/>
      <c r="F37" s="9"/>
      <c r="G37" s="9"/>
      <c r="H37" s="9"/>
      <c r="I37" s="9"/>
      <c r="J37" s="9"/>
      <c r="K37" s="9"/>
      <c r="L37" s="9"/>
      <c r="M37" s="9"/>
      <c r="N37" s="9"/>
      <c r="O37" s="9"/>
      <c r="AG37" s="9"/>
      <c r="AH37" s="9"/>
      <c r="AI37" s="9"/>
      <c r="AJ37" s="9"/>
      <c r="AK37" s="9"/>
      <c r="AL37" s="9"/>
      <c r="AM37" s="9"/>
      <c r="AN37" s="9"/>
      <c r="AO37" s="9"/>
      <c r="AP37" s="9"/>
      <c r="AQ37" s="9"/>
      <c r="AR37" s="9"/>
      <c r="AS37" s="9"/>
      <c r="AT37" s="9"/>
      <c r="AU37" s="9"/>
      <c r="AV37" s="9"/>
      <c r="AW37" s="9"/>
      <c r="AX37" s="9"/>
      <c r="AY37" s="9"/>
      <c r="AZ37" s="9"/>
      <c r="BA37" s="9"/>
      <c r="BB37" s="9"/>
      <c r="BC37" s="9"/>
      <c r="BD37" s="9"/>
      <c r="BE37" s="9"/>
      <c r="BF37" s="9"/>
      <c r="BG37" s="9"/>
      <c r="BH37" s="9"/>
      <c r="BI37" s="9"/>
      <c r="BJ37" s="9"/>
      <c r="BK37" s="9"/>
      <c r="BL37" s="9"/>
      <c r="BM37" s="9"/>
      <c r="BN37" s="9"/>
      <c r="BO37" s="9"/>
      <c r="BP37" s="9"/>
      <c r="BQ37" s="9"/>
      <c r="BR37" s="9"/>
      <c r="BS37" s="9"/>
      <c r="BT37" s="9"/>
      <c r="BU37" s="9"/>
      <c r="BV37" s="9"/>
      <c r="BW37" s="9"/>
      <c r="BX37" s="9"/>
      <c r="BY37" s="9"/>
      <c r="BZ37" s="9"/>
      <c r="CA37" s="9"/>
      <c r="CB37" s="9"/>
      <c r="CC37" s="9"/>
      <c r="CD37" s="9"/>
      <c r="CE37" s="9"/>
      <c r="CF37" s="9"/>
      <c r="CG37" s="9"/>
      <c r="CH37" s="9"/>
      <c r="CI37" s="9"/>
      <c r="CJ37" s="9"/>
      <c r="CK37" s="9"/>
      <c r="CL37" s="9"/>
      <c r="CM37" s="9"/>
      <c r="CN37" s="9"/>
      <c r="CO37" s="9"/>
      <c r="CP37" s="9"/>
      <c r="CQ37" s="9"/>
      <c r="CR37" s="9"/>
      <c r="CS37" s="9"/>
      <c r="CT37" s="9"/>
      <c r="CU37" s="9"/>
      <c r="CV37" s="9"/>
      <c r="CW37" s="9"/>
      <c r="CX37" s="9"/>
      <c r="CY37" s="9"/>
      <c r="CZ37" s="9"/>
      <c r="DA37" s="9"/>
      <c r="DB37" s="9"/>
      <c r="DC37" s="9"/>
      <c r="DD37" s="9"/>
      <c r="DE37" s="9"/>
      <c r="DF37" s="9"/>
      <c r="DG37" s="9"/>
      <c r="DH37" s="9"/>
      <c r="DI37" s="9"/>
      <c r="DJ37" s="9"/>
      <c r="DK37" s="9"/>
      <c r="DL37" s="9"/>
      <c r="DM37" s="9"/>
      <c r="DN37" s="9"/>
      <c r="DO37" s="9"/>
      <c r="DP37" s="9"/>
      <c r="DQ37" s="9"/>
      <c r="DR37" s="9"/>
      <c r="DS37" s="9"/>
      <c r="DT37" s="9"/>
      <c r="DU37" s="9"/>
      <c r="DV37" s="9"/>
      <c r="DW37" s="9"/>
      <c r="DX37" s="9"/>
      <c r="DY37" s="9"/>
      <c r="DZ37" s="9"/>
      <c r="EA37" s="9"/>
      <c r="EB37" s="9"/>
      <c r="EC37" s="9"/>
      <c r="ED37" s="9"/>
      <c r="EE37" s="9"/>
      <c r="EF37" s="9"/>
      <c r="EG37" s="9"/>
      <c r="EH37" s="9"/>
      <c r="EI37" s="9"/>
      <c r="EJ37" s="9"/>
      <c r="EK37" s="9"/>
      <c r="EL37" s="9"/>
      <c r="EM37" s="9"/>
      <c r="EN37" s="9"/>
      <c r="EO37" s="9"/>
      <c r="EP37" s="9"/>
      <c r="EQ37" s="9"/>
      <c r="ER37" s="9"/>
      <c r="ES37" s="9"/>
      <c r="ET37" s="9"/>
      <c r="EU37" s="9"/>
      <c r="EV37" s="9"/>
      <c r="EW37" s="9"/>
      <c r="EX37" s="9"/>
      <c r="EY37" s="9"/>
      <c r="EZ37" s="9"/>
      <c r="FA37" s="9"/>
      <c r="FB37" s="9"/>
      <c r="FC37" s="9"/>
      <c r="FD37" s="9"/>
      <c r="FE37" s="9"/>
      <c r="FF37" s="9"/>
      <c r="FG37" s="9"/>
      <c r="FH37" s="9"/>
      <c r="FI37" s="9"/>
      <c r="FJ37" s="9"/>
      <c r="FK37" s="9"/>
      <c r="FL37" s="9"/>
      <c r="FM37" s="9"/>
      <c r="FN37" s="9"/>
      <c r="FO37" s="9"/>
      <c r="FP37" s="9"/>
      <c r="FQ37" s="9"/>
      <c r="FR37" s="9"/>
      <c r="FS37" s="9"/>
      <c r="FT37" s="9"/>
      <c r="FU37" s="9"/>
      <c r="FV37" s="9"/>
      <c r="FW37" s="9"/>
      <c r="FX37" s="9"/>
      <c r="FY37" s="9"/>
      <c r="FZ37" s="9"/>
      <c r="GA37" s="9"/>
      <c r="GB37" s="9"/>
      <c r="GC37" s="9"/>
      <c r="GD37" s="9"/>
      <c r="GE37" s="9"/>
      <c r="GF37" s="9"/>
      <c r="GG37" s="9"/>
      <c r="GH37" s="9"/>
      <c r="GI37" s="9"/>
      <c r="GJ37" s="9"/>
      <c r="GK37" s="9"/>
      <c r="GL37" s="9"/>
      <c r="GM37" s="9"/>
      <c r="GN37" s="9"/>
      <c r="GO37" s="9"/>
      <c r="GP37" s="9"/>
      <c r="GQ37" s="9"/>
      <c r="GR37" s="9"/>
      <c r="GS37" s="9"/>
      <c r="GT37" s="9"/>
      <c r="GU37" s="9"/>
      <c r="GV37" s="9"/>
      <c r="GW37" s="9"/>
      <c r="GX37" s="9"/>
      <c r="GY37" s="9"/>
      <c r="GZ37" s="9"/>
      <c r="HA37" s="9"/>
      <c r="HB37" s="9"/>
      <c r="HC37" s="9"/>
      <c r="HD37" s="9"/>
      <c r="HE37" s="9"/>
      <c r="HF37" s="9"/>
      <c r="HG37" s="9"/>
      <c r="HH37" s="9"/>
      <c r="HI37" s="9"/>
      <c r="HJ37" s="9"/>
      <c r="HK37" s="9"/>
      <c r="HL37" s="9"/>
      <c r="HM37" s="9"/>
      <c r="HN37" s="9"/>
      <c r="HO37" s="9"/>
      <c r="HP37" s="9"/>
      <c r="HQ37" s="9"/>
      <c r="HR37" s="9"/>
      <c r="HS37" s="9"/>
      <c r="HT37" s="9"/>
      <c r="HU37" s="9"/>
      <c r="HV37" s="9"/>
      <c r="HW37" s="9"/>
      <c r="HX37" s="9"/>
      <c r="HY37" s="9"/>
      <c r="HZ37" s="9"/>
      <c r="IA37" s="9"/>
      <c r="IB37" s="9"/>
      <c r="IC37" s="9"/>
      <c r="ID37" s="9"/>
      <c r="IE37" s="9"/>
      <c r="IF37" s="9"/>
      <c r="IG37" s="9"/>
      <c r="IH37" s="9"/>
      <c r="II37" s="9"/>
      <c r="IJ37" s="9"/>
      <c r="IK37" s="9"/>
      <c r="IL37" s="9"/>
      <c r="IM37" s="9"/>
      <c r="IN37" s="9"/>
      <c r="IO37" s="9"/>
      <c r="IP37" s="9"/>
      <c r="IQ37" s="9"/>
      <c r="IR37" s="9"/>
      <c r="IS37" s="9"/>
      <c r="IT37" s="9"/>
      <c r="IU37" s="9"/>
      <c r="IV37" s="9"/>
      <c r="IW37" s="9"/>
      <c r="IX37" s="9"/>
      <c r="IY37" s="9"/>
      <c r="IZ37" s="9"/>
      <c r="JA37" s="9"/>
      <c r="JB37" s="9"/>
      <c r="JC37" s="9"/>
      <c r="JD37" s="9"/>
      <c r="JE37" s="9"/>
      <c r="JF37" s="9"/>
      <c r="JG37" s="9"/>
      <c r="JH37" s="9"/>
      <c r="JI37" s="9"/>
      <c r="JJ37" s="9"/>
      <c r="JK37" s="9"/>
      <c r="JL37" s="9"/>
      <c r="JM37" s="9"/>
      <c r="JN37" s="9"/>
      <c r="JO37" s="9"/>
      <c r="JP37" s="9"/>
      <c r="JQ37" s="9"/>
      <c r="JR37" s="9"/>
      <c r="JS37" s="9"/>
      <c r="JT37" s="9"/>
      <c r="JU37" s="9"/>
      <c r="JV37" s="9"/>
      <c r="JW37" s="9"/>
      <c r="JX37" s="9"/>
      <c r="JY37" s="9"/>
      <c r="JZ37" s="9"/>
      <c r="KA37" s="9"/>
      <c r="KB37" s="9"/>
      <c r="KC37" s="9"/>
      <c r="KD37" s="9"/>
      <c r="KE37" s="9"/>
      <c r="KF37" s="9"/>
      <c r="KG37" s="9"/>
      <c r="KH37" s="9"/>
      <c r="KI37" s="9"/>
      <c r="KJ37" s="9"/>
      <c r="KK37" s="9"/>
      <c r="KL37" s="9"/>
      <c r="KM37" s="9"/>
      <c r="KN37" s="9"/>
      <c r="KO37" s="9"/>
      <c r="KP37" s="9"/>
      <c r="KQ37" s="9"/>
      <c r="KR37" s="9"/>
      <c r="KS37" s="9"/>
      <c r="KT37" s="9"/>
      <c r="KU37" s="9"/>
      <c r="KV37" s="9"/>
      <c r="KW37" s="9"/>
      <c r="KX37" s="9"/>
      <c r="KY37" s="9"/>
      <c r="KZ37" s="9"/>
      <c r="LA37" s="9"/>
      <c r="LB37" s="9"/>
      <c r="LC37" s="9"/>
      <c r="LD37" s="9"/>
      <c r="LE37" s="9"/>
      <c r="LF37" s="9"/>
      <c r="LG37" s="9"/>
      <c r="LH37" s="9"/>
      <c r="LI37" s="9"/>
      <c r="LJ37" s="9"/>
      <c r="LK37" s="9"/>
      <c r="LL37" s="9"/>
      <c r="LM37" s="9"/>
      <c r="LN37" s="9"/>
      <c r="LO37" s="9"/>
      <c r="LP37" s="9"/>
      <c r="LQ37" s="9"/>
      <c r="LR37" s="9"/>
      <c r="LS37" s="9"/>
      <c r="LT37" s="9"/>
      <c r="LU37" s="9"/>
      <c r="LV37" s="9"/>
      <c r="LW37" s="9"/>
      <c r="LX37" s="9"/>
      <c r="LY37" s="9"/>
      <c r="LZ37" s="9"/>
      <c r="MA37" s="9"/>
      <c r="MB37" s="9"/>
      <c r="MC37" s="9"/>
      <c r="MD37" s="9"/>
      <c r="ME37" s="9"/>
      <c r="MF37" s="9"/>
      <c r="MG37" s="9"/>
      <c r="MH37" s="9"/>
      <c r="MI37" s="9"/>
      <c r="MJ37" s="9"/>
      <c r="MK37" s="9"/>
    </row>
    <row r="38" spans="1:349" hidden="1" x14ac:dyDescent="0.25">
      <c r="A38" s="9"/>
      <c r="B38" s="9"/>
      <c r="C38" s="9"/>
      <c r="D38" s="9"/>
      <c r="E38" s="9"/>
      <c r="F38" s="9"/>
      <c r="G38" s="9"/>
      <c r="H38" s="9"/>
      <c r="I38" s="9"/>
      <c r="J38" s="9"/>
      <c r="K38" s="9"/>
      <c r="L38" s="9"/>
      <c r="M38" s="9"/>
      <c r="N38" s="9"/>
      <c r="O38" s="9"/>
      <c r="AG38" s="9"/>
      <c r="AH38" s="9"/>
      <c r="AI38" s="9"/>
      <c r="AJ38" s="9"/>
      <c r="AK38" s="9"/>
      <c r="AL38" s="9"/>
      <c r="AM38" s="9"/>
      <c r="AN38" s="9"/>
      <c r="AO38" s="9"/>
      <c r="AP38" s="9"/>
      <c r="AQ38" s="9"/>
      <c r="AR38" s="9"/>
      <c r="AS38" s="9"/>
      <c r="AT38" s="9"/>
      <c r="AU38" s="9"/>
      <c r="AV38" s="9"/>
      <c r="AW38" s="9"/>
      <c r="AX38" s="9"/>
      <c r="AY38" s="9"/>
      <c r="AZ38" s="9"/>
      <c r="BA38" s="9"/>
      <c r="BB38" s="9"/>
      <c r="BC38" s="9"/>
      <c r="BD38" s="9"/>
      <c r="BE38" s="9"/>
      <c r="BF38" s="9"/>
      <c r="BG38" s="9"/>
      <c r="BH38" s="9"/>
      <c r="BI38" s="9"/>
      <c r="BJ38" s="9"/>
      <c r="BK38" s="9"/>
      <c r="BL38" s="9"/>
      <c r="BM38" s="9"/>
      <c r="BN38" s="9"/>
      <c r="BO38" s="9"/>
      <c r="BP38" s="9"/>
      <c r="BQ38" s="9"/>
      <c r="BR38" s="9"/>
      <c r="BS38" s="9"/>
      <c r="BT38" s="9"/>
      <c r="BU38" s="9"/>
      <c r="BV38" s="9"/>
      <c r="BW38" s="9"/>
      <c r="BX38" s="9"/>
      <c r="BY38" s="9"/>
      <c r="BZ38" s="9"/>
      <c r="CA38" s="9"/>
      <c r="CB38" s="9"/>
      <c r="CC38" s="9"/>
      <c r="CD38" s="9"/>
      <c r="CE38" s="9"/>
      <c r="CF38" s="9"/>
      <c r="CG38" s="9"/>
      <c r="CH38" s="9"/>
      <c r="CI38" s="9"/>
      <c r="CJ38" s="9"/>
      <c r="CK38" s="9"/>
      <c r="CL38" s="9"/>
      <c r="CM38" s="9"/>
      <c r="CN38" s="9"/>
      <c r="CO38" s="9"/>
      <c r="CP38" s="9"/>
      <c r="CQ38" s="9"/>
      <c r="CR38" s="9"/>
      <c r="CS38" s="9"/>
      <c r="CT38" s="9"/>
      <c r="CU38" s="9"/>
      <c r="CV38" s="9"/>
      <c r="CW38" s="9"/>
      <c r="CX38" s="9"/>
      <c r="CY38" s="9"/>
      <c r="CZ38" s="9"/>
      <c r="DA38" s="9"/>
      <c r="DB38" s="9"/>
      <c r="DC38" s="9"/>
      <c r="DD38" s="9"/>
      <c r="DE38" s="9"/>
      <c r="DF38" s="9"/>
      <c r="DG38" s="9"/>
      <c r="DH38" s="9"/>
      <c r="DI38" s="9"/>
      <c r="DJ38" s="9"/>
      <c r="DK38" s="9"/>
      <c r="DL38" s="9"/>
      <c r="DM38" s="9"/>
      <c r="DN38" s="9"/>
      <c r="DO38" s="9"/>
      <c r="DP38" s="9"/>
      <c r="DQ38" s="9"/>
      <c r="DR38" s="9"/>
      <c r="DS38" s="9"/>
      <c r="DT38" s="9"/>
      <c r="DU38" s="9"/>
      <c r="DV38" s="9"/>
      <c r="DW38" s="9"/>
      <c r="DX38" s="9"/>
      <c r="DY38" s="9"/>
      <c r="DZ38" s="9"/>
      <c r="EA38" s="9"/>
      <c r="EB38" s="9"/>
      <c r="EC38" s="9"/>
      <c r="ED38" s="9"/>
      <c r="EE38" s="9"/>
      <c r="EF38" s="9"/>
      <c r="EG38" s="9"/>
      <c r="EH38" s="9"/>
      <c r="EI38" s="9"/>
      <c r="EJ38" s="9"/>
      <c r="EK38" s="9"/>
      <c r="EL38" s="9"/>
      <c r="EM38" s="9"/>
      <c r="EN38" s="9"/>
      <c r="EO38" s="9"/>
      <c r="EP38" s="9"/>
      <c r="EQ38" s="9"/>
      <c r="ER38" s="9"/>
      <c r="ES38" s="9"/>
      <c r="ET38" s="9"/>
      <c r="EU38" s="9"/>
      <c r="EV38" s="9"/>
      <c r="EW38" s="9"/>
      <c r="EX38" s="9"/>
      <c r="EY38" s="9"/>
      <c r="EZ38" s="9"/>
      <c r="FA38" s="9"/>
      <c r="FB38" s="9"/>
      <c r="FC38" s="9"/>
      <c r="FD38" s="9"/>
      <c r="FE38" s="9"/>
      <c r="FF38" s="9"/>
      <c r="FG38" s="9"/>
      <c r="FH38" s="9"/>
      <c r="FI38" s="9"/>
      <c r="FJ38" s="9"/>
      <c r="FK38" s="9"/>
      <c r="FL38" s="9"/>
      <c r="FM38" s="9"/>
      <c r="FN38" s="9"/>
      <c r="FO38" s="9"/>
      <c r="FP38" s="9"/>
      <c r="FQ38" s="9"/>
      <c r="FR38" s="9"/>
      <c r="FS38" s="9"/>
      <c r="FT38" s="9"/>
      <c r="FU38" s="9"/>
      <c r="FV38" s="9"/>
      <c r="FW38" s="9"/>
      <c r="FX38" s="9"/>
      <c r="FY38" s="9"/>
      <c r="FZ38" s="9"/>
      <c r="GA38" s="9"/>
      <c r="GB38" s="9"/>
      <c r="GC38" s="9"/>
      <c r="GD38" s="9"/>
      <c r="GE38" s="9"/>
      <c r="GF38" s="9"/>
      <c r="GG38" s="9"/>
      <c r="GH38" s="9"/>
      <c r="GI38" s="9"/>
      <c r="GJ38" s="9"/>
      <c r="GK38" s="9"/>
      <c r="GL38" s="9"/>
      <c r="GM38" s="9"/>
      <c r="GN38" s="9"/>
      <c r="GO38" s="9"/>
      <c r="GP38" s="9"/>
      <c r="GQ38" s="9"/>
      <c r="GR38" s="9"/>
      <c r="GS38" s="9"/>
      <c r="GT38" s="9"/>
      <c r="GU38" s="9"/>
      <c r="GV38" s="9"/>
      <c r="GW38" s="9"/>
      <c r="GX38" s="9"/>
      <c r="GY38" s="9"/>
      <c r="GZ38" s="9"/>
      <c r="HA38" s="9"/>
      <c r="HB38" s="9"/>
      <c r="HC38" s="9"/>
      <c r="HD38" s="9"/>
      <c r="HE38" s="9"/>
      <c r="HF38" s="9"/>
      <c r="HG38" s="9"/>
      <c r="HH38" s="9"/>
      <c r="HI38" s="9"/>
      <c r="HJ38" s="9"/>
      <c r="HK38" s="9"/>
      <c r="HL38" s="9"/>
      <c r="HM38" s="9"/>
      <c r="HN38" s="9"/>
      <c r="HO38" s="9"/>
      <c r="HP38" s="9"/>
      <c r="HQ38" s="9"/>
      <c r="HR38" s="9"/>
      <c r="HS38" s="9"/>
      <c r="HT38" s="9"/>
      <c r="HU38" s="9"/>
      <c r="HV38" s="9"/>
      <c r="HW38" s="9"/>
      <c r="HX38" s="9"/>
      <c r="HY38" s="9"/>
      <c r="HZ38" s="9"/>
      <c r="IA38" s="9"/>
      <c r="IB38" s="9"/>
      <c r="IC38" s="9"/>
      <c r="ID38" s="9"/>
      <c r="IE38" s="9"/>
      <c r="IF38" s="9"/>
      <c r="IG38" s="9"/>
      <c r="IH38" s="9"/>
      <c r="II38" s="9"/>
      <c r="IJ38" s="9"/>
      <c r="IK38" s="9"/>
      <c r="IL38" s="9"/>
      <c r="IM38" s="9"/>
      <c r="IN38" s="9"/>
      <c r="IO38" s="9"/>
      <c r="IP38" s="9"/>
      <c r="IQ38" s="9"/>
      <c r="IR38" s="9"/>
      <c r="IS38" s="9"/>
      <c r="IT38" s="9"/>
      <c r="IU38" s="9"/>
      <c r="IV38" s="9"/>
      <c r="IW38" s="9"/>
      <c r="IX38" s="9"/>
      <c r="IY38" s="9"/>
      <c r="IZ38" s="9"/>
      <c r="JA38" s="9"/>
      <c r="JB38" s="9"/>
      <c r="JC38" s="9"/>
      <c r="JD38" s="9"/>
      <c r="JE38" s="9"/>
      <c r="JF38" s="9"/>
      <c r="JG38" s="9"/>
      <c r="JH38" s="9"/>
      <c r="JI38" s="9"/>
      <c r="JJ38" s="9"/>
      <c r="JK38" s="9"/>
      <c r="JL38" s="9"/>
      <c r="JM38" s="9"/>
      <c r="JN38" s="9"/>
      <c r="JO38" s="9"/>
      <c r="JP38" s="9"/>
      <c r="JQ38" s="9"/>
      <c r="JR38" s="9"/>
      <c r="JS38" s="9"/>
      <c r="JT38" s="9"/>
      <c r="JU38" s="9"/>
      <c r="JV38" s="9"/>
      <c r="JW38" s="9"/>
      <c r="JX38" s="9"/>
      <c r="JY38" s="9"/>
      <c r="JZ38" s="9"/>
      <c r="KA38" s="9"/>
      <c r="KB38" s="9"/>
      <c r="KC38" s="9"/>
      <c r="KD38" s="9"/>
      <c r="KE38" s="9"/>
      <c r="KF38" s="9"/>
      <c r="KG38" s="9"/>
      <c r="KH38" s="9"/>
      <c r="KI38" s="9"/>
      <c r="KJ38" s="9"/>
      <c r="KK38" s="9"/>
      <c r="KL38" s="9"/>
      <c r="KM38" s="9"/>
      <c r="KN38" s="9"/>
      <c r="KO38" s="9"/>
      <c r="KP38" s="9"/>
      <c r="KQ38" s="9"/>
      <c r="KR38" s="9"/>
      <c r="KS38" s="9"/>
      <c r="KT38" s="9"/>
      <c r="KU38" s="9"/>
      <c r="KV38" s="9"/>
      <c r="KW38" s="9"/>
      <c r="KX38" s="9"/>
      <c r="KY38" s="9"/>
      <c r="KZ38" s="9"/>
      <c r="LA38" s="9"/>
      <c r="LB38" s="9"/>
      <c r="LC38" s="9"/>
      <c r="LD38" s="9"/>
      <c r="LE38" s="9"/>
      <c r="LF38" s="9"/>
      <c r="LG38" s="9"/>
      <c r="LH38" s="9"/>
      <c r="LI38" s="9"/>
      <c r="LJ38" s="9"/>
      <c r="LK38" s="9"/>
      <c r="LL38" s="9"/>
      <c r="LM38" s="9"/>
      <c r="LN38" s="9"/>
      <c r="LO38" s="9"/>
      <c r="LP38" s="9"/>
      <c r="LQ38" s="9"/>
      <c r="LR38" s="9"/>
      <c r="LS38" s="9"/>
      <c r="LT38" s="9"/>
      <c r="LU38" s="9"/>
      <c r="LV38" s="9"/>
      <c r="LW38" s="9"/>
      <c r="LX38" s="9"/>
      <c r="LY38" s="9"/>
      <c r="LZ38" s="9"/>
      <c r="MA38" s="9"/>
      <c r="MB38" s="9"/>
      <c r="MC38" s="9"/>
      <c r="MD38" s="9"/>
      <c r="ME38" s="9"/>
      <c r="MF38" s="9"/>
      <c r="MG38" s="9"/>
      <c r="MH38" s="9"/>
      <c r="MI38" s="9"/>
      <c r="MJ38" s="9"/>
      <c r="MK38" s="9"/>
    </row>
    <row r="39" spans="1:349" hidden="1" x14ac:dyDescent="0.25">
      <c r="A39" s="9"/>
      <c r="B39" s="9"/>
      <c r="C39" s="9"/>
      <c r="D39" s="9"/>
      <c r="E39" s="9"/>
      <c r="F39" s="9"/>
      <c r="G39" s="9"/>
      <c r="H39" s="9"/>
      <c r="I39" s="9"/>
      <c r="J39" s="9"/>
      <c r="K39" s="9"/>
      <c r="L39" s="9"/>
      <c r="M39" s="9"/>
      <c r="N39" s="9"/>
      <c r="O39" s="9"/>
      <c r="AG39" s="9"/>
      <c r="AH39" s="9"/>
      <c r="AI39" s="9"/>
      <c r="AJ39" s="9"/>
      <c r="AK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9"/>
      <c r="BQ39" s="9"/>
      <c r="BR39" s="9"/>
      <c r="BS39" s="9"/>
      <c r="BT39" s="9"/>
      <c r="BU39" s="9"/>
      <c r="BV39" s="9"/>
      <c r="BW39" s="9"/>
      <c r="BX39" s="9"/>
      <c r="BY39" s="9"/>
      <c r="BZ39" s="9"/>
      <c r="CA39" s="9"/>
      <c r="CB39" s="9"/>
      <c r="CC39" s="9"/>
      <c r="CD39" s="9"/>
      <c r="CE39" s="9"/>
      <c r="CF39" s="9"/>
      <c r="CG39" s="9"/>
      <c r="CH39" s="9"/>
      <c r="CI39" s="9"/>
      <c r="CJ39" s="9"/>
      <c r="CK39" s="9"/>
      <c r="CL39" s="9"/>
      <c r="CM39" s="9"/>
      <c r="CN39" s="9"/>
      <c r="CO39" s="9"/>
      <c r="CP39" s="9"/>
      <c r="CQ39" s="9"/>
      <c r="CR39" s="9"/>
      <c r="CS39" s="9"/>
      <c r="CT39" s="9"/>
      <c r="CU39" s="9"/>
      <c r="CV39" s="9"/>
      <c r="CW39" s="9"/>
      <c r="CX39" s="9"/>
      <c r="CY39" s="9"/>
      <c r="CZ39" s="9"/>
      <c r="DA39" s="9"/>
      <c r="DB39" s="9"/>
      <c r="DC39" s="9"/>
      <c r="DD39" s="9"/>
      <c r="DE39" s="9"/>
      <c r="DF39" s="9"/>
      <c r="DG39" s="9"/>
      <c r="DH39" s="9"/>
      <c r="DI39" s="9"/>
      <c r="DJ39" s="9"/>
      <c r="DK39" s="9"/>
      <c r="DL39" s="9"/>
      <c r="DM39" s="9"/>
      <c r="DN39" s="9"/>
      <c r="DO39" s="9"/>
      <c r="DP39" s="9"/>
      <c r="DQ39" s="9"/>
      <c r="DR39" s="9"/>
      <c r="DS39" s="9"/>
      <c r="DT39" s="9"/>
      <c r="DU39" s="9"/>
      <c r="DV39" s="9"/>
      <c r="DW39" s="9"/>
      <c r="DX39" s="9"/>
      <c r="DY39" s="9"/>
      <c r="DZ39" s="9"/>
      <c r="EA39" s="9"/>
      <c r="EB39" s="9"/>
      <c r="EC39" s="9"/>
      <c r="ED39" s="9"/>
      <c r="EE39" s="9"/>
      <c r="EF39" s="9"/>
      <c r="EG39" s="9"/>
      <c r="EH39" s="9"/>
      <c r="EI39" s="9"/>
      <c r="EJ39" s="9"/>
      <c r="EK39" s="9"/>
      <c r="EL39" s="9"/>
      <c r="EM39" s="9"/>
      <c r="EN39" s="9"/>
      <c r="EO39" s="9"/>
      <c r="EP39" s="9"/>
      <c r="EQ39" s="9"/>
      <c r="ER39" s="9"/>
      <c r="ES39" s="9"/>
      <c r="ET39" s="9"/>
      <c r="EU39" s="9"/>
      <c r="EV39" s="9"/>
      <c r="EW39" s="9"/>
      <c r="EX39" s="9"/>
      <c r="EY39" s="9"/>
      <c r="EZ39" s="9"/>
      <c r="FA39" s="9"/>
      <c r="FB39" s="9"/>
      <c r="FC39" s="9"/>
      <c r="FD39" s="9"/>
      <c r="FE39" s="9"/>
      <c r="FF39" s="9"/>
      <c r="FG39" s="9"/>
      <c r="FH39" s="9"/>
      <c r="FI39" s="9"/>
      <c r="FJ39" s="9"/>
      <c r="FK39" s="9"/>
      <c r="FL39" s="9"/>
      <c r="FM39" s="9"/>
      <c r="FN39" s="9"/>
      <c r="FO39" s="9"/>
      <c r="FP39" s="9"/>
      <c r="FQ39" s="9"/>
      <c r="FR39" s="9"/>
      <c r="FS39" s="9"/>
      <c r="FT39" s="9"/>
      <c r="FU39" s="9"/>
      <c r="FV39" s="9"/>
      <c r="FW39" s="9"/>
      <c r="FX39" s="9"/>
      <c r="FY39" s="9"/>
      <c r="FZ39" s="9"/>
      <c r="GA39" s="9"/>
      <c r="GB39" s="9"/>
      <c r="GC39" s="9"/>
      <c r="GD39" s="9"/>
      <c r="GE39" s="9"/>
      <c r="GF39" s="9"/>
      <c r="GG39" s="9"/>
      <c r="GH39" s="9"/>
      <c r="GI39" s="9"/>
      <c r="GJ39" s="9"/>
      <c r="GK39" s="9"/>
      <c r="GL39" s="9"/>
      <c r="GM39" s="9"/>
      <c r="GN39" s="9"/>
      <c r="GO39" s="9"/>
      <c r="GP39" s="9"/>
      <c r="GQ39" s="9"/>
      <c r="GR39" s="9"/>
      <c r="GS39" s="9"/>
      <c r="GT39" s="9"/>
      <c r="GU39" s="9"/>
      <c r="GV39" s="9"/>
      <c r="GW39" s="9"/>
      <c r="GX39" s="9"/>
      <c r="GY39" s="9"/>
      <c r="GZ39" s="9"/>
      <c r="HA39" s="9"/>
      <c r="HB39" s="9"/>
      <c r="HC39" s="9"/>
      <c r="HD39" s="9"/>
      <c r="HE39" s="9"/>
      <c r="HF39" s="9"/>
      <c r="HG39" s="9"/>
      <c r="HH39" s="9"/>
      <c r="HI39" s="9"/>
      <c r="HJ39" s="9"/>
      <c r="HK39" s="9"/>
      <c r="HL39" s="9"/>
      <c r="HM39" s="9"/>
      <c r="HN39" s="9"/>
      <c r="HO39" s="9"/>
      <c r="HP39" s="9"/>
      <c r="HQ39" s="9"/>
      <c r="HR39" s="9"/>
      <c r="HS39" s="9"/>
      <c r="HT39" s="9"/>
      <c r="HU39" s="9"/>
      <c r="HV39" s="9"/>
      <c r="HW39" s="9"/>
      <c r="HX39" s="9"/>
      <c r="HY39" s="9"/>
      <c r="HZ39" s="9"/>
      <c r="IA39" s="9"/>
      <c r="IB39" s="9"/>
      <c r="IC39" s="9"/>
      <c r="ID39" s="9"/>
      <c r="IE39" s="9"/>
      <c r="IF39" s="9"/>
      <c r="IG39" s="9"/>
      <c r="IH39" s="9"/>
      <c r="II39" s="9"/>
      <c r="IJ39" s="9"/>
      <c r="IK39" s="9"/>
      <c r="IL39" s="9"/>
      <c r="IM39" s="9"/>
      <c r="IN39" s="9"/>
      <c r="IO39" s="9"/>
      <c r="IP39" s="9"/>
      <c r="IQ39" s="9"/>
      <c r="IR39" s="9"/>
      <c r="IS39" s="9"/>
      <c r="IT39" s="9"/>
      <c r="IU39" s="9"/>
      <c r="IV39" s="9"/>
      <c r="IW39" s="9"/>
      <c r="IX39" s="9"/>
      <c r="IY39" s="9"/>
      <c r="IZ39" s="9"/>
      <c r="JA39" s="9"/>
      <c r="JB39" s="9"/>
      <c r="JC39" s="9"/>
      <c r="JD39" s="9"/>
      <c r="JE39" s="9"/>
      <c r="JF39" s="9"/>
      <c r="JG39" s="9"/>
      <c r="JH39" s="9"/>
      <c r="JI39" s="9"/>
      <c r="JJ39" s="9"/>
      <c r="JK39" s="9"/>
      <c r="JL39" s="9"/>
      <c r="JM39" s="9"/>
      <c r="JN39" s="9"/>
      <c r="JO39" s="9"/>
      <c r="JP39" s="9"/>
      <c r="JQ39" s="9"/>
      <c r="JR39" s="9"/>
      <c r="JS39" s="9"/>
      <c r="JT39" s="9"/>
      <c r="JU39" s="9"/>
      <c r="JV39" s="9"/>
      <c r="JW39" s="9"/>
      <c r="JX39" s="9"/>
      <c r="JY39" s="9"/>
      <c r="JZ39" s="9"/>
      <c r="KA39" s="9"/>
      <c r="KB39" s="9"/>
      <c r="KC39" s="9"/>
      <c r="KD39" s="9"/>
      <c r="KE39" s="9"/>
      <c r="KF39" s="9"/>
      <c r="KG39" s="9"/>
      <c r="KH39" s="9"/>
      <c r="KI39" s="9"/>
      <c r="KJ39" s="9"/>
      <c r="KK39" s="9"/>
      <c r="KL39" s="9"/>
      <c r="KM39" s="9"/>
      <c r="KN39" s="9"/>
      <c r="KO39" s="9"/>
      <c r="KP39" s="9"/>
      <c r="KQ39" s="9"/>
      <c r="KR39" s="9"/>
      <c r="KS39" s="9"/>
      <c r="KT39" s="9"/>
      <c r="KU39" s="9"/>
      <c r="KV39" s="9"/>
      <c r="KW39" s="9"/>
      <c r="KX39" s="9"/>
      <c r="KY39" s="9"/>
      <c r="KZ39" s="9"/>
      <c r="LA39" s="9"/>
      <c r="LB39" s="9"/>
      <c r="LC39" s="9"/>
      <c r="LD39" s="9"/>
      <c r="LE39" s="9"/>
      <c r="LF39" s="9"/>
      <c r="LG39" s="9"/>
      <c r="LH39" s="9"/>
      <c r="LI39" s="9"/>
      <c r="LJ39" s="9"/>
      <c r="LK39" s="9"/>
      <c r="LL39" s="9"/>
      <c r="LM39" s="9"/>
      <c r="LN39" s="9"/>
      <c r="LO39" s="9"/>
      <c r="LP39" s="9"/>
      <c r="LQ39" s="9"/>
      <c r="LR39" s="9"/>
      <c r="LS39" s="9"/>
      <c r="LT39" s="9"/>
      <c r="LU39" s="9"/>
      <c r="LV39" s="9"/>
      <c r="LW39" s="9"/>
      <c r="LX39" s="9"/>
      <c r="LY39" s="9"/>
      <c r="LZ39" s="9"/>
      <c r="MA39" s="9"/>
      <c r="MB39" s="9"/>
      <c r="MC39" s="9"/>
      <c r="MD39" s="9"/>
      <c r="ME39" s="9"/>
      <c r="MF39" s="9"/>
      <c r="MG39" s="9"/>
      <c r="MH39" s="9"/>
      <c r="MI39" s="9"/>
      <c r="MJ39" s="9"/>
      <c r="MK39" s="9"/>
    </row>
    <row r="40" spans="1:349" hidden="1" x14ac:dyDescent="0.25">
      <c r="A40" s="9"/>
      <c r="B40" s="9"/>
      <c r="C40" s="9"/>
      <c r="D40" s="9"/>
      <c r="E40" s="9"/>
      <c r="F40" s="9"/>
      <c r="G40" s="9"/>
      <c r="H40" s="9"/>
      <c r="I40" s="9"/>
      <c r="J40" s="9"/>
      <c r="K40" s="9"/>
      <c r="L40" s="9"/>
      <c r="M40" s="9"/>
      <c r="N40" s="9"/>
      <c r="O40" s="9"/>
      <c r="AG40" s="9"/>
      <c r="AH40" s="9"/>
      <c r="AI40" s="9"/>
      <c r="AJ40" s="9"/>
      <c r="AK40" s="9"/>
      <c r="AL40" s="9"/>
      <c r="AM40" s="9"/>
      <c r="AN40" s="9"/>
      <c r="AO40" s="9"/>
      <c r="AP40" s="9"/>
      <c r="AQ40" s="9"/>
      <c r="AR40" s="9"/>
      <c r="AS40" s="9"/>
      <c r="AT40" s="9"/>
      <c r="AU40" s="9"/>
      <c r="AV40" s="9"/>
      <c r="AW40" s="9"/>
      <c r="AX40" s="9"/>
      <c r="AY40" s="9"/>
      <c r="AZ40" s="9"/>
      <c r="BA40" s="9"/>
      <c r="BB40" s="9"/>
      <c r="BC40" s="9"/>
      <c r="BD40" s="9"/>
      <c r="BE40" s="9"/>
      <c r="BF40" s="9"/>
      <c r="BG40" s="9"/>
      <c r="BH40" s="9"/>
      <c r="BI40" s="9"/>
      <c r="BJ40" s="9"/>
      <c r="BK40" s="9"/>
      <c r="BL40" s="9"/>
      <c r="BM40" s="9"/>
      <c r="BN40" s="9"/>
      <c r="BO40" s="9"/>
      <c r="BP40" s="9"/>
      <c r="BQ40" s="9"/>
      <c r="BR40" s="9"/>
      <c r="BS40" s="9"/>
      <c r="BT40" s="9"/>
      <c r="BU40" s="9"/>
      <c r="BV40" s="9"/>
      <c r="BW40" s="9"/>
      <c r="BX40" s="9"/>
      <c r="BY40" s="9"/>
      <c r="BZ40" s="9"/>
      <c r="CA40" s="9"/>
      <c r="CB40" s="9"/>
      <c r="CC40" s="9"/>
      <c r="CD40" s="9"/>
      <c r="CE40" s="9"/>
      <c r="CF40" s="9"/>
      <c r="CG40" s="9"/>
      <c r="CH40" s="9"/>
      <c r="CI40" s="9"/>
      <c r="CJ40" s="9"/>
      <c r="CK40" s="9"/>
      <c r="CL40" s="9"/>
      <c r="CM40" s="9"/>
      <c r="CN40" s="9"/>
      <c r="CO40" s="9"/>
      <c r="CP40" s="9"/>
      <c r="CQ40" s="9"/>
      <c r="CR40" s="9"/>
      <c r="CS40" s="9"/>
      <c r="CT40" s="9"/>
      <c r="CU40" s="9"/>
      <c r="CV40" s="9"/>
      <c r="CW40" s="9"/>
      <c r="CX40" s="9"/>
      <c r="CY40" s="9"/>
      <c r="CZ40" s="9"/>
      <c r="DA40" s="9"/>
      <c r="DB40" s="9"/>
      <c r="DC40" s="9"/>
      <c r="DD40" s="9"/>
      <c r="DE40" s="9"/>
      <c r="DF40" s="9"/>
      <c r="DG40" s="9"/>
      <c r="DH40" s="9"/>
      <c r="DI40" s="9"/>
      <c r="DJ40" s="9"/>
      <c r="DK40" s="9"/>
      <c r="DL40" s="9"/>
      <c r="DM40" s="9"/>
      <c r="DN40" s="9"/>
      <c r="DO40" s="9"/>
      <c r="DP40" s="9"/>
      <c r="DQ40" s="9"/>
      <c r="DR40" s="9"/>
      <c r="DS40" s="9"/>
      <c r="DT40" s="9"/>
      <c r="DU40" s="9"/>
      <c r="DV40" s="9"/>
      <c r="DW40" s="9"/>
      <c r="DX40" s="9"/>
      <c r="DY40" s="9"/>
      <c r="DZ40" s="9"/>
      <c r="EA40" s="9"/>
      <c r="EB40" s="9"/>
      <c r="EC40" s="9"/>
      <c r="ED40" s="9"/>
      <c r="EE40" s="9"/>
      <c r="EF40" s="9"/>
      <c r="EG40" s="9"/>
      <c r="EH40" s="9"/>
      <c r="EI40" s="9"/>
      <c r="EJ40" s="9"/>
      <c r="EK40" s="9"/>
      <c r="EL40" s="9"/>
      <c r="EM40" s="9"/>
      <c r="EN40" s="9"/>
      <c r="EO40" s="9"/>
      <c r="EP40" s="9"/>
      <c r="EQ40" s="9"/>
      <c r="ER40" s="9"/>
      <c r="ES40" s="9"/>
      <c r="ET40" s="9"/>
      <c r="EU40" s="9"/>
      <c r="EV40" s="9"/>
      <c r="EW40" s="9"/>
      <c r="EX40" s="9"/>
      <c r="EY40" s="9"/>
      <c r="EZ40" s="9"/>
      <c r="FA40" s="9"/>
      <c r="FB40" s="9"/>
      <c r="FC40" s="9"/>
      <c r="FD40" s="9"/>
      <c r="FE40" s="9"/>
      <c r="FF40" s="9"/>
      <c r="FG40" s="9"/>
      <c r="FH40" s="9"/>
      <c r="FI40" s="9"/>
      <c r="FJ40" s="9"/>
      <c r="FK40" s="9"/>
      <c r="FL40" s="9"/>
      <c r="FM40" s="9"/>
      <c r="FN40" s="9"/>
      <c r="FO40" s="9"/>
      <c r="FP40" s="9"/>
      <c r="FQ40" s="9"/>
      <c r="FR40" s="9"/>
      <c r="FS40" s="9"/>
      <c r="FT40" s="9"/>
      <c r="FU40" s="9"/>
      <c r="FV40" s="9"/>
      <c r="FW40" s="9"/>
      <c r="FX40" s="9"/>
      <c r="FY40" s="9"/>
      <c r="FZ40" s="9"/>
      <c r="GA40" s="9"/>
      <c r="GB40" s="9"/>
      <c r="GC40" s="9"/>
      <c r="GD40" s="9"/>
      <c r="GE40" s="9"/>
      <c r="GF40" s="9"/>
      <c r="GG40" s="9"/>
      <c r="GH40" s="9"/>
      <c r="GI40" s="9"/>
      <c r="GJ40" s="9"/>
      <c r="GK40" s="9"/>
      <c r="GL40" s="9"/>
      <c r="GM40" s="9"/>
      <c r="GN40" s="9"/>
      <c r="GO40" s="9"/>
      <c r="GP40" s="9"/>
      <c r="GQ40" s="9"/>
      <c r="GR40" s="9"/>
      <c r="GS40" s="9"/>
      <c r="GT40" s="9"/>
      <c r="GU40" s="9"/>
      <c r="GV40" s="9"/>
      <c r="GW40" s="9"/>
      <c r="GX40" s="9"/>
      <c r="GY40" s="9"/>
      <c r="GZ40" s="9"/>
      <c r="HA40" s="9"/>
      <c r="HB40" s="9"/>
      <c r="HC40" s="9"/>
      <c r="HD40" s="9"/>
      <c r="HE40" s="9"/>
      <c r="HF40" s="9"/>
      <c r="HG40" s="9"/>
      <c r="HH40" s="9"/>
      <c r="HI40" s="9"/>
      <c r="HJ40" s="9"/>
      <c r="HK40" s="9"/>
      <c r="HL40" s="9"/>
      <c r="HM40" s="9"/>
      <c r="HN40" s="9"/>
      <c r="HO40" s="9"/>
      <c r="HP40" s="9"/>
      <c r="HQ40" s="9"/>
      <c r="HR40" s="9"/>
      <c r="HS40" s="9"/>
      <c r="HT40" s="9"/>
      <c r="HU40" s="9"/>
      <c r="HV40" s="9"/>
      <c r="HW40" s="9"/>
      <c r="HX40" s="9"/>
      <c r="HY40" s="9"/>
      <c r="HZ40" s="9"/>
      <c r="IA40" s="9"/>
      <c r="IB40" s="9"/>
      <c r="IC40" s="9"/>
      <c r="ID40" s="9"/>
      <c r="IE40" s="9"/>
      <c r="IF40" s="9"/>
      <c r="IG40" s="9"/>
      <c r="IH40" s="9"/>
      <c r="II40" s="9"/>
      <c r="IJ40" s="9"/>
      <c r="IK40" s="9"/>
      <c r="IL40" s="9"/>
      <c r="IM40" s="9"/>
      <c r="IN40" s="9"/>
      <c r="IO40" s="9"/>
      <c r="IP40" s="9"/>
      <c r="IQ40" s="9"/>
      <c r="IR40" s="9"/>
      <c r="IS40" s="9"/>
      <c r="IT40" s="9"/>
      <c r="IU40" s="9"/>
      <c r="IV40" s="9"/>
      <c r="IW40" s="9"/>
      <c r="IX40" s="9"/>
      <c r="IY40" s="9"/>
      <c r="IZ40" s="9"/>
      <c r="JA40" s="9"/>
      <c r="JB40" s="9"/>
      <c r="JC40" s="9"/>
      <c r="JD40" s="9"/>
      <c r="JE40" s="9"/>
      <c r="JF40" s="9"/>
      <c r="JG40" s="9"/>
      <c r="JH40" s="9"/>
      <c r="JI40" s="9"/>
      <c r="JJ40" s="9"/>
      <c r="JK40" s="9"/>
      <c r="JL40" s="9"/>
      <c r="JM40" s="9"/>
      <c r="JN40" s="9"/>
      <c r="JO40" s="9"/>
      <c r="JP40" s="9"/>
      <c r="JQ40" s="9"/>
      <c r="JR40" s="9"/>
      <c r="JS40" s="9"/>
      <c r="JT40" s="9"/>
      <c r="JU40" s="9"/>
      <c r="JV40" s="9"/>
      <c r="JW40" s="9"/>
      <c r="JX40" s="9"/>
      <c r="JY40" s="9"/>
      <c r="JZ40" s="9"/>
      <c r="KA40" s="9"/>
      <c r="KB40" s="9"/>
      <c r="KC40" s="9"/>
      <c r="KD40" s="9"/>
      <c r="KE40" s="9"/>
      <c r="KF40" s="9"/>
      <c r="KG40" s="9"/>
      <c r="KH40" s="9"/>
      <c r="KI40" s="9"/>
      <c r="KJ40" s="9"/>
      <c r="KK40" s="9"/>
      <c r="KL40" s="9"/>
      <c r="KM40" s="9"/>
      <c r="KN40" s="9"/>
      <c r="KO40" s="9"/>
      <c r="KP40" s="9"/>
      <c r="KQ40" s="9"/>
      <c r="KR40" s="9"/>
      <c r="KS40" s="9"/>
      <c r="KT40" s="9"/>
      <c r="KU40" s="9"/>
      <c r="KV40" s="9"/>
      <c r="KW40" s="9"/>
      <c r="KX40" s="9"/>
      <c r="KY40" s="9"/>
      <c r="KZ40" s="9"/>
      <c r="LA40" s="9"/>
      <c r="LB40" s="9"/>
      <c r="LC40" s="9"/>
      <c r="LD40" s="9"/>
      <c r="LE40" s="9"/>
      <c r="LF40" s="9"/>
      <c r="LG40" s="9"/>
      <c r="LH40" s="9"/>
      <c r="LI40" s="9"/>
      <c r="LJ40" s="9"/>
      <c r="LK40" s="9"/>
      <c r="LL40" s="9"/>
      <c r="LM40" s="9"/>
      <c r="LN40" s="9"/>
      <c r="LO40" s="9"/>
      <c r="LP40" s="9"/>
      <c r="LQ40" s="9"/>
      <c r="LR40" s="9"/>
      <c r="LS40" s="9"/>
      <c r="LT40" s="9"/>
      <c r="LU40" s="9"/>
      <c r="LV40" s="9"/>
      <c r="LW40" s="9"/>
      <c r="LX40" s="9"/>
      <c r="LY40" s="9"/>
      <c r="LZ40" s="9"/>
      <c r="MA40" s="9"/>
      <c r="MB40" s="9"/>
      <c r="MC40" s="9"/>
      <c r="MD40" s="9"/>
      <c r="ME40" s="9"/>
      <c r="MF40" s="9"/>
      <c r="MG40" s="9"/>
      <c r="MH40" s="9"/>
      <c r="MI40" s="9"/>
      <c r="MJ40" s="9"/>
      <c r="MK40" s="9"/>
    </row>
    <row r="41" spans="1:349" hidden="1" x14ac:dyDescent="0.25">
      <c r="A41" s="9"/>
      <c r="B41" s="9"/>
      <c r="C41" s="9"/>
      <c r="D41" s="9"/>
      <c r="E41" s="9"/>
      <c r="F41" s="9"/>
      <c r="G41" s="9"/>
      <c r="H41" s="9"/>
      <c r="I41" s="9"/>
      <c r="J41" s="9"/>
      <c r="K41" s="9"/>
      <c r="L41" s="9"/>
      <c r="M41" s="9"/>
      <c r="N41" s="9"/>
      <c r="O41" s="9"/>
      <c r="AG41" s="9"/>
      <c r="AH41" s="9"/>
      <c r="AI41" s="9"/>
      <c r="AJ41" s="9"/>
      <c r="AK41" s="9"/>
      <c r="AL41" s="9"/>
      <c r="AM41" s="9"/>
      <c r="AN41" s="9"/>
      <c r="AO41" s="9"/>
      <c r="AP41" s="9"/>
      <c r="AQ41" s="9"/>
      <c r="AR41" s="9"/>
      <c r="AS41" s="9"/>
      <c r="AT41" s="9"/>
      <c r="AU41" s="9"/>
      <c r="AV41" s="9"/>
      <c r="AW41" s="9"/>
      <c r="AX41" s="9"/>
      <c r="AY41" s="9"/>
      <c r="AZ41" s="9"/>
      <c r="BA41" s="9"/>
      <c r="BB41" s="9"/>
      <c r="BC41" s="9"/>
      <c r="BD41" s="9"/>
      <c r="BE41" s="9"/>
      <c r="BF41" s="9"/>
      <c r="BG41" s="9"/>
      <c r="BH41" s="9"/>
      <c r="BI41" s="9"/>
      <c r="BJ41" s="9"/>
      <c r="BK41" s="9"/>
      <c r="BL41" s="9"/>
      <c r="BM41" s="9"/>
      <c r="BN41" s="9"/>
      <c r="BO41" s="9"/>
      <c r="BP41" s="9"/>
      <c r="BQ41" s="9"/>
      <c r="BR41" s="9"/>
      <c r="BS41" s="9"/>
      <c r="BT41" s="9"/>
      <c r="BU41" s="9"/>
      <c r="BV41" s="9"/>
      <c r="BW41" s="9"/>
      <c r="BX41" s="9"/>
      <c r="BY41" s="9"/>
      <c r="BZ41" s="9"/>
      <c r="CA41" s="9"/>
      <c r="CB41" s="9"/>
      <c r="CC41" s="9"/>
      <c r="CD41" s="9"/>
      <c r="CE41" s="9"/>
      <c r="CF41" s="9"/>
      <c r="CG41" s="9"/>
      <c r="CH41" s="9"/>
      <c r="CI41" s="9"/>
      <c r="CJ41" s="9"/>
      <c r="CK41" s="9"/>
      <c r="CL41" s="9"/>
      <c r="CM41" s="9"/>
      <c r="CN41" s="9"/>
      <c r="CO41" s="9"/>
      <c r="CP41" s="9"/>
      <c r="CQ41" s="9"/>
      <c r="CR41" s="9"/>
      <c r="CS41" s="9"/>
      <c r="CT41" s="9"/>
      <c r="CU41" s="9"/>
      <c r="CV41" s="9"/>
      <c r="CW41" s="9"/>
      <c r="CX41" s="9"/>
      <c r="CY41" s="9"/>
      <c r="CZ41" s="9"/>
      <c r="DA41" s="9"/>
      <c r="DB41" s="9"/>
      <c r="DC41" s="9"/>
      <c r="DD41" s="9"/>
      <c r="DE41" s="9"/>
      <c r="DF41" s="9"/>
      <c r="DG41" s="9"/>
      <c r="DH41" s="9"/>
      <c r="DI41" s="9"/>
      <c r="DJ41" s="9"/>
      <c r="DK41" s="9"/>
      <c r="DL41" s="9"/>
      <c r="DM41" s="9"/>
      <c r="DN41" s="9"/>
      <c r="DO41" s="9"/>
      <c r="DP41" s="9"/>
      <c r="DQ41" s="9"/>
      <c r="DR41" s="9"/>
      <c r="DS41" s="9"/>
      <c r="DT41" s="9"/>
      <c r="DU41" s="9"/>
      <c r="DV41" s="9"/>
      <c r="DW41" s="9"/>
      <c r="DX41" s="9"/>
      <c r="DY41" s="9"/>
      <c r="DZ41" s="9"/>
      <c r="EA41" s="9"/>
      <c r="EB41" s="9"/>
      <c r="EC41" s="9"/>
      <c r="ED41" s="9"/>
      <c r="EE41" s="9"/>
      <c r="EF41" s="9"/>
      <c r="EG41" s="9"/>
      <c r="EH41" s="9"/>
      <c r="EI41" s="9"/>
      <c r="EJ41" s="9"/>
      <c r="EK41" s="9"/>
      <c r="EL41" s="9"/>
      <c r="EM41" s="9"/>
      <c r="EN41" s="9"/>
      <c r="EO41" s="9"/>
      <c r="EP41" s="9"/>
      <c r="EQ41" s="9"/>
      <c r="ER41" s="9"/>
      <c r="ES41" s="9"/>
      <c r="ET41" s="9"/>
      <c r="EU41" s="9"/>
      <c r="EV41" s="9"/>
      <c r="EW41" s="9"/>
      <c r="EX41" s="9"/>
      <c r="EY41" s="9"/>
      <c r="EZ41" s="9"/>
      <c r="FA41" s="9"/>
      <c r="FB41" s="9"/>
      <c r="FC41" s="9"/>
      <c r="FD41" s="9"/>
      <c r="FE41" s="9"/>
      <c r="FF41" s="9"/>
      <c r="FG41" s="9"/>
      <c r="FH41" s="9"/>
      <c r="FI41" s="9"/>
      <c r="FJ41" s="9"/>
      <c r="FK41" s="9"/>
      <c r="FL41" s="9"/>
      <c r="FM41" s="9"/>
      <c r="FN41" s="9"/>
      <c r="FO41" s="9"/>
      <c r="FP41" s="9"/>
      <c r="FQ41" s="9"/>
      <c r="FR41" s="9"/>
      <c r="FS41" s="9"/>
      <c r="FT41" s="9"/>
      <c r="FU41" s="9"/>
      <c r="FV41" s="9"/>
      <c r="FW41" s="9"/>
      <c r="FX41" s="9"/>
      <c r="FY41" s="9"/>
      <c r="FZ41" s="9"/>
      <c r="GA41" s="9"/>
      <c r="GB41" s="9"/>
      <c r="GC41" s="9"/>
      <c r="GD41" s="9"/>
      <c r="GE41" s="9"/>
      <c r="GF41" s="9"/>
      <c r="GG41" s="9"/>
      <c r="GH41" s="9"/>
      <c r="GI41" s="9"/>
      <c r="GJ41" s="9"/>
      <c r="GK41" s="9"/>
      <c r="GL41" s="9"/>
      <c r="GM41" s="9"/>
      <c r="GN41" s="9"/>
      <c r="GO41" s="9"/>
      <c r="GP41" s="9"/>
      <c r="GQ41" s="9"/>
      <c r="GR41" s="9"/>
      <c r="GS41" s="9"/>
      <c r="GT41" s="9"/>
      <c r="GU41" s="9"/>
      <c r="GV41" s="9"/>
      <c r="GW41" s="9"/>
      <c r="GX41" s="9"/>
      <c r="GY41" s="9"/>
      <c r="GZ41" s="9"/>
      <c r="HA41" s="9"/>
      <c r="HB41" s="9"/>
      <c r="HC41" s="9"/>
      <c r="HD41" s="9"/>
      <c r="HE41" s="9"/>
      <c r="HF41" s="9"/>
      <c r="HG41" s="9"/>
      <c r="HH41" s="9"/>
      <c r="HI41" s="9"/>
      <c r="HJ41" s="9"/>
      <c r="HK41" s="9"/>
      <c r="HL41" s="9"/>
      <c r="HM41" s="9"/>
      <c r="HN41" s="9"/>
      <c r="HO41" s="9"/>
      <c r="HP41" s="9"/>
      <c r="HQ41" s="9"/>
      <c r="HR41" s="9"/>
      <c r="HS41" s="9"/>
      <c r="HT41" s="9"/>
      <c r="HU41" s="9"/>
      <c r="HV41" s="9"/>
      <c r="HW41" s="9"/>
      <c r="HX41" s="9"/>
      <c r="HY41" s="9"/>
      <c r="HZ41" s="9"/>
      <c r="IA41" s="9"/>
      <c r="IB41" s="9"/>
      <c r="IC41" s="9"/>
      <c r="ID41" s="9"/>
      <c r="IE41" s="9"/>
      <c r="IF41" s="9"/>
      <c r="IG41" s="9"/>
      <c r="IH41" s="9"/>
      <c r="II41" s="9"/>
      <c r="IJ41" s="9"/>
      <c r="IK41" s="9"/>
      <c r="IL41" s="9"/>
      <c r="IM41" s="9"/>
      <c r="IN41" s="9"/>
      <c r="IO41" s="9"/>
      <c r="IP41" s="9"/>
      <c r="IQ41" s="9"/>
      <c r="IR41" s="9"/>
      <c r="IS41" s="9"/>
      <c r="IT41" s="9"/>
      <c r="IU41" s="9"/>
      <c r="IV41" s="9"/>
      <c r="IW41" s="9"/>
      <c r="IX41" s="9"/>
      <c r="IY41" s="9"/>
      <c r="IZ41" s="9"/>
      <c r="JA41" s="9"/>
      <c r="JB41" s="9"/>
      <c r="JC41" s="9"/>
      <c r="JD41" s="9"/>
      <c r="JE41" s="9"/>
      <c r="JF41" s="9"/>
      <c r="JG41" s="9"/>
      <c r="JH41" s="9"/>
      <c r="JI41" s="9"/>
      <c r="JJ41" s="9"/>
      <c r="JK41" s="9"/>
      <c r="JL41" s="9"/>
      <c r="JM41" s="9"/>
      <c r="JN41" s="9"/>
      <c r="JO41" s="9"/>
      <c r="JP41" s="9"/>
      <c r="JQ41" s="9"/>
      <c r="JR41" s="9"/>
      <c r="JS41" s="9"/>
      <c r="JT41" s="9"/>
      <c r="JU41" s="9"/>
      <c r="JV41" s="9"/>
      <c r="JW41" s="9"/>
      <c r="JX41" s="9"/>
      <c r="JY41" s="9"/>
      <c r="JZ41" s="9"/>
      <c r="KA41" s="9"/>
      <c r="KB41" s="9"/>
      <c r="KC41" s="9"/>
      <c r="KD41" s="9"/>
      <c r="KE41" s="9"/>
      <c r="KF41" s="9"/>
      <c r="KG41" s="9"/>
      <c r="KH41" s="9"/>
      <c r="KI41" s="9"/>
      <c r="KJ41" s="9"/>
      <c r="KK41" s="9"/>
      <c r="KL41" s="9"/>
      <c r="KM41" s="9"/>
      <c r="KN41" s="9"/>
      <c r="KO41" s="9"/>
      <c r="KP41" s="9"/>
      <c r="KQ41" s="9"/>
      <c r="KR41" s="9"/>
      <c r="KS41" s="9"/>
      <c r="KT41" s="9"/>
      <c r="KU41" s="9"/>
      <c r="KV41" s="9"/>
      <c r="KW41" s="9"/>
      <c r="KX41" s="9"/>
      <c r="KY41" s="9"/>
      <c r="KZ41" s="9"/>
      <c r="LA41" s="9"/>
      <c r="LB41" s="9"/>
      <c r="LC41" s="9"/>
      <c r="LD41" s="9"/>
      <c r="LE41" s="9"/>
      <c r="LF41" s="9"/>
      <c r="LG41" s="9"/>
      <c r="LH41" s="9"/>
      <c r="LI41" s="9"/>
      <c r="LJ41" s="9"/>
      <c r="LK41" s="9"/>
      <c r="LL41" s="9"/>
      <c r="LM41" s="9"/>
      <c r="LN41" s="9"/>
      <c r="LO41" s="9"/>
      <c r="LP41" s="9"/>
      <c r="LQ41" s="9"/>
      <c r="LR41" s="9"/>
      <c r="LS41" s="9"/>
      <c r="LT41" s="9"/>
      <c r="LU41" s="9"/>
      <c r="LV41" s="9"/>
      <c r="LW41" s="9"/>
      <c r="LX41" s="9"/>
      <c r="LY41" s="9"/>
      <c r="LZ41" s="9"/>
      <c r="MA41" s="9"/>
      <c r="MB41" s="9"/>
      <c r="MC41" s="9"/>
      <c r="MD41" s="9"/>
      <c r="ME41" s="9"/>
      <c r="MF41" s="9"/>
      <c r="MG41" s="9"/>
      <c r="MH41" s="9"/>
      <c r="MI41" s="9"/>
      <c r="MJ41" s="9"/>
      <c r="MK41" s="9"/>
    </row>
    <row r="42" spans="1:349" hidden="1" x14ac:dyDescent="0.25">
      <c r="A42" s="9"/>
      <c r="B42" s="9"/>
      <c r="C42" s="9"/>
      <c r="D42" s="9"/>
      <c r="E42" s="9"/>
      <c r="F42" s="9"/>
      <c r="G42" s="9"/>
      <c r="H42" s="9"/>
      <c r="I42" s="9"/>
      <c r="J42" s="9"/>
      <c r="K42" s="9"/>
      <c r="L42" s="9"/>
      <c r="M42" s="9"/>
      <c r="N42" s="9"/>
      <c r="O42" s="9"/>
      <c r="AG42" s="9"/>
      <c r="AH42" s="9"/>
      <c r="AI42" s="9"/>
      <c r="AJ42" s="9"/>
      <c r="AK42" s="9"/>
      <c r="AL42" s="9"/>
      <c r="AM42" s="9"/>
      <c r="AN42" s="9"/>
      <c r="AO42" s="9"/>
      <c r="AP42" s="9"/>
      <c r="AQ42" s="9"/>
      <c r="AR42" s="9"/>
      <c r="AS42" s="9"/>
      <c r="AT42" s="9"/>
      <c r="AU42" s="9"/>
      <c r="AV42" s="9"/>
      <c r="AW42" s="9"/>
      <c r="AX42" s="9"/>
      <c r="AY42" s="9"/>
      <c r="AZ42" s="9"/>
      <c r="BA42" s="9"/>
      <c r="BB42" s="9"/>
      <c r="BC42" s="9"/>
      <c r="BD42" s="9"/>
      <c r="BE42" s="9"/>
      <c r="BF42" s="9"/>
      <c r="BG42" s="9"/>
      <c r="BH42" s="9"/>
      <c r="BI42" s="9"/>
      <c r="BJ42" s="9"/>
      <c r="BK42" s="9"/>
      <c r="BL42" s="9"/>
      <c r="BM42" s="9"/>
      <c r="BN42" s="9"/>
      <c r="BO42" s="9"/>
      <c r="BP42" s="9"/>
      <c r="BQ42" s="9"/>
      <c r="BR42" s="9"/>
      <c r="BS42" s="9"/>
      <c r="BT42" s="9"/>
      <c r="BU42" s="9"/>
      <c r="BV42" s="9"/>
      <c r="BW42" s="9"/>
      <c r="BX42" s="9"/>
      <c r="BY42" s="9"/>
      <c r="BZ42" s="9"/>
      <c r="CA42" s="9"/>
      <c r="CB42" s="9"/>
      <c r="CC42" s="9"/>
      <c r="CD42" s="9"/>
      <c r="CE42" s="9"/>
      <c r="CF42" s="9"/>
      <c r="CG42" s="9"/>
      <c r="CH42" s="9"/>
      <c r="CI42" s="9"/>
      <c r="CJ42" s="9"/>
      <c r="CK42" s="9"/>
      <c r="CL42" s="9"/>
      <c r="CM42" s="9"/>
      <c r="CN42" s="9"/>
      <c r="CO42" s="9"/>
      <c r="CP42" s="9"/>
      <c r="CQ42" s="9"/>
      <c r="CR42" s="9"/>
      <c r="CS42" s="9"/>
      <c r="CT42" s="9"/>
      <c r="CU42" s="9"/>
      <c r="CV42" s="9"/>
      <c r="CW42" s="9"/>
      <c r="CX42" s="9"/>
      <c r="CY42" s="9"/>
      <c r="CZ42" s="9"/>
      <c r="DA42" s="9"/>
      <c r="DB42" s="9"/>
      <c r="DC42" s="9"/>
      <c r="DD42" s="9"/>
      <c r="DE42" s="9"/>
      <c r="DF42" s="9"/>
      <c r="DG42" s="9"/>
      <c r="DH42" s="9"/>
      <c r="DI42" s="9"/>
      <c r="DJ42" s="9"/>
      <c r="DK42" s="9"/>
      <c r="DL42" s="9"/>
      <c r="DM42" s="9"/>
      <c r="DN42" s="9"/>
      <c r="DO42" s="9"/>
      <c r="DP42" s="9"/>
      <c r="DQ42" s="9"/>
      <c r="DR42" s="9"/>
      <c r="DS42" s="9"/>
      <c r="DT42" s="9"/>
      <c r="DU42" s="9"/>
      <c r="DV42" s="9"/>
      <c r="DW42" s="9"/>
      <c r="DX42" s="9"/>
      <c r="DY42" s="9"/>
      <c r="DZ42" s="9"/>
      <c r="EA42" s="9"/>
      <c r="EB42" s="9"/>
      <c r="EC42" s="9"/>
      <c r="ED42" s="9"/>
      <c r="EE42" s="9"/>
      <c r="EF42" s="9"/>
      <c r="EG42" s="9"/>
      <c r="EH42" s="9"/>
      <c r="EI42" s="9"/>
      <c r="EJ42" s="9"/>
      <c r="EK42" s="9"/>
      <c r="EL42" s="9"/>
      <c r="EM42" s="9"/>
      <c r="EN42" s="9"/>
      <c r="EO42" s="9"/>
      <c r="EP42" s="9"/>
      <c r="EQ42" s="9"/>
      <c r="ER42" s="9"/>
      <c r="ES42" s="9"/>
      <c r="ET42" s="9"/>
      <c r="EU42" s="9"/>
      <c r="EV42" s="9"/>
      <c r="EW42" s="9"/>
      <c r="EX42" s="9"/>
      <c r="EY42" s="9"/>
      <c r="EZ42" s="9"/>
      <c r="FA42" s="9"/>
      <c r="FB42" s="9"/>
      <c r="FC42" s="9"/>
      <c r="FD42" s="9"/>
      <c r="FE42" s="9"/>
      <c r="FF42" s="9"/>
      <c r="FG42" s="9"/>
      <c r="FH42" s="9"/>
      <c r="FI42" s="9"/>
      <c r="FJ42" s="9"/>
      <c r="FK42" s="9"/>
      <c r="FL42" s="9"/>
      <c r="FM42" s="9"/>
      <c r="FN42" s="9"/>
      <c r="FO42" s="9"/>
      <c r="FP42" s="9"/>
      <c r="FQ42" s="9"/>
      <c r="FR42" s="9"/>
      <c r="FS42" s="9"/>
      <c r="FT42" s="9"/>
      <c r="FU42" s="9"/>
      <c r="FV42" s="9"/>
      <c r="FW42" s="9"/>
      <c r="FX42" s="9"/>
      <c r="FY42" s="9"/>
      <c r="FZ42" s="9"/>
      <c r="GA42" s="9"/>
      <c r="GB42" s="9"/>
      <c r="GC42" s="9"/>
      <c r="GD42" s="9"/>
      <c r="GE42" s="9"/>
      <c r="GF42" s="9"/>
      <c r="GG42" s="9"/>
      <c r="GH42" s="9"/>
      <c r="GI42" s="9"/>
      <c r="GJ42" s="9"/>
      <c r="GK42" s="9"/>
      <c r="GL42" s="9"/>
      <c r="GM42" s="9"/>
      <c r="GN42" s="9"/>
      <c r="GO42" s="9"/>
      <c r="GP42" s="9"/>
      <c r="GQ42" s="9"/>
      <c r="GR42" s="9"/>
      <c r="GS42" s="9"/>
      <c r="GT42" s="9"/>
      <c r="GU42" s="9"/>
      <c r="GV42" s="9"/>
      <c r="GW42" s="9"/>
      <c r="GX42" s="9"/>
      <c r="GY42" s="9"/>
      <c r="GZ42" s="9"/>
      <c r="HA42" s="9"/>
      <c r="HB42" s="9"/>
      <c r="HC42" s="9"/>
      <c r="HD42" s="9"/>
      <c r="HE42" s="9"/>
      <c r="HF42" s="9"/>
      <c r="HG42" s="9"/>
      <c r="HH42" s="9"/>
      <c r="HI42" s="9"/>
      <c r="HJ42" s="9"/>
      <c r="HK42" s="9"/>
      <c r="HL42" s="9"/>
      <c r="HM42" s="9"/>
      <c r="HN42" s="9"/>
      <c r="HO42" s="9"/>
      <c r="HP42" s="9"/>
      <c r="HQ42" s="9"/>
      <c r="HR42" s="9"/>
      <c r="HS42" s="9"/>
      <c r="HT42" s="9"/>
      <c r="HU42" s="9"/>
      <c r="HV42" s="9"/>
      <c r="HW42" s="9"/>
      <c r="HX42" s="9"/>
      <c r="HY42" s="9"/>
      <c r="HZ42" s="9"/>
      <c r="IA42" s="9"/>
      <c r="IB42" s="9"/>
      <c r="IC42" s="9"/>
      <c r="ID42" s="9"/>
      <c r="IE42" s="9"/>
      <c r="IF42" s="9"/>
      <c r="IG42" s="9"/>
      <c r="IH42" s="9"/>
      <c r="II42" s="9"/>
      <c r="IJ42" s="9"/>
      <c r="IK42" s="9"/>
      <c r="IL42" s="9"/>
      <c r="IM42" s="9"/>
      <c r="IN42" s="9"/>
      <c r="IO42" s="9"/>
      <c r="IP42" s="9"/>
      <c r="IQ42" s="9"/>
      <c r="IR42" s="9"/>
      <c r="IS42" s="9"/>
      <c r="IT42" s="9"/>
      <c r="IU42" s="9"/>
      <c r="IV42" s="9"/>
      <c r="IW42" s="9"/>
      <c r="IX42" s="9"/>
      <c r="IY42" s="9"/>
      <c r="IZ42" s="9"/>
      <c r="JA42" s="9"/>
      <c r="JB42" s="9"/>
      <c r="JC42" s="9"/>
      <c r="JD42" s="9"/>
      <c r="JE42" s="9"/>
      <c r="JF42" s="9"/>
      <c r="JG42" s="9"/>
      <c r="JH42" s="9"/>
      <c r="JI42" s="9"/>
      <c r="JJ42" s="9"/>
      <c r="JK42" s="9"/>
      <c r="JL42" s="9"/>
      <c r="JM42" s="9"/>
      <c r="JN42" s="9"/>
      <c r="JO42" s="9"/>
      <c r="JP42" s="9"/>
      <c r="JQ42" s="9"/>
      <c r="JR42" s="9"/>
      <c r="JS42" s="9"/>
      <c r="JT42" s="9"/>
      <c r="JU42" s="9"/>
      <c r="JV42" s="9"/>
      <c r="JW42" s="9"/>
      <c r="JX42" s="9"/>
      <c r="JY42" s="9"/>
      <c r="JZ42" s="9"/>
      <c r="KA42" s="9"/>
      <c r="KB42" s="9"/>
      <c r="KC42" s="9"/>
      <c r="KD42" s="9"/>
      <c r="KE42" s="9"/>
      <c r="KF42" s="9"/>
      <c r="KG42" s="9"/>
      <c r="KH42" s="9"/>
      <c r="KI42" s="9"/>
      <c r="KJ42" s="9"/>
      <c r="KK42" s="9"/>
      <c r="KL42" s="9"/>
      <c r="KM42" s="9"/>
      <c r="KN42" s="9"/>
      <c r="KO42" s="9"/>
      <c r="KP42" s="9"/>
      <c r="KQ42" s="9"/>
      <c r="KR42" s="9"/>
      <c r="KS42" s="9"/>
      <c r="KT42" s="9"/>
      <c r="KU42" s="9"/>
      <c r="KV42" s="9"/>
      <c r="KW42" s="9"/>
      <c r="KX42" s="9"/>
      <c r="KY42" s="9"/>
      <c r="KZ42" s="9"/>
      <c r="LA42" s="9"/>
      <c r="LB42" s="9"/>
      <c r="LC42" s="9"/>
      <c r="LD42" s="9"/>
      <c r="LE42" s="9"/>
      <c r="LF42" s="9"/>
      <c r="LG42" s="9"/>
      <c r="LH42" s="9"/>
      <c r="LI42" s="9"/>
      <c r="LJ42" s="9"/>
      <c r="LK42" s="9"/>
      <c r="LL42" s="9"/>
      <c r="LM42" s="9"/>
      <c r="LN42" s="9"/>
      <c r="LO42" s="9"/>
      <c r="LP42" s="9"/>
      <c r="LQ42" s="9"/>
      <c r="LR42" s="9"/>
      <c r="LS42" s="9"/>
      <c r="LT42" s="9"/>
      <c r="LU42" s="9"/>
      <c r="LV42" s="9"/>
      <c r="LW42" s="9"/>
      <c r="LX42" s="9"/>
      <c r="LY42" s="9"/>
      <c r="LZ42" s="9"/>
      <c r="MA42" s="9"/>
      <c r="MB42" s="9"/>
      <c r="MC42" s="9"/>
      <c r="MD42" s="9"/>
      <c r="ME42" s="9"/>
      <c r="MF42" s="9"/>
      <c r="MG42" s="9"/>
      <c r="MH42" s="9"/>
      <c r="MI42" s="9"/>
      <c r="MJ42" s="9"/>
      <c r="MK42" s="9"/>
    </row>
    <row r="43" spans="1:349" hidden="1" x14ac:dyDescent="0.25">
      <c r="A43" s="9"/>
      <c r="B43" s="9"/>
      <c r="C43" s="9"/>
      <c r="D43" s="9"/>
      <c r="E43" s="9"/>
      <c r="F43" s="9"/>
      <c r="G43" s="9"/>
      <c r="H43" s="9"/>
      <c r="I43" s="9"/>
      <c r="J43" s="9"/>
      <c r="K43" s="9"/>
      <c r="L43" s="9"/>
      <c r="M43" s="9"/>
      <c r="N43" s="9"/>
      <c r="O43" s="9"/>
      <c r="AG43" s="9"/>
      <c r="AH43" s="9"/>
      <c r="AI43" s="9"/>
      <c r="AJ43" s="9"/>
      <c r="AK43" s="9"/>
      <c r="AL43" s="9"/>
      <c r="AM43" s="9"/>
      <c r="AN43" s="9"/>
      <c r="AO43" s="9"/>
      <c r="AP43" s="9"/>
      <c r="AQ43" s="9"/>
      <c r="AR43" s="9"/>
      <c r="AS43" s="9"/>
      <c r="AT43" s="9"/>
      <c r="AU43" s="9"/>
      <c r="AV43" s="9"/>
      <c r="AW43" s="9"/>
      <c r="AX43" s="9"/>
      <c r="AY43" s="9"/>
      <c r="AZ43" s="9"/>
      <c r="BA43" s="9"/>
      <c r="BB43" s="9"/>
      <c r="BC43" s="9"/>
      <c r="BD43" s="9"/>
      <c r="BE43" s="9"/>
      <c r="BF43" s="9"/>
      <c r="BG43" s="9"/>
      <c r="BH43" s="9"/>
      <c r="BI43" s="9"/>
      <c r="BJ43" s="9"/>
      <c r="BK43" s="9"/>
      <c r="BL43" s="9"/>
      <c r="BM43" s="9"/>
      <c r="BN43" s="9"/>
      <c r="BO43" s="9"/>
      <c r="BP43" s="9"/>
      <c r="BQ43" s="9"/>
      <c r="BR43" s="9"/>
      <c r="BS43" s="9"/>
      <c r="BT43" s="9"/>
      <c r="BU43" s="9"/>
      <c r="BV43" s="9"/>
      <c r="BW43" s="9"/>
      <c r="BX43" s="9"/>
      <c r="BY43" s="9"/>
      <c r="BZ43" s="9"/>
      <c r="CA43" s="9"/>
      <c r="CB43" s="9"/>
      <c r="CC43" s="9"/>
      <c r="CD43" s="9"/>
      <c r="CE43" s="9"/>
      <c r="CF43" s="9"/>
      <c r="CG43" s="9"/>
      <c r="CH43" s="9"/>
      <c r="CI43" s="9"/>
      <c r="CJ43" s="9"/>
      <c r="CK43" s="9"/>
      <c r="CL43" s="9"/>
      <c r="CM43" s="9"/>
      <c r="CN43" s="9"/>
      <c r="CO43" s="9"/>
      <c r="CP43" s="9"/>
      <c r="CQ43" s="9"/>
      <c r="CR43" s="9"/>
      <c r="CS43" s="9"/>
      <c r="CT43" s="9"/>
      <c r="CU43" s="9"/>
      <c r="CV43" s="9"/>
      <c r="CW43" s="9"/>
      <c r="CX43" s="9"/>
      <c r="CY43" s="9"/>
      <c r="CZ43" s="9"/>
      <c r="DA43" s="9"/>
      <c r="DB43" s="9"/>
      <c r="DC43" s="9"/>
      <c r="DD43" s="9"/>
      <c r="DE43" s="9"/>
      <c r="DF43" s="9"/>
      <c r="DG43" s="9"/>
      <c r="DH43" s="9"/>
      <c r="DI43" s="9"/>
      <c r="DJ43" s="9"/>
      <c r="DK43" s="9"/>
      <c r="DL43" s="9"/>
      <c r="DM43" s="9"/>
      <c r="DN43" s="9"/>
      <c r="DO43" s="9"/>
      <c r="DP43" s="9"/>
      <c r="DQ43" s="9"/>
      <c r="DR43" s="9"/>
      <c r="DS43" s="9"/>
      <c r="DT43" s="9"/>
      <c r="DU43" s="9"/>
      <c r="DV43" s="9"/>
      <c r="DW43" s="9"/>
      <c r="DX43" s="9"/>
      <c r="DY43" s="9"/>
      <c r="DZ43" s="9"/>
      <c r="EA43" s="9"/>
      <c r="EB43" s="9"/>
      <c r="EC43" s="9"/>
      <c r="ED43" s="9"/>
      <c r="EE43" s="9"/>
      <c r="EF43" s="9"/>
      <c r="EG43" s="9"/>
      <c r="EH43" s="9"/>
      <c r="EI43" s="9"/>
      <c r="EJ43" s="9"/>
      <c r="EK43" s="9"/>
      <c r="EL43" s="9"/>
      <c r="EM43" s="9"/>
      <c r="EN43" s="9"/>
      <c r="EO43" s="9"/>
      <c r="EP43" s="9"/>
      <c r="EQ43" s="9"/>
      <c r="ER43" s="9"/>
      <c r="ES43" s="9"/>
      <c r="ET43" s="9"/>
      <c r="EU43" s="9"/>
      <c r="EV43" s="9"/>
      <c r="EW43" s="9"/>
      <c r="EX43" s="9"/>
      <c r="EY43" s="9"/>
      <c r="EZ43" s="9"/>
      <c r="FA43" s="9"/>
      <c r="FB43" s="9"/>
      <c r="FC43" s="9"/>
      <c r="FD43" s="9"/>
      <c r="FE43" s="9"/>
      <c r="FF43" s="9"/>
      <c r="FG43" s="9"/>
      <c r="FH43" s="9"/>
      <c r="FI43" s="9"/>
      <c r="FJ43" s="9"/>
      <c r="FK43" s="9"/>
      <c r="FL43" s="9"/>
      <c r="FM43" s="9"/>
      <c r="FN43" s="9"/>
      <c r="FO43" s="9"/>
      <c r="FP43" s="9"/>
      <c r="FQ43" s="9"/>
      <c r="FR43" s="9"/>
      <c r="FS43" s="9"/>
      <c r="FT43" s="9"/>
      <c r="FU43" s="9"/>
      <c r="FV43" s="9"/>
      <c r="FW43" s="9"/>
      <c r="FX43" s="9"/>
      <c r="FY43" s="9"/>
      <c r="FZ43" s="9"/>
      <c r="GA43" s="9"/>
      <c r="GB43" s="9"/>
      <c r="GC43" s="9"/>
      <c r="GD43" s="9"/>
      <c r="GE43" s="9"/>
      <c r="GF43" s="9"/>
      <c r="GG43" s="9"/>
      <c r="GH43" s="9"/>
      <c r="GI43" s="9"/>
      <c r="GJ43" s="9"/>
      <c r="GK43" s="9"/>
      <c r="GL43" s="9"/>
      <c r="GM43" s="9"/>
      <c r="GN43" s="9"/>
      <c r="GO43" s="9"/>
      <c r="GP43" s="9"/>
      <c r="GQ43" s="9"/>
      <c r="GR43" s="9"/>
      <c r="GS43" s="9"/>
      <c r="GT43" s="9"/>
      <c r="GU43" s="9"/>
      <c r="GV43" s="9"/>
      <c r="GW43" s="9"/>
      <c r="GX43" s="9"/>
      <c r="GY43" s="9"/>
      <c r="GZ43" s="9"/>
      <c r="HA43" s="9"/>
      <c r="HB43" s="9"/>
      <c r="HC43" s="9"/>
      <c r="HD43" s="9"/>
      <c r="HE43" s="9"/>
      <c r="HF43" s="9"/>
      <c r="HG43" s="9"/>
      <c r="HH43" s="9"/>
      <c r="HI43" s="9"/>
      <c r="HJ43" s="9"/>
      <c r="HK43" s="9"/>
      <c r="HL43" s="9"/>
      <c r="HM43" s="9"/>
      <c r="HN43" s="9"/>
      <c r="HO43" s="9"/>
      <c r="HP43" s="9"/>
      <c r="HQ43" s="9"/>
      <c r="HR43" s="9"/>
      <c r="HS43" s="9"/>
      <c r="HT43" s="9"/>
      <c r="HU43" s="9"/>
      <c r="HV43" s="9"/>
      <c r="HW43" s="9"/>
      <c r="HX43" s="9"/>
      <c r="HY43" s="9"/>
      <c r="HZ43" s="9"/>
      <c r="IA43" s="9"/>
      <c r="IB43" s="9"/>
      <c r="IC43" s="9"/>
      <c r="ID43" s="9"/>
      <c r="IE43" s="9"/>
      <c r="IF43" s="9"/>
      <c r="IG43" s="9"/>
      <c r="IH43" s="9"/>
      <c r="II43" s="9"/>
      <c r="IJ43" s="9"/>
      <c r="IK43" s="9"/>
      <c r="IL43" s="9"/>
      <c r="IM43" s="9"/>
      <c r="IN43" s="9"/>
      <c r="IO43" s="9"/>
      <c r="IP43" s="9"/>
      <c r="IQ43" s="9"/>
      <c r="IR43" s="9"/>
      <c r="IS43" s="9"/>
      <c r="IT43" s="9"/>
      <c r="IU43" s="9"/>
      <c r="IV43" s="9"/>
      <c r="IW43" s="9"/>
      <c r="IX43" s="9"/>
      <c r="IY43" s="9"/>
      <c r="IZ43" s="9"/>
      <c r="JA43" s="9"/>
      <c r="JB43" s="9"/>
      <c r="JC43" s="9"/>
      <c r="JD43" s="9"/>
      <c r="JE43" s="9"/>
      <c r="JF43" s="9"/>
      <c r="JG43" s="9"/>
      <c r="JH43" s="9"/>
      <c r="JI43" s="9"/>
      <c r="JJ43" s="9"/>
      <c r="JK43" s="9"/>
      <c r="JL43" s="9"/>
      <c r="JM43" s="9"/>
      <c r="JN43" s="9"/>
      <c r="JO43" s="9"/>
      <c r="JP43" s="9"/>
      <c r="JQ43" s="9"/>
      <c r="JR43" s="9"/>
      <c r="JS43" s="9"/>
      <c r="JT43" s="9"/>
      <c r="JU43" s="9"/>
      <c r="JV43" s="9"/>
      <c r="JW43" s="9"/>
      <c r="JX43" s="9"/>
      <c r="JY43" s="9"/>
      <c r="JZ43" s="9"/>
      <c r="KA43" s="9"/>
      <c r="KB43" s="9"/>
      <c r="KC43" s="9"/>
      <c r="KD43" s="9"/>
      <c r="KE43" s="9"/>
      <c r="KF43" s="9"/>
      <c r="KG43" s="9"/>
      <c r="KH43" s="9"/>
      <c r="KI43" s="9"/>
      <c r="KJ43" s="9"/>
      <c r="KK43" s="9"/>
      <c r="KL43" s="9"/>
      <c r="KM43" s="9"/>
      <c r="KN43" s="9"/>
      <c r="KO43" s="9"/>
      <c r="KP43" s="9"/>
      <c r="KQ43" s="9"/>
      <c r="KR43" s="9"/>
      <c r="KS43" s="9"/>
      <c r="KT43" s="9"/>
      <c r="KU43" s="9"/>
      <c r="KV43" s="9"/>
      <c r="KW43" s="9"/>
      <c r="KX43" s="9"/>
      <c r="KY43" s="9"/>
      <c r="KZ43" s="9"/>
      <c r="LA43" s="9"/>
      <c r="LB43" s="9"/>
      <c r="LC43" s="9"/>
      <c r="LD43" s="9"/>
      <c r="LE43" s="9"/>
      <c r="LF43" s="9"/>
      <c r="LG43" s="9"/>
      <c r="LH43" s="9"/>
      <c r="LI43" s="9"/>
      <c r="LJ43" s="9"/>
      <c r="LK43" s="9"/>
      <c r="LL43" s="9"/>
      <c r="LM43" s="9"/>
      <c r="LN43" s="9"/>
      <c r="LO43" s="9"/>
      <c r="LP43" s="9"/>
      <c r="LQ43" s="9"/>
      <c r="LR43" s="9"/>
      <c r="LS43" s="9"/>
      <c r="LT43" s="9"/>
      <c r="LU43" s="9"/>
      <c r="LV43" s="9"/>
      <c r="LW43" s="9"/>
      <c r="LX43" s="9"/>
      <c r="LY43" s="9"/>
      <c r="LZ43" s="9"/>
      <c r="MA43" s="9"/>
      <c r="MB43" s="9"/>
      <c r="MC43" s="9"/>
      <c r="MD43" s="9"/>
      <c r="ME43" s="9"/>
      <c r="MF43" s="9"/>
      <c r="MG43" s="9"/>
      <c r="MH43" s="9"/>
      <c r="MI43" s="9"/>
      <c r="MJ43" s="9"/>
      <c r="MK43" s="9"/>
    </row>
    <row r="44" spans="1:349" hidden="1" x14ac:dyDescent="0.25">
      <c r="A44" s="9"/>
      <c r="B44" s="9"/>
      <c r="C44" s="9"/>
      <c r="D44" s="9"/>
      <c r="E44" s="9"/>
      <c r="F44" s="9"/>
      <c r="G44" s="9"/>
      <c r="H44" s="9"/>
      <c r="I44" s="9"/>
      <c r="J44" s="9"/>
      <c r="K44" s="9"/>
      <c r="L44" s="9"/>
      <c r="M44" s="9"/>
      <c r="N44" s="9"/>
      <c r="O44" s="9"/>
      <c r="AG44" s="9"/>
      <c r="AH44" s="9"/>
      <c r="AI44" s="9"/>
      <c r="AJ44" s="9"/>
      <c r="AK44" s="9"/>
      <c r="AL44" s="9"/>
      <c r="AM44" s="9"/>
      <c r="AN44" s="9"/>
      <c r="AO44" s="9"/>
      <c r="AP44" s="9"/>
      <c r="AQ44" s="9"/>
      <c r="AR44" s="9"/>
      <c r="AS44" s="9"/>
      <c r="AT44" s="9"/>
      <c r="AU44" s="9"/>
      <c r="AV44" s="9"/>
      <c r="AW44" s="9"/>
      <c r="AX44" s="9"/>
      <c r="AY44" s="9"/>
      <c r="AZ44" s="9"/>
      <c r="BA44" s="9"/>
      <c r="BB44" s="9"/>
      <c r="BC44" s="9"/>
      <c r="BD44" s="9"/>
      <c r="BE44" s="9"/>
      <c r="BF44" s="9"/>
      <c r="BG44" s="9"/>
      <c r="BH44" s="9"/>
      <c r="BI44" s="9"/>
      <c r="BJ44" s="9"/>
      <c r="BK44" s="9"/>
      <c r="BL44" s="9"/>
      <c r="BM44" s="9"/>
      <c r="BN44" s="9"/>
      <c r="BO44" s="9"/>
      <c r="BP44" s="9"/>
      <c r="BQ44" s="9"/>
      <c r="BR44" s="9"/>
      <c r="BS44" s="9"/>
      <c r="BT44" s="9"/>
      <c r="BU44" s="9"/>
      <c r="BV44" s="9"/>
      <c r="BW44" s="9"/>
      <c r="BX44" s="9"/>
      <c r="BY44" s="9"/>
      <c r="BZ44" s="9"/>
      <c r="CA44" s="9"/>
      <c r="CB44" s="9"/>
      <c r="CC44" s="9"/>
      <c r="CD44" s="9"/>
      <c r="CE44" s="9"/>
      <c r="CF44" s="9"/>
      <c r="CG44" s="9"/>
      <c r="CH44" s="9"/>
      <c r="CI44" s="9"/>
      <c r="CJ44" s="9"/>
      <c r="CK44" s="9"/>
      <c r="CL44" s="9"/>
      <c r="CM44" s="9"/>
      <c r="CN44" s="9"/>
      <c r="CO44" s="9"/>
      <c r="CP44" s="9"/>
      <c r="CQ44" s="9"/>
      <c r="CR44" s="9"/>
      <c r="CS44" s="9"/>
      <c r="CT44" s="9"/>
      <c r="CU44" s="9"/>
      <c r="CV44" s="9"/>
      <c r="CW44" s="9"/>
      <c r="CX44" s="9"/>
      <c r="CY44" s="9"/>
      <c r="CZ44" s="9"/>
      <c r="DA44" s="9"/>
      <c r="DB44" s="9"/>
      <c r="DC44" s="9"/>
      <c r="DD44" s="9"/>
      <c r="DE44" s="9"/>
      <c r="DF44" s="9"/>
      <c r="DG44" s="9"/>
      <c r="DH44" s="9"/>
      <c r="DI44" s="9"/>
      <c r="DJ44" s="9"/>
      <c r="DK44" s="9"/>
      <c r="DL44" s="9"/>
      <c r="DM44" s="9"/>
      <c r="DN44" s="9"/>
      <c r="DO44" s="9"/>
      <c r="DP44" s="9"/>
      <c r="DQ44" s="9"/>
      <c r="DR44" s="9"/>
      <c r="DS44" s="9"/>
      <c r="DT44" s="9"/>
      <c r="DU44" s="9"/>
      <c r="DV44" s="9"/>
      <c r="DW44" s="9"/>
      <c r="DX44" s="9"/>
      <c r="DY44" s="9"/>
      <c r="DZ44" s="9"/>
      <c r="EA44" s="9"/>
      <c r="EB44" s="9"/>
      <c r="EC44" s="9"/>
      <c r="ED44" s="9"/>
      <c r="EE44" s="9"/>
      <c r="EF44" s="9"/>
      <c r="EG44" s="9"/>
      <c r="EH44" s="9"/>
      <c r="EI44" s="9"/>
      <c r="EJ44" s="9"/>
      <c r="EK44" s="9"/>
      <c r="EL44" s="9"/>
      <c r="EM44" s="9"/>
      <c r="EN44" s="9"/>
      <c r="EO44" s="9"/>
      <c r="EP44" s="9"/>
      <c r="EQ44" s="9"/>
      <c r="ER44" s="9"/>
      <c r="ES44" s="9"/>
      <c r="ET44" s="9"/>
      <c r="EU44" s="9"/>
      <c r="EV44" s="9"/>
      <c r="EW44" s="9"/>
      <c r="EX44" s="9"/>
      <c r="EY44" s="9"/>
      <c r="EZ44" s="9"/>
      <c r="FA44" s="9"/>
      <c r="FB44" s="9"/>
      <c r="FC44" s="9"/>
      <c r="FD44" s="9"/>
      <c r="FE44" s="9"/>
      <c r="FF44" s="9"/>
      <c r="FG44" s="9"/>
      <c r="FH44" s="9"/>
      <c r="FI44" s="9"/>
      <c r="FJ44" s="9"/>
      <c r="FK44" s="9"/>
      <c r="FL44" s="9"/>
      <c r="FM44" s="9"/>
      <c r="FN44" s="9"/>
      <c r="FO44" s="9"/>
      <c r="FP44" s="9"/>
      <c r="FQ44" s="9"/>
      <c r="FR44" s="9"/>
      <c r="FS44" s="9"/>
      <c r="FT44" s="9"/>
      <c r="FU44" s="9"/>
      <c r="FV44" s="9"/>
      <c r="FW44" s="9"/>
      <c r="FX44" s="9"/>
      <c r="FY44" s="9"/>
      <c r="FZ44" s="9"/>
      <c r="GA44" s="9"/>
      <c r="GB44" s="9"/>
      <c r="GC44" s="9"/>
      <c r="GD44" s="9"/>
      <c r="GE44" s="9"/>
      <c r="GF44" s="9"/>
      <c r="GG44" s="9"/>
      <c r="GH44" s="9"/>
      <c r="GI44" s="9"/>
      <c r="GJ44" s="9"/>
      <c r="GK44" s="9"/>
      <c r="GL44" s="9"/>
      <c r="GM44" s="9"/>
      <c r="GN44" s="9"/>
      <c r="GO44" s="9"/>
      <c r="GP44" s="9"/>
      <c r="GQ44" s="9"/>
      <c r="GR44" s="9"/>
      <c r="GS44" s="9"/>
      <c r="GT44" s="9"/>
      <c r="GU44" s="9"/>
      <c r="GV44" s="9"/>
      <c r="GW44" s="9"/>
      <c r="GX44" s="9"/>
      <c r="GY44" s="9"/>
      <c r="GZ44" s="9"/>
      <c r="HA44" s="9"/>
      <c r="HB44" s="9"/>
      <c r="HC44" s="9"/>
      <c r="HD44" s="9"/>
      <c r="HE44" s="9"/>
      <c r="HF44" s="9"/>
      <c r="HG44" s="9"/>
      <c r="HH44" s="9"/>
      <c r="HI44" s="9"/>
      <c r="HJ44" s="9"/>
      <c r="HK44" s="9"/>
      <c r="HL44" s="9"/>
      <c r="HM44" s="9"/>
      <c r="HN44" s="9"/>
      <c r="HO44" s="9"/>
      <c r="HP44" s="9"/>
      <c r="HQ44" s="9"/>
      <c r="HR44" s="9"/>
      <c r="HS44" s="9"/>
      <c r="HT44" s="9"/>
      <c r="HU44" s="9"/>
      <c r="HV44" s="9"/>
      <c r="HW44" s="9"/>
      <c r="HX44" s="9"/>
      <c r="HY44" s="9"/>
      <c r="HZ44" s="9"/>
      <c r="IA44" s="9"/>
      <c r="IB44" s="9"/>
      <c r="IC44" s="9"/>
      <c r="ID44" s="9"/>
      <c r="IE44" s="9"/>
      <c r="IF44" s="9"/>
      <c r="IG44" s="9"/>
      <c r="IH44" s="9"/>
      <c r="II44" s="9"/>
      <c r="IJ44" s="9"/>
      <c r="IK44" s="9"/>
      <c r="IL44" s="9"/>
      <c r="IM44" s="9"/>
      <c r="IN44" s="9"/>
      <c r="IO44" s="9"/>
      <c r="IP44" s="9"/>
      <c r="IQ44" s="9"/>
      <c r="IR44" s="9"/>
      <c r="IS44" s="9"/>
      <c r="IT44" s="9"/>
      <c r="IU44" s="9"/>
      <c r="IV44" s="9"/>
      <c r="IW44" s="9"/>
      <c r="IX44" s="9"/>
      <c r="IY44" s="9"/>
      <c r="IZ44" s="9"/>
      <c r="JA44" s="9"/>
      <c r="JB44" s="9"/>
      <c r="JC44" s="9"/>
      <c r="JD44" s="9"/>
      <c r="JE44" s="9"/>
      <c r="JF44" s="9"/>
      <c r="JG44" s="9"/>
      <c r="JH44" s="9"/>
      <c r="JI44" s="9"/>
      <c r="JJ44" s="9"/>
      <c r="JK44" s="9"/>
      <c r="JL44" s="9"/>
      <c r="JM44" s="9"/>
      <c r="JN44" s="9"/>
      <c r="JO44" s="9"/>
      <c r="JP44" s="9"/>
      <c r="JQ44" s="9"/>
      <c r="JR44" s="9"/>
      <c r="JS44" s="9"/>
      <c r="JT44" s="9"/>
      <c r="JU44" s="9"/>
      <c r="JV44" s="9"/>
      <c r="JW44" s="9"/>
      <c r="JX44" s="9"/>
      <c r="JY44" s="9"/>
      <c r="JZ44" s="9"/>
      <c r="KA44" s="9"/>
      <c r="KB44" s="9"/>
      <c r="KC44" s="9"/>
      <c r="KD44" s="9"/>
      <c r="KE44" s="9"/>
      <c r="KF44" s="9"/>
      <c r="KG44" s="9"/>
      <c r="KH44" s="9"/>
      <c r="KI44" s="9"/>
      <c r="KJ44" s="9"/>
      <c r="KK44" s="9"/>
      <c r="KL44" s="9"/>
      <c r="KM44" s="9"/>
      <c r="KN44" s="9"/>
      <c r="KO44" s="9"/>
      <c r="KP44" s="9"/>
      <c r="KQ44" s="9"/>
      <c r="KR44" s="9"/>
      <c r="KS44" s="9"/>
      <c r="KT44" s="9"/>
      <c r="KU44" s="9"/>
      <c r="KV44" s="9"/>
      <c r="KW44" s="9"/>
      <c r="KX44" s="9"/>
      <c r="KY44" s="9"/>
      <c r="KZ44" s="9"/>
      <c r="LA44" s="9"/>
      <c r="LB44" s="9"/>
      <c r="LC44" s="9"/>
      <c r="LD44" s="9"/>
      <c r="LE44" s="9"/>
      <c r="LF44" s="9"/>
      <c r="LG44" s="9"/>
      <c r="LH44" s="9"/>
      <c r="LI44" s="9"/>
      <c r="LJ44" s="9"/>
      <c r="LK44" s="9"/>
      <c r="LL44" s="9"/>
      <c r="LM44" s="9"/>
      <c r="LN44" s="9"/>
      <c r="LO44" s="9"/>
      <c r="LP44" s="9"/>
      <c r="LQ44" s="9"/>
      <c r="LR44" s="9"/>
      <c r="LS44" s="9"/>
      <c r="LT44" s="9"/>
      <c r="LU44" s="9"/>
      <c r="LV44" s="9"/>
      <c r="LW44" s="9"/>
      <c r="LX44" s="9"/>
      <c r="LY44" s="9"/>
      <c r="LZ44" s="9"/>
      <c r="MA44" s="9"/>
      <c r="MB44" s="9"/>
      <c r="MC44" s="9"/>
      <c r="MD44" s="9"/>
      <c r="ME44" s="9"/>
      <c r="MF44" s="9"/>
      <c r="MG44" s="9"/>
      <c r="MH44" s="9"/>
      <c r="MI44" s="9"/>
      <c r="MJ44" s="9"/>
      <c r="MK44" s="9"/>
    </row>
    <row r="45" spans="1:349" hidden="1" x14ac:dyDescent="0.25">
      <c r="A45" s="9"/>
      <c r="B45" s="9"/>
      <c r="C45" s="9"/>
      <c r="D45" s="9"/>
      <c r="E45" s="9"/>
      <c r="F45" s="9"/>
      <c r="G45" s="9"/>
      <c r="H45" s="9"/>
      <c r="I45" s="9"/>
      <c r="J45" s="9"/>
      <c r="K45" s="9"/>
      <c r="L45" s="9"/>
      <c r="M45" s="9"/>
      <c r="N45" s="9"/>
      <c r="O45" s="9"/>
      <c r="AG45" s="9"/>
      <c r="AH45" s="9"/>
      <c r="AI45" s="9"/>
      <c r="AJ45" s="9"/>
      <c r="AK45" s="9"/>
      <c r="AL45" s="9"/>
      <c r="AM45" s="9"/>
      <c r="AN45" s="9"/>
      <c r="AO45" s="9"/>
      <c r="AP45" s="9"/>
      <c r="AQ45" s="9"/>
      <c r="AR45" s="9"/>
      <c r="AS45" s="9"/>
      <c r="AT45" s="9"/>
      <c r="AU45" s="9"/>
      <c r="AV45" s="9"/>
      <c r="AW45" s="9"/>
      <c r="AX45" s="9"/>
      <c r="AY45" s="9"/>
      <c r="AZ45" s="9"/>
      <c r="BA45" s="9"/>
      <c r="BB45" s="9"/>
      <c r="BC45" s="9"/>
      <c r="BD45" s="9"/>
      <c r="BE45" s="9"/>
      <c r="BF45" s="9"/>
      <c r="BG45" s="9"/>
      <c r="BH45" s="9"/>
      <c r="BI45" s="9"/>
      <c r="BJ45" s="9"/>
      <c r="BK45" s="9"/>
      <c r="BL45" s="9"/>
      <c r="BM45" s="9"/>
      <c r="BN45" s="9"/>
      <c r="BO45" s="9"/>
      <c r="BP45" s="9"/>
      <c r="BQ45" s="9"/>
      <c r="BR45" s="9"/>
      <c r="BS45" s="9"/>
      <c r="BT45" s="9"/>
      <c r="BU45" s="9"/>
      <c r="BV45" s="9"/>
      <c r="BW45" s="9"/>
      <c r="BX45" s="9"/>
      <c r="BY45" s="9"/>
      <c r="BZ45" s="9"/>
      <c r="CA45" s="9"/>
      <c r="CB45" s="9"/>
      <c r="CC45" s="9"/>
      <c r="CD45" s="9"/>
      <c r="CE45" s="9"/>
      <c r="CF45" s="9"/>
      <c r="CG45" s="9"/>
      <c r="CH45" s="9"/>
      <c r="CI45" s="9"/>
      <c r="CJ45" s="9"/>
      <c r="CK45" s="9"/>
      <c r="CL45" s="9"/>
      <c r="CM45" s="9"/>
      <c r="CN45" s="9"/>
      <c r="CO45" s="9"/>
      <c r="CP45" s="9"/>
      <c r="CQ45" s="9"/>
      <c r="CR45" s="9"/>
      <c r="CS45" s="9"/>
      <c r="CT45" s="9"/>
      <c r="CU45" s="9"/>
      <c r="CV45" s="9"/>
      <c r="CW45" s="9"/>
      <c r="CX45" s="9"/>
      <c r="CY45" s="9"/>
      <c r="CZ45" s="9"/>
      <c r="DA45" s="9"/>
      <c r="DB45" s="9"/>
      <c r="DC45" s="9"/>
      <c r="DD45" s="9"/>
      <c r="DE45" s="9"/>
      <c r="DF45" s="9"/>
      <c r="DG45" s="9"/>
      <c r="DH45" s="9"/>
      <c r="DI45" s="9"/>
      <c r="DJ45" s="9"/>
      <c r="DK45" s="9"/>
      <c r="DL45" s="9"/>
      <c r="DM45" s="9"/>
      <c r="DN45" s="9"/>
      <c r="DO45" s="9"/>
      <c r="DP45" s="9"/>
      <c r="DQ45" s="9"/>
      <c r="DR45" s="9"/>
      <c r="DS45" s="9"/>
      <c r="DT45" s="9"/>
      <c r="DU45" s="9"/>
      <c r="DV45" s="9"/>
      <c r="DW45" s="9"/>
      <c r="DX45" s="9"/>
      <c r="DY45" s="9"/>
      <c r="DZ45" s="9"/>
      <c r="EA45" s="9"/>
      <c r="EB45" s="9"/>
      <c r="EC45" s="9"/>
      <c r="ED45" s="9"/>
      <c r="EE45" s="9"/>
      <c r="EF45" s="9"/>
      <c r="EG45" s="9"/>
      <c r="EH45" s="9"/>
      <c r="EI45" s="9"/>
      <c r="EJ45" s="9"/>
      <c r="EK45" s="9"/>
      <c r="EL45" s="9"/>
      <c r="EM45" s="9"/>
      <c r="EN45" s="9"/>
      <c r="EO45" s="9"/>
      <c r="EP45" s="9"/>
      <c r="EQ45" s="9"/>
      <c r="ER45" s="9"/>
      <c r="ES45" s="9"/>
      <c r="ET45" s="9"/>
      <c r="EU45" s="9"/>
      <c r="EV45" s="9"/>
      <c r="EW45" s="9"/>
      <c r="EX45" s="9"/>
      <c r="EY45" s="9"/>
      <c r="EZ45" s="9"/>
      <c r="FA45" s="9"/>
      <c r="FB45" s="9"/>
      <c r="FC45" s="9"/>
      <c r="FD45" s="9"/>
      <c r="FE45" s="9"/>
      <c r="FF45" s="9"/>
      <c r="FG45" s="9"/>
      <c r="FH45" s="9"/>
      <c r="FI45" s="9"/>
      <c r="FJ45" s="9"/>
      <c r="FK45" s="9"/>
      <c r="FL45" s="9"/>
      <c r="FM45" s="9"/>
      <c r="FN45" s="9"/>
      <c r="FO45" s="9"/>
      <c r="FP45" s="9"/>
      <c r="FQ45" s="9"/>
      <c r="FR45" s="9"/>
      <c r="FS45" s="9"/>
      <c r="FT45" s="9"/>
      <c r="FU45" s="9"/>
      <c r="FV45" s="9"/>
      <c r="FW45" s="9"/>
      <c r="FX45" s="9"/>
      <c r="FY45" s="9"/>
      <c r="FZ45" s="9"/>
      <c r="GA45" s="9"/>
      <c r="GB45" s="9"/>
      <c r="GC45" s="9"/>
      <c r="GD45" s="9"/>
      <c r="GE45" s="9"/>
      <c r="GF45" s="9"/>
      <c r="GG45" s="9"/>
      <c r="GH45" s="9"/>
      <c r="GI45" s="9"/>
      <c r="GJ45" s="9"/>
      <c r="GK45" s="9"/>
      <c r="GL45" s="9"/>
      <c r="GM45" s="9"/>
      <c r="GN45" s="9"/>
      <c r="GO45" s="9"/>
      <c r="GP45" s="9"/>
      <c r="GQ45" s="9"/>
      <c r="GR45" s="9"/>
      <c r="GS45" s="9"/>
      <c r="GT45" s="9"/>
      <c r="GU45" s="9"/>
      <c r="GV45" s="9"/>
      <c r="GW45" s="9"/>
      <c r="GX45" s="9"/>
      <c r="GY45" s="9"/>
      <c r="GZ45" s="9"/>
      <c r="HA45" s="9"/>
      <c r="HB45" s="9"/>
      <c r="HC45" s="9"/>
      <c r="HD45" s="9"/>
      <c r="HE45" s="9"/>
      <c r="HF45" s="9"/>
      <c r="HG45" s="9"/>
      <c r="HH45" s="9"/>
      <c r="HI45" s="9"/>
      <c r="HJ45" s="9"/>
      <c r="HK45" s="9"/>
      <c r="HL45" s="9"/>
      <c r="HM45" s="9"/>
      <c r="HN45" s="9"/>
      <c r="HO45" s="9"/>
      <c r="HP45" s="9"/>
      <c r="HQ45" s="9"/>
      <c r="HR45" s="9"/>
      <c r="HS45" s="9"/>
      <c r="HT45" s="9"/>
      <c r="HU45" s="9"/>
      <c r="HV45" s="9"/>
      <c r="HW45" s="9"/>
      <c r="HX45" s="9"/>
      <c r="HY45" s="9"/>
      <c r="HZ45" s="9"/>
      <c r="IA45" s="9"/>
      <c r="IB45" s="9"/>
      <c r="IC45" s="9"/>
      <c r="ID45" s="9"/>
      <c r="IE45" s="9"/>
      <c r="IF45" s="9"/>
      <c r="IG45" s="9"/>
      <c r="IH45" s="9"/>
      <c r="II45" s="9"/>
      <c r="IJ45" s="9"/>
      <c r="IK45" s="9"/>
      <c r="IL45" s="9"/>
      <c r="IM45" s="9"/>
      <c r="IN45" s="9"/>
      <c r="IO45" s="9"/>
      <c r="IP45" s="9"/>
      <c r="IQ45" s="9"/>
      <c r="IR45" s="9"/>
      <c r="IS45" s="9"/>
      <c r="IT45" s="9"/>
      <c r="IU45" s="9"/>
      <c r="IV45" s="9"/>
      <c r="IW45" s="9"/>
      <c r="IX45" s="9"/>
      <c r="IY45" s="9"/>
      <c r="IZ45" s="9"/>
      <c r="JA45" s="9"/>
      <c r="JB45" s="9"/>
      <c r="JC45" s="9"/>
      <c r="JD45" s="9"/>
      <c r="JE45" s="9"/>
      <c r="JF45" s="9"/>
      <c r="JG45" s="9"/>
      <c r="JH45" s="9"/>
      <c r="JI45" s="9"/>
      <c r="JJ45" s="9"/>
      <c r="JK45" s="9"/>
      <c r="JL45" s="9"/>
      <c r="JM45" s="9"/>
      <c r="JN45" s="9"/>
      <c r="JO45" s="9"/>
      <c r="JP45" s="9"/>
      <c r="JQ45" s="9"/>
      <c r="JR45" s="9"/>
      <c r="JS45" s="9"/>
      <c r="JT45" s="9"/>
      <c r="JU45" s="9"/>
      <c r="JV45" s="9"/>
      <c r="JW45" s="9"/>
      <c r="JX45" s="9"/>
      <c r="JY45" s="9"/>
      <c r="JZ45" s="9"/>
      <c r="KA45" s="9"/>
      <c r="KB45" s="9"/>
      <c r="KC45" s="9"/>
      <c r="KD45" s="9"/>
      <c r="KE45" s="9"/>
      <c r="KF45" s="9"/>
      <c r="KG45" s="9"/>
      <c r="KH45" s="9"/>
      <c r="KI45" s="9"/>
      <c r="KJ45" s="9"/>
      <c r="KK45" s="9"/>
      <c r="KL45" s="9"/>
      <c r="KM45" s="9"/>
      <c r="KN45" s="9"/>
      <c r="KO45" s="9"/>
      <c r="KP45" s="9"/>
      <c r="KQ45" s="9"/>
      <c r="KR45" s="9"/>
      <c r="KS45" s="9"/>
      <c r="KT45" s="9"/>
      <c r="KU45" s="9"/>
      <c r="KV45" s="9"/>
      <c r="KW45" s="9"/>
      <c r="KX45" s="9"/>
      <c r="KY45" s="9"/>
      <c r="KZ45" s="9"/>
      <c r="LA45" s="9"/>
      <c r="LB45" s="9"/>
      <c r="LC45" s="9"/>
      <c r="LD45" s="9"/>
      <c r="LE45" s="9"/>
      <c r="LF45" s="9"/>
      <c r="LG45" s="9"/>
      <c r="LH45" s="9"/>
      <c r="LI45" s="9"/>
      <c r="LJ45" s="9"/>
      <c r="LK45" s="9"/>
      <c r="LL45" s="9"/>
      <c r="LM45" s="9"/>
      <c r="LN45" s="9"/>
      <c r="LO45" s="9"/>
      <c r="LP45" s="9"/>
      <c r="LQ45" s="9"/>
      <c r="LR45" s="9"/>
      <c r="LS45" s="9"/>
      <c r="LT45" s="9"/>
      <c r="LU45" s="9"/>
      <c r="LV45" s="9"/>
      <c r="LW45" s="9"/>
      <c r="LX45" s="9"/>
      <c r="LY45" s="9"/>
      <c r="LZ45" s="9"/>
      <c r="MA45" s="9"/>
      <c r="MB45" s="9"/>
      <c r="MC45" s="9"/>
      <c r="MD45" s="9"/>
      <c r="ME45" s="9"/>
      <c r="MF45" s="9"/>
      <c r="MG45" s="9"/>
      <c r="MH45" s="9"/>
      <c r="MI45" s="9"/>
      <c r="MJ45" s="9"/>
      <c r="MK45" s="9"/>
    </row>
    <row r="46" spans="1:349" hidden="1" x14ac:dyDescent="0.25">
      <c r="A46" s="9"/>
      <c r="B46" s="9"/>
      <c r="C46" s="9"/>
      <c r="D46" s="9"/>
      <c r="E46" s="9"/>
      <c r="F46" s="9"/>
      <c r="G46" s="9"/>
      <c r="H46" s="9"/>
      <c r="I46" s="9"/>
      <c r="J46" s="9"/>
      <c r="K46" s="9"/>
      <c r="L46" s="9"/>
      <c r="M46" s="9"/>
      <c r="N46" s="9"/>
      <c r="O46" s="9"/>
      <c r="AG46" s="9"/>
      <c r="AH46" s="9"/>
      <c r="AI46" s="9"/>
      <c r="AJ46" s="9"/>
      <c r="AK46" s="9"/>
      <c r="AL46" s="9"/>
      <c r="AM46" s="9"/>
      <c r="AN46" s="9"/>
      <c r="AO46" s="9"/>
      <c r="AP46" s="9"/>
      <c r="AQ46" s="9"/>
      <c r="AR46" s="9"/>
      <c r="AS46" s="9"/>
      <c r="AT46" s="9"/>
      <c r="AU46" s="9"/>
      <c r="AV46" s="9"/>
      <c r="AW46" s="9"/>
      <c r="AX46" s="9"/>
      <c r="AY46" s="9"/>
      <c r="AZ46" s="9"/>
      <c r="BA46" s="9"/>
      <c r="BB46" s="9"/>
      <c r="BC46" s="9"/>
      <c r="BD46" s="9"/>
      <c r="BE46" s="9"/>
      <c r="BF46" s="9"/>
      <c r="BG46" s="9"/>
      <c r="BH46" s="9"/>
      <c r="BI46" s="9"/>
      <c r="BJ46" s="9"/>
      <c r="BK46" s="9"/>
      <c r="BL46" s="9"/>
      <c r="BM46" s="9"/>
      <c r="BN46" s="9"/>
      <c r="BO46" s="9"/>
      <c r="BP46" s="9"/>
      <c r="BQ46" s="9"/>
      <c r="BR46" s="9"/>
      <c r="BS46" s="9"/>
      <c r="BT46" s="9"/>
      <c r="BU46" s="9"/>
      <c r="BV46" s="9"/>
      <c r="BW46" s="9"/>
      <c r="BX46" s="9"/>
      <c r="BY46" s="9"/>
      <c r="BZ46" s="9"/>
      <c r="CA46" s="9"/>
      <c r="CB46" s="9"/>
      <c r="CC46" s="9"/>
      <c r="CD46" s="9"/>
      <c r="CE46" s="9"/>
      <c r="CF46" s="9"/>
      <c r="CG46" s="9"/>
      <c r="CH46" s="9"/>
      <c r="CI46" s="9"/>
      <c r="CJ46" s="9"/>
      <c r="CK46" s="9"/>
      <c r="CL46" s="9"/>
      <c r="CM46" s="9"/>
      <c r="CN46" s="9"/>
      <c r="CO46" s="9"/>
      <c r="CP46" s="9"/>
      <c r="CQ46" s="9"/>
      <c r="CR46" s="9"/>
      <c r="CS46" s="9"/>
      <c r="CT46" s="9"/>
      <c r="CU46" s="9"/>
      <c r="CV46" s="9"/>
      <c r="CW46" s="9"/>
      <c r="CX46" s="9"/>
      <c r="CY46" s="9"/>
      <c r="CZ46" s="9"/>
      <c r="DA46" s="9"/>
      <c r="DB46" s="9"/>
      <c r="DC46" s="9"/>
      <c r="DD46" s="9"/>
      <c r="DE46" s="9"/>
      <c r="DF46" s="9"/>
      <c r="DG46" s="9"/>
      <c r="DH46" s="9"/>
      <c r="DI46" s="9"/>
      <c r="DJ46" s="9"/>
      <c r="DK46" s="9"/>
      <c r="DL46" s="9"/>
      <c r="DM46" s="9"/>
      <c r="DN46" s="9"/>
      <c r="DO46" s="9"/>
      <c r="DP46" s="9"/>
      <c r="DQ46" s="9"/>
      <c r="DR46" s="9"/>
      <c r="DS46" s="9"/>
      <c r="DT46" s="9"/>
      <c r="DU46" s="9"/>
      <c r="DV46" s="9"/>
      <c r="DW46" s="9"/>
      <c r="DX46" s="9"/>
      <c r="DY46" s="9"/>
      <c r="DZ46" s="9"/>
      <c r="EA46" s="9"/>
      <c r="EB46" s="9"/>
      <c r="EC46" s="9"/>
      <c r="ED46" s="9"/>
      <c r="EE46" s="9"/>
      <c r="EF46" s="9"/>
      <c r="EG46" s="9"/>
      <c r="EH46" s="9"/>
      <c r="EI46" s="9"/>
      <c r="EJ46" s="9"/>
      <c r="EK46" s="9"/>
      <c r="EL46" s="9"/>
      <c r="EM46" s="9"/>
      <c r="EN46" s="9"/>
      <c r="EO46" s="9"/>
      <c r="EP46" s="9"/>
      <c r="EQ46" s="9"/>
      <c r="ER46" s="9"/>
      <c r="ES46" s="9"/>
      <c r="ET46" s="9"/>
      <c r="EU46" s="9"/>
      <c r="EV46" s="9"/>
      <c r="EW46" s="9"/>
      <c r="EX46" s="9"/>
      <c r="EY46" s="9"/>
      <c r="EZ46" s="9"/>
      <c r="FA46" s="9"/>
      <c r="FB46" s="9"/>
      <c r="FC46" s="9"/>
      <c r="FD46" s="9"/>
      <c r="FE46" s="9"/>
      <c r="FF46" s="9"/>
      <c r="FG46" s="9"/>
      <c r="FH46" s="9"/>
      <c r="FI46" s="9"/>
      <c r="FJ46" s="9"/>
      <c r="FK46" s="9"/>
      <c r="FL46" s="9"/>
      <c r="FM46" s="9"/>
      <c r="FN46" s="9"/>
      <c r="FO46" s="9"/>
      <c r="FP46" s="9"/>
      <c r="FQ46" s="9"/>
      <c r="FR46" s="9"/>
      <c r="FS46" s="9"/>
      <c r="FT46" s="9"/>
      <c r="FU46" s="9"/>
      <c r="FV46" s="9"/>
      <c r="FW46" s="9"/>
      <c r="FX46" s="9"/>
      <c r="FY46" s="9"/>
      <c r="FZ46" s="9"/>
      <c r="GA46" s="9"/>
      <c r="GB46" s="9"/>
      <c r="GC46" s="9"/>
      <c r="GD46" s="9"/>
      <c r="GE46" s="9"/>
      <c r="GF46" s="9"/>
      <c r="GG46" s="9"/>
      <c r="GH46" s="9"/>
      <c r="GI46" s="9"/>
      <c r="GJ46" s="9"/>
      <c r="GK46" s="9"/>
      <c r="GL46" s="9"/>
      <c r="GM46" s="9"/>
      <c r="GN46" s="9"/>
      <c r="GO46" s="9"/>
      <c r="GP46" s="9"/>
      <c r="GQ46" s="9"/>
      <c r="GR46" s="9"/>
      <c r="GS46" s="9"/>
      <c r="GT46" s="9"/>
      <c r="GU46" s="9"/>
      <c r="GV46" s="9"/>
      <c r="GW46" s="9"/>
      <c r="GX46" s="9"/>
      <c r="GY46" s="9"/>
      <c r="GZ46" s="9"/>
      <c r="HA46" s="9"/>
      <c r="HB46" s="9"/>
      <c r="HC46" s="9"/>
      <c r="HD46" s="9"/>
      <c r="HE46" s="9"/>
      <c r="HF46" s="9"/>
      <c r="HG46" s="9"/>
      <c r="HH46" s="9"/>
      <c r="HI46" s="9"/>
      <c r="HJ46" s="9"/>
      <c r="HK46" s="9"/>
      <c r="HL46" s="9"/>
      <c r="HM46" s="9"/>
      <c r="HN46" s="9"/>
      <c r="HO46" s="9"/>
      <c r="HP46" s="9"/>
      <c r="HQ46" s="9"/>
      <c r="HR46" s="9"/>
      <c r="HS46" s="9"/>
      <c r="HT46" s="9"/>
      <c r="HU46" s="9"/>
      <c r="HV46" s="9"/>
      <c r="HW46" s="9"/>
      <c r="HX46" s="9"/>
      <c r="HY46" s="9"/>
      <c r="HZ46" s="9"/>
      <c r="IA46" s="9"/>
      <c r="IB46" s="9"/>
      <c r="IC46" s="9"/>
      <c r="ID46" s="9"/>
      <c r="IE46" s="9"/>
      <c r="IF46" s="9"/>
      <c r="IG46" s="9"/>
      <c r="IH46" s="9"/>
      <c r="II46" s="9"/>
      <c r="IJ46" s="9"/>
      <c r="IK46" s="9"/>
      <c r="IL46" s="9"/>
      <c r="IM46" s="9"/>
      <c r="IN46" s="9"/>
      <c r="IO46" s="9"/>
      <c r="IP46" s="9"/>
      <c r="IQ46" s="9"/>
      <c r="IR46" s="9"/>
      <c r="IS46" s="9"/>
      <c r="IT46" s="9"/>
      <c r="IU46" s="9"/>
      <c r="IV46" s="9"/>
      <c r="IW46" s="9"/>
      <c r="IX46" s="9"/>
      <c r="IY46" s="9"/>
      <c r="IZ46" s="9"/>
      <c r="JA46" s="9"/>
      <c r="JB46" s="9"/>
      <c r="JC46" s="9"/>
      <c r="JD46" s="9"/>
      <c r="JE46" s="9"/>
      <c r="JF46" s="9"/>
      <c r="JG46" s="9"/>
      <c r="JH46" s="9"/>
      <c r="JI46" s="9"/>
      <c r="JJ46" s="9"/>
      <c r="JK46" s="9"/>
      <c r="JL46" s="9"/>
      <c r="JM46" s="9"/>
      <c r="JN46" s="9"/>
      <c r="JO46" s="9"/>
      <c r="JP46" s="9"/>
      <c r="JQ46" s="9"/>
      <c r="JR46" s="9"/>
      <c r="JS46" s="9"/>
      <c r="JT46" s="9"/>
      <c r="JU46" s="9"/>
      <c r="JV46" s="9"/>
      <c r="JW46" s="9"/>
      <c r="JX46" s="9"/>
      <c r="JY46" s="9"/>
      <c r="JZ46" s="9"/>
      <c r="KA46" s="9"/>
      <c r="KB46" s="9"/>
      <c r="KC46" s="9"/>
      <c r="KD46" s="9"/>
      <c r="KE46" s="9"/>
      <c r="KF46" s="9"/>
      <c r="KG46" s="9"/>
      <c r="KH46" s="9"/>
      <c r="KI46" s="9"/>
      <c r="KJ46" s="9"/>
      <c r="KK46" s="9"/>
      <c r="KL46" s="9"/>
      <c r="KM46" s="9"/>
      <c r="KN46" s="9"/>
      <c r="KO46" s="9"/>
      <c r="KP46" s="9"/>
      <c r="KQ46" s="9"/>
      <c r="KR46" s="9"/>
      <c r="KS46" s="9"/>
      <c r="KT46" s="9"/>
      <c r="KU46" s="9"/>
      <c r="KV46" s="9"/>
      <c r="KW46" s="9"/>
      <c r="KX46" s="9"/>
      <c r="KY46" s="9"/>
      <c r="KZ46" s="9"/>
      <c r="LA46" s="9"/>
      <c r="LB46" s="9"/>
      <c r="LC46" s="9"/>
      <c r="LD46" s="9"/>
      <c r="LE46" s="9"/>
      <c r="LF46" s="9"/>
      <c r="LG46" s="9"/>
      <c r="LH46" s="9"/>
      <c r="LI46" s="9"/>
      <c r="LJ46" s="9"/>
      <c r="LK46" s="9"/>
      <c r="LL46" s="9"/>
      <c r="LM46" s="9"/>
      <c r="LN46" s="9"/>
      <c r="LO46" s="9"/>
      <c r="LP46" s="9"/>
      <c r="LQ46" s="9"/>
      <c r="LR46" s="9"/>
      <c r="LS46" s="9"/>
      <c r="LT46" s="9"/>
      <c r="LU46" s="9"/>
      <c r="LV46" s="9"/>
      <c r="LW46" s="9"/>
      <c r="LX46" s="9"/>
      <c r="LY46" s="9"/>
      <c r="LZ46" s="9"/>
      <c r="MA46" s="9"/>
      <c r="MB46" s="9"/>
      <c r="MC46" s="9"/>
      <c r="MD46" s="9"/>
      <c r="ME46" s="9"/>
      <c r="MF46" s="9"/>
      <c r="MG46" s="9"/>
      <c r="MH46" s="9"/>
      <c r="MI46" s="9"/>
      <c r="MJ46" s="9"/>
      <c r="MK46" s="9"/>
    </row>
    <row r="47" spans="1:349" hidden="1" x14ac:dyDescent="0.25">
      <c r="A47" s="9"/>
      <c r="B47" s="9"/>
      <c r="C47" s="9"/>
      <c r="D47" s="9"/>
      <c r="E47" s="9"/>
      <c r="F47" s="9"/>
      <c r="G47" s="9"/>
      <c r="H47" s="9"/>
      <c r="I47" s="9"/>
      <c r="J47" s="9"/>
      <c r="K47" s="9"/>
      <c r="L47" s="9"/>
      <c r="M47" s="9"/>
      <c r="N47" s="9"/>
      <c r="O47" s="9"/>
      <c r="AG47" s="9"/>
      <c r="AH47" s="9"/>
      <c r="AI47" s="9"/>
      <c r="AJ47" s="9"/>
      <c r="AK47" s="9"/>
      <c r="AL47" s="9"/>
      <c r="AM47" s="9"/>
      <c r="AN47" s="9"/>
      <c r="AO47" s="9"/>
      <c r="AP47" s="9"/>
      <c r="AQ47" s="9"/>
      <c r="AR47" s="9"/>
      <c r="AS47" s="9"/>
      <c r="AT47" s="9"/>
      <c r="AU47" s="9"/>
      <c r="AV47" s="9"/>
      <c r="AW47" s="9"/>
      <c r="AX47" s="9"/>
      <c r="AY47" s="9"/>
      <c r="AZ47" s="9"/>
      <c r="BA47" s="9"/>
      <c r="BB47" s="9"/>
      <c r="BC47" s="9"/>
      <c r="BD47" s="9"/>
      <c r="BE47" s="9"/>
      <c r="BF47" s="9"/>
      <c r="BG47" s="9"/>
      <c r="BH47" s="9"/>
      <c r="BI47" s="9"/>
      <c r="BJ47" s="9"/>
      <c r="BK47" s="9"/>
      <c r="BL47" s="9"/>
      <c r="BM47" s="9"/>
      <c r="BN47" s="9"/>
      <c r="BO47" s="9"/>
      <c r="BP47" s="9"/>
      <c r="BQ47" s="9"/>
      <c r="BR47" s="9"/>
      <c r="BS47" s="9"/>
      <c r="BT47" s="9"/>
      <c r="BU47" s="9"/>
      <c r="BV47" s="9"/>
      <c r="BW47" s="9"/>
      <c r="BX47" s="9"/>
      <c r="BY47" s="9"/>
      <c r="BZ47" s="9"/>
      <c r="CA47" s="9"/>
      <c r="CB47" s="9"/>
      <c r="CC47" s="9"/>
      <c r="CD47" s="9"/>
      <c r="CE47" s="9"/>
      <c r="CF47" s="9"/>
      <c r="CG47" s="9"/>
      <c r="CH47" s="9"/>
      <c r="CI47" s="9"/>
      <c r="CJ47" s="9"/>
      <c r="CK47" s="9"/>
      <c r="CL47" s="9"/>
      <c r="CM47" s="9"/>
      <c r="CN47" s="9"/>
      <c r="CO47" s="9"/>
      <c r="CP47" s="9"/>
      <c r="CQ47" s="9"/>
      <c r="CR47" s="9"/>
      <c r="CS47" s="9"/>
      <c r="CT47" s="9"/>
      <c r="CU47" s="9"/>
      <c r="CV47" s="9"/>
      <c r="CW47" s="9"/>
      <c r="CX47" s="9"/>
      <c r="CY47" s="9"/>
      <c r="CZ47" s="9"/>
      <c r="DA47" s="9"/>
      <c r="DB47" s="9"/>
      <c r="DC47" s="9"/>
      <c r="DD47" s="9"/>
      <c r="DE47" s="9"/>
      <c r="DF47" s="9"/>
      <c r="DG47" s="9"/>
      <c r="DH47" s="9"/>
      <c r="DI47" s="9"/>
      <c r="DJ47" s="9"/>
      <c r="DK47" s="9"/>
      <c r="DL47" s="9"/>
      <c r="DM47" s="9"/>
      <c r="DN47" s="9"/>
      <c r="DO47" s="9"/>
      <c r="DP47" s="9"/>
      <c r="DQ47" s="9"/>
      <c r="DR47" s="9"/>
      <c r="DS47" s="9"/>
      <c r="DT47" s="9"/>
      <c r="DU47" s="9"/>
      <c r="DV47" s="9"/>
      <c r="DW47" s="9"/>
      <c r="DX47" s="9"/>
      <c r="DY47" s="9"/>
      <c r="DZ47" s="9"/>
      <c r="EA47" s="9"/>
      <c r="EB47" s="9"/>
      <c r="EC47" s="9"/>
      <c r="ED47" s="9"/>
      <c r="EE47" s="9"/>
      <c r="EF47" s="9"/>
      <c r="EG47" s="9"/>
      <c r="EH47" s="9"/>
      <c r="EI47" s="9"/>
      <c r="EJ47" s="9"/>
      <c r="EK47" s="9"/>
      <c r="EL47" s="9"/>
      <c r="EM47" s="9"/>
      <c r="EN47" s="9"/>
      <c r="EO47" s="9"/>
      <c r="EP47" s="9"/>
      <c r="EQ47" s="9"/>
      <c r="ER47" s="9"/>
      <c r="ES47" s="9"/>
      <c r="ET47" s="9"/>
      <c r="EU47" s="9"/>
      <c r="EV47" s="9"/>
      <c r="EW47" s="9"/>
      <c r="EX47" s="9"/>
      <c r="EY47" s="9"/>
      <c r="EZ47" s="9"/>
      <c r="FA47" s="9"/>
      <c r="FB47" s="9"/>
      <c r="FC47" s="9"/>
      <c r="FD47" s="9"/>
      <c r="FE47" s="9"/>
      <c r="FF47" s="9"/>
      <c r="FG47" s="9"/>
      <c r="FH47" s="9"/>
      <c r="FI47" s="9"/>
      <c r="FJ47" s="9"/>
      <c r="FK47" s="9"/>
      <c r="FL47" s="9"/>
      <c r="FM47" s="9"/>
      <c r="FN47" s="9"/>
      <c r="FO47" s="9"/>
      <c r="FP47" s="9"/>
      <c r="FQ47" s="9"/>
      <c r="FR47" s="9"/>
      <c r="FS47" s="9"/>
      <c r="FT47" s="9"/>
      <c r="FU47" s="9"/>
      <c r="FV47" s="9"/>
      <c r="FW47" s="9"/>
      <c r="FX47" s="9"/>
      <c r="FY47" s="9"/>
      <c r="FZ47" s="9"/>
      <c r="GA47" s="9"/>
      <c r="GB47" s="9"/>
      <c r="GC47" s="9"/>
      <c r="GD47" s="9"/>
      <c r="GE47" s="9"/>
      <c r="GF47" s="9"/>
      <c r="GG47" s="9"/>
      <c r="GH47" s="9"/>
      <c r="GI47" s="9"/>
      <c r="GJ47" s="9"/>
      <c r="GK47" s="9"/>
      <c r="GL47" s="9"/>
      <c r="GM47" s="9"/>
      <c r="GN47" s="9"/>
      <c r="GO47" s="9"/>
      <c r="GP47" s="9"/>
      <c r="GQ47" s="9"/>
      <c r="GR47" s="9"/>
      <c r="GS47" s="9"/>
      <c r="GT47" s="9"/>
      <c r="GU47" s="9"/>
      <c r="GV47" s="9"/>
      <c r="GW47" s="9"/>
      <c r="GX47" s="9"/>
      <c r="GY47" s="9"/>
      <c r="GZ47" s="9"/>
      <c r="HA47" s="9"/>
      <c r="HB47" s="9"/>
      <c r="HC47" s="9"/>
      <c r="HD47" s="9"/>
      <c r="HE47" s="9"/>
      <c r="HF47" s="9"/>
      <c r="HG47" s="9"/>
      <c r="HH47" s="9"/>
      <c r="HI47" s="9"/>
      <c r="HJ47" s="9"/>
      <c r="HK47" s="9"/>
      <c r="HL47" s="9"/>
      <c r="HM47" s="9"/>
      <c r="HN47" s="9"/>
      <c r="HO47" s="9"/>
      <c r="HP47" s="9"/>
      <c r="HQ47" s="9"/>
      <c r="HR47" s="9"/>
      <c r="HS47" s="9"/>
      <c r="HT47" s="9"/>
      <c r="HU47" s="9"/>
      <c r="HV47" s="9"/>
      <c r="HW47" s="9"/>
      <c r="HX47" s="9"/>
      <c r="HY47" s="9"/>
      <c r="HZ47" s="9"/>
      <c r="IA47" s="9"/>
      <c r="IB47" s="9"/>
      <c r="IC47" s="9"/>
      <c r="ID47" s="9"/>
      <c r="IE47" s="9"/>
      <c r="IF47" s="9"/>
      <c r="IG47" s="9"/>
      <c r="IH47" s="9"/>
      <c r="II47" s="9"/>
      <c r="IJ47" s="9"/>
      <c r="IK47" s="9"/>
      <c r="IL47" s="9"/>
      <c r="IM47" s="9"/>
      <c r="IN47" s="9"/>
      <c r="IO47" s="9"/>
      <c r="IP47" s="9"/>
      <c r="IQ47" s="9"/>
      <c r="IR47" s="9"/>
      <c r="IS47" s="9"/>
      <c r="IT47" s="9"/>
      <c r="IU47" s="9"/>
      <c r="IV47" s="9"/>
      <c r="IW47" s="9"/>
      <c r="IX47" s="9"/>
      <c r="IY47" s="9"/>
      <c r="IZ47" s="9"/>
      <c r="JA47" s="9"/>
      <c r="JB47" s="9"/>
      <c r="JC47" s="9"/>
      <c r="JD47" s="9"/>
      <c r="JE47" s="9"/>
      <c r="JF47" s="9"/>
      <c r="JG47" s="9"/>
      <c r="JH47" s="9"/>
      <c r="JI47" s="9"/>
      <c r="JJ47" s="9"/>
      <c r="JK47" s="9"/>
      <c r="JL47" s="9"/>
      <c r="JM47" s="9"/>
      <c r="JN47" s="9"/>
      <c r="JO47" s="9"/>
      <c r="JP47" s="9"/>
      <c r="JQ47" s="9"/>
      <c r="JR47" s="9"/>
      <c r="JS47" s="9"/>
      <c r="JT47" s="9"/>
      <c r="JU47" s="9"/>
      <c r="JV47" s="9"/>
      <c r="JW47" s="9"/>
      <c r="JX47" s="9"/>
      <c r="JY47" s="9"/>
      <c r="JZ47" s="9"/>
      <c r="KA47" s="9"/>
      <c r="KB47" s="9"/>
      <c r="KC47" s="9"/>
      <c r="KD47" s="9"/>
      <c r="KE47" s="9"/>
      <c r="KF47" s="9"/>
      <c r="KG47" s="9"/>
      <c r="KH47" s="9"/>
      <c r="KI47" s="9"/>
      <c r="KJ47" s="9"/>
      <c r="KK47" s="9"/>
      <c r="KL47" s="9"/>
      <c r="KM47" s="9"/>
      <c r="KN47" s="9"/>
      <c r="KO47" s="9"/>
      <c r="KP47" s="9"/>
      <c r="KQ47" s="9"/>
      <c r="KR47" s="9"/>
      <c r="KS47" s="9"/>
      <c r="KT47" s="9"/>
      <c r="KU47" s="9"/>
      <c r="KV47" s="9"/>
      <c r="KW47" s="9"/>
      <c r="KX47" s="9"/>
      <c r="KY47" s="9"/>
      <c r="KZ47" s="9"/>
      <c r="LA47" s="9"/>
      <c r="LB47" s="9"/>
      <c r="LC47" s="9"/>
      <c r="LD47" s="9"/>
      <c r="LE47" s="9"/>
      <c r="LF47" s="9"/>
      <c r="LG47" s="9"/>
      <c r="LH47" s="9"/>
      <c r="LI47" s="9"/>
      <c r="LJ47" s="9"/>
      <c r="LK47" s="9"/>
      <c r="LL47" s="9"/>
      <c r="LM47" s="9"/>
      <c r="LN47" s="9"/>
      <c r="LO47" s="9"/>
      <c r="LP47" s="9"/>
      <c r="LQ47" s="9"/>
      <c r="LR47" s="9"/>
      <c r="LS47" s="9"/>
      <c r="LT47" s="9"/>
      <c r="LU47" s="9"/>
      <c r="LV47" s="9"/>
      <c r="LW47" s="9"/>
      <c r="LX47" s="9"/>
      <c r="LY47" s="9"/>
      <c r="LZ47" s="9"/>
      <c r="MA47" s="9"/>
      <c r="MB47" s="9"/>
      <c r="MC47" s="9"/>
      <c r="MD47" s="9"/>
      <c r="ME47" s="9"/>
      <c r="MF47" s="9"/>
      <c r="MG47" s="9"/>
      <c r="MH47" s="9"/>
      <c r="MI47" s="9"/>
      <c r="MJ47" s="9"/>
      <c r="MK47" s="9"/>
    </row>
    <row r="48" spans="1:349" hidden="1" x14ac:dyDescent="0.25">
      <c r="A48" s="9"/>
      <c r="B48" s="9"/>
      <c r="C48" s="9"/>
      <c r="D48" s="9"/>
      <c r="E48" s="9"/>
      <c r="F48" s="9"/>
      <c r="G48" s="9"/>
      <c r="H48" s="9"/>
      <c r="I48" s="9"/>
      <c r="J48" s="9"/>
      <c r="K48" s="9"/>
      <c r="L48" s="9"/>
      <c r="M48" s="9"/>
      <c r="N48" s="9"/>
      <c r="O48" s="9"/>
      <c r="AG48" s="9"/>
      <c r="AH48" s="9"/>
      <c r="AI48" s="9"/>
      <c r="AJ48" s="9"/>
      <c r="AK48" s="9"/>
      <c r="AL48" s="9"/>
      <c r="AM48" s="9"/>
      <c r="AN48" s="9"/>
      <c r="AO48" s="9"/>
      <c r="AP48" s="9"/>
      <c r="AQ48" s="9"/>
      <c r="AR48" s="9"/>
      <c r="AS48" s="9"/>
      <c r="AT48" s="9"/>
      <c r="AU48" s="9"/>
      <c r="AV48" s="9"/>
      <c r="AW48" s="9"/>
      <c r="AX48" s="9"/>
      <c r="AY48" s="9"/>
      <c r="AZ48" s="9"/>
      <c r="BA48" s="9"/>
      <c r="BB48" s="9"/>
      <c r="BC48" s="9"/>
      <c r="BD48" s="9"/>
      <c r="BE48" s="9"/>
      <c r="BF48" s="9"/>
      <c r="BG48" s="9"/>
      <c r="BH48" s="9"/>
      <c r="BI48" s="9"/>
      <c r="BJ48" s="9"/>
      <c r="BK48" s="9"/>
      <c r="BL48" s="9"/>
      <c r="BM48" s="9"/>
      <c r="BN48" s="9"/>
      <c r="BO48" s="9"/>
      <c r="BP48" s="9"/>
      <c r="BQ48" s="9"/>
      <c r="BR48" s="9"/>
      <c r="BS48" s="9"/>
      <c r="BT48" s="9"/>
      <c r="BU48" s="9"/>
      <c r="BV48" s="9"/>
      <c r="BW48" s="9"/>
      <c r="BX48" s="9"/>
      <c r="BY48" s="9"/>
      <c r="BZ48" s="9"/>
      <c r="CA48" s="9"/>
      <c r="CB48" s="9"/>
      <c r="CC48" s="9"/>
      <c r="CD48" s="9"/>
      <c r="CE48" s="9"/>
      <c r="CF48" s="9"/>
      <c r="CG48" s="9"/>
      <c r="CH48" s="9"/>
      <c r="CI48" s="9"/>
      <c r="CJ48" s="9"/>
      <c r="CK48" s="9"/>
      <c r="CL48" s="9"/>
      <c r="CM48" s="9"/>
      <c r="CN48" s="9"/>
      <c r="CO48" s="9"/>
      <c r="CP48" s="9"/>
      <c r="CQ48" s="9"/>
      <c r="CR48" s="9"/>
      <c r="CS48" s="9"/>
      <c r="CT48" s="9"/>
      <c r="CU48" s="9"/>
      <c r="CV48" s="9"/>
      <c r="CW48" s="9"/>
      <c r="CX48" s="9"/>
      <c r="CY48" s="9"/>
      <c r="CZ48" s="9"/>
      <c r="DA48" s="9"/>
      <c r="DB48" s="9"/>
      <c r="DC48" s="9"/>
      <c r="DD48" s="9"/>
      <c r="DE48" s="9"/>
      <c r="DF48" s="9"/>
      <c r="DG48" s="9"/>
      <c r="DH48" s="9"/>
      <c r="DI48" s="9"/>
      <c r="DJ48" s="9"/>
      <c r="DK48" s="9"/>
      <c r="DL48" s="9"/>
      <c r="DM48" s="9"/>
      <c r="DN48" s="9"/>
      <c r="DO48" s="9"/>
      <c r="DP48" s="9"/>
      <c r="DQ48" s="9"/>
      <c r="DR48" s="9"/>
      <c r="DS48" s="9"/>
      <c r="DT48" s="9"/>
      <c r="DU48" s="9"/>
      <c r="DV48" s="9"/>
      <c r="DW48" s="9"/>
      <c r="DX48" s="9"/>
      <c r="DY48" s="9"/>
      <c r="DZ48" s="9"/>
      <c r="EA48" s="9"/>
      <c r="EB48" s="9"/>
      <c r="EC48" s="9"/>
      <c r="ED48" s="9"/>
      <c r="EE48" s="9"/>
      <c r="EF48" s="9"/>
      <c r="EG48" s="9"/>
      <c r="EH48" s="9"/>
      <c r="EI48" s="9"/>
      <c r="EJ48" s="9"/>
      <c r="EK48" s="9"/>
      <c r="EL48" s="9"/>
      <c r="EM48" s="9"/>
      <c r="EN48" s="9"/>
      <c r="EO48" s="9"/>
      <c r="EP48" s="9"/>
      <c r="EQ48" s="9"/>
      <c r="ER48" s="9"/>
      <c r="ES48" s="9"/>
      <c r="ET48" s="9"/>
      <c r="EU48" s="9"/>
      <c r="EV48" s="9"/>
      <c r="EW48" s="9"/>
      <c r="EX48" s="9"/>
      <c r="EY48" s="9"/>
      <c r="EZ48" s="9"/>
      <c r="FA48" s="9"/>
      <c r="FB48" s="9"/>
      <c r="FC48" s="9"/>
      <c r="FD48" s="9"/>
      <c r="FE48" s="9"/>
      <c r="FF48" s="9"/>
      <c r="FG48" s="9"/>
      <c r="FH48" s="9"/>
      <c r="FI48" s="9"/>
      <c r="FJ48" s="9"/>
      <c r="FK48" s="9"/>
      <c r="FL48" s="9"/>
      <c r="FM48" s="9"/>
      <c r="FN48" s="9"/>
      <c r="FO48" s="9"/>
      <c r="FP48" s="9"/>
      <c r="FQ48" s="9"/>
      <c r="FR48" s="9"/>
      <c r="FS48" s="9"/>
      <c r="FT48" s="9"/>
      <c r="FU48" s="9"/>
      <c r="FV48" s="9"/>
      <c r="FW48" s="9"/>
      <c r="FX48" s="9"/>
      <c r="FY48" s="9"/>
      <c r="FZ48" s="9"/>
      <c r="GA48" s="9"/>
      <c r="GB48" s="9"/>
      <c r="GC48" s="9"/>
      <c r="GD48" s="9"/>
      <c r="GE48" s="9"/>
      <c r="GF48" s="9"/>
      <c r="GG48" s="9"/>
      <c r="GH48" s="9"/>
      <c r="GI48" s="9"/>
      <c r="GJ48" s="9"/>
      <c r="GK48" s="9"/>
      <c r="GL48" s="9"/>
      <c r="GM48" s="9"/>
      <c r="GN48" s="9"/>
      <c r="GO48" s="9"/>
      <c r="GP48" s="9"/>
      <c r="GQ48" s="9"/>
      <c r="GR48" s="9"/>
      <c r="GS48" s="9"/>
      <c r="GT48" s="9"/>
      <c r="GU48" s="9"/>
      <c r="GV48" s="9"/>
      <c r="GW48" s="9"/>
      <c r="GX48" s="9"/>
      <c r="GY48" s="9"/>
      <c r="GZ48" s="9"/>
      <c r="HA48" s="9"/>
      <c r="HB48" s="9"/>
      <c r="HC48" s="9"/>
      <c r="HD48" s="9"/>
      <c r="HE48" s="9"/>
      <c r="HF48" s="9"/>
      <c r="HG48" s="9"/>
      <c r="HH48" s="9"/>
      <c r="HI48" s="9"/>
      <c r="HJ48" s="9"/>
      <c r="HK48" s="9"/>
      <c r="HL48" s="9"/>
      <c r="HM48" s="9"/>
      <c r="HN48" s="9"/>
      <c r="HO48" s="9"/>
      <c r="HP48" s="9"/>
      <c r="HQ48" s="9"/>
      <c r="HR48" s="9"/>
      <c r="HS48" s="9"/>
      <c r="HT48" s="9"/>
      <c r="HU48" s="9"/>
      <c r="HV48" s="9"/>
      <c r="HW48" s="9"/>
      <c r="HX48" s="9"/>
      <c r="HY48" s="9"/>
      <c r="HZ48" s="9"/>
      <c r="IA48" s="9"/>
      <c r="IB48" s="9"/>
      <c r="IC48" s="9"/>
      <c r="ID48" s="9"/>
      <c r="IE48" s="9"/>
      <c r="IF48" s="9"/>
      <c r="IG48" s="9"/>
      <c r="IH48" s="9"/>
      <c r="II48" s="9"/>
      <c r="IJ48" s="9"/>
      <c r="IK48" s="9"/>
      <c r="IL48" s="9"/>
      <c r="IM48" s="9"/>
      <c r="IN48" s="9"/>
      <c r="IO48" s="9"/>
      <c r="IP48" s="9"/>
      <c r="IQ48" s="9"/>
      <c r="IR48" s="9"/>
      <c r="IS48" s="9"/>
      <c r="IT48" s="9"/>
      <c r="IU48" s="9"/>
      <c r="IV48" s="9"/>
      <c r="IW48" s="9"/>
      <c r="IX48" s="9"/>
      <c r="IY48" s="9"/>
      <c r="IZ48" s="9"/>
      <c r="JA48" s="9"/>
      <c r="JB48" s="9"/>
      <c r="JC48" s="9"/>
      <c r="JD48" s="9"/>
      <c r="JE48" s="9"/>
      <c r="JF48" s="9"/>
      <c r="JG48" s="9"/>
      <c r="JH48" s="9"/>
      <c r="JI48" s="9"/>
      <c r="JJ48" s="9"/>
      <c r="JK48" s="9"/>
      <c r="JL48" s="9"/>
      <c r="JM48" s="9"/>
      <c r="JN48" s="9"/>
      <c r="JO48" s="9"/>
      <c r="JP48" s="9"/>
      <c r="JQ48" s="9"/>
      <c r="JR48" s="9"/>
      <c r="JS48" s="9"/>
      <c r="JT48" s="9"/>
      <c r="JU48" s="9"/>
      <c r="JV48" s="9"/>
      <c r="JW48" s="9"/>
      <c r="JX48" s="9"/>
      <c r="JY48" s="9"/>
      <c r="JZ48" s="9"/>
      <c r="KA48" s="9"/>
      <c r="KB48" s="9"/>
      <c r="KC48" s="9"/>
      <c r="KD48" s="9"/>
      <c r="KE48" s="9"/>
      <c r="KF48" s="9"/>
      <c r="KG48" s="9"/>
      <c r="KH48" s="9"/>
      <c r="KI48" s="9"/>
      <c r="KJ48" s="9"/>
      <c r="KK48" s="9"/>
      <c r="KL48" s="9"/>
      <c r="KM48" s="9"/>
      <c r="KN48" s="9"/>
      <c r="KO48" s="9"/>
      <c r="KP48" s="9"/>
      <c r="KQ48" s="9"/>
      <c r="KR48" s="9"/>
      <c r="KS48" s="9"/>
      <c r="KT48" s="9"/>
      <c r="KU48" s="9"/>
      <c r="KV48" s="9"/>
      <c r="KW48" s="9"/>
      <c r="KX48" s="9"/>
      <c r="KY48" s="9"/>
      <c r="KZ48" s="9"/>
      <c r="LA48" s="9"/>
      <c r="LB48" s="9"/>
      <c r="LC48" s="9"/>
      <c r="LD48" s="9"/>
      <c r="LE48" s="9"/>
      <c r="LF48" s="9"/>
      <c r="LG48" s="9"/>
      <c r="LH48" s="9"/>
      <c r="LI48" s="9"/>
      <c r="LJ48" s="9"/>
      <c r="LK48" s="9"/>
      <c r="LL48" s="9"/>
      <c r="LM48" s="9"/>
      <c r="LN48" s="9"/>
      <c r="LO48" s="9"/>
      <c r="LP48" s="9"/>
      <c r="LQ48" s="9"/>
      <c r="LR48" s="9"/>
      <c r="LS48" s="9"/>
      <c r="LT48" s="9"/>
      <c r="LU48" s="9"/>
      <c r="LV48" s="9"/>
      <c r="LW48" s="9"/>
      <c r="LX48" s="9"/>
      <c r="LY48" s="9"/>
      <c r="LZ48" s="9"/>
      <c r="MA48" s="9"/>
      <c r="MB48" s="9"/>
      <c r="MC48" s="9"/>
      <c r="MD48" s="9"/>
      <c r="ME48" s="9"/>
      <c r="MF48" s="9"/>
      <c r="MG48" s="9"/>
      <c r="MH48" s="9"/>
      <c r="MI48" s="9"/>
      <c r="MJ48" s="9"/>
      <c r="MK48" s="9"/>
    </row>
    <row r="49" spans="1:349" hidden="1" x14ac:dyDescent="0.25">
      <c r="A49" s="9"/>
      <c r="B49" s="9"/>
      <c r="C49" s="9"/>
      <c r="D49" s="9"/>
      <c r="E49" s="9"/>
      <c r="F49" s="9"/>
      <c r="G49" s="9"/>
      <c r="H49" s="9"/>
      <c r="I49" s="9"/>
      <c r="J49" s="9"/>
      <c r="K49" s="9"/>
      <c r="L49" s="9"/>
      <c r="M49" s="9"/>
      <c r="N49" s="9"/>
      <c r="O49" s="9"/>
      <c r="AG49" s="9"/>
      <c r="AH49" s="9"/>
      <c r="AI49" s="9"/>
      <c r="AJ49" s="9"/>
      <c r="AK49" s="9"/>
      <c r="AL49" s="9"/>
      <c r="AM49" s="9"/>
      <c r="AN49" s="9"/>
      <c r="AO49" s="9"/>
      <c r="AP49" s="9"/>
      <c r="AQ49" s="9"/>
      <c r="AR49" s="9"/>
      <c r="AS49" s="9"/>
      <c r="AT49" s="9"/>
      <c r="AU49" s="9"/>
      <c r="AV49" s="9"/>
      <c r="AW49" s="9"/>
      <c r="AX49" s="9"/>
      <c r="AY49" s="9"/>
      <c r="AZ49" s="9"/>
      <c r="BA49" s="9"/>
      <c r="BB49" s="9"/>
      <c r="BC49" s="9"/>
      <c r="BD49" s="9"/>
      <c r="BE49" s="9"/>
      <c r="BF49" s="9"/>
      <c r="BG49" s="9"/>
      <c r="BH49" s="9"/>
      <c r="BI49" s="9"/>
      <c r="BJ49" s="9"/>
      <c r="BK49" s="9"/>
      <c r="BL49" s="9"/>
      <c r="BM49" s="9"/>
      <c r="BN49" s="9"/>
      <c r="BO49" s="9"/>
      <c r="BP49" s="9"/>
      <c r="BQ49" s="9"/>
      <c r="BR49" s="9"/>
      <c r="BS49" s="9"/>
      <c r="BT49" s="9"/>
      <c r="BU49" s="9"/>
      <c r="BV49" s="9"/>
      <c r="BW49" s="9"/>
      <c r="BX49" s="9"/>
      <c r="BY49" s="9"/>
      <c r="BZ49" s="9"/>
      <c r="CA49" s="9"/>
      <c r="CB49" s="9"/>
      <c r="CC49" s="9"/>
      <c r="CD49" s="9"/>
      <c r="CE49" s="9"/>
      <c r="CF49" s="9"/>
      <c r="CG49" s="9"/>
      <c r="CH49" s="9"/>
      <c r="CI49" s="9"/>
      <c r="CJ49" s="9"/>
      <c r="CK49" s="9"/>
      <c r="CL49" s="9"/>
      <c r="CM49" s="9"/>
      <c r="CN49" s="9"/>
      <c r="CO49" s="9"/>
      <c r="CP49" s="9"/>
      <c r="CQ49" s="9"/>
      <c r="CR49" s="9"/>
      <c r="CS49" s="9"/>
      <c r="CT49" s="9"/>
      <c r="CU49" s="9"/>
      <c r="CV49" s="9"/>
      <c r="CW49" s="9"/>
      <c r="CX49" s="9"/>
      <c r="CY49" s="9"/>
      <c r="CZ49" s="9"/>
      <c r="DA49" s="9"/>
      <c r="DB49" s="9"/>
      <c r="DC49" s="9"/>
      <c r="DD49" s="9"/>
      <c r="DE49" s="9"/>
      <c r="DF49" s="9"/>
      <c r="DG49" s="9"/>
      <c r="DH49" s="9"/>
      <c r="DI49" s="9"/>
      <c r="DJ49" s="9"/>
      <c r="DK49" s="9"/>
      <c r="DL49" s="9"/>
      <c r="DM49" s="9"/>
      <c r="DN49" s="9"/>
      <c r="DO49" s="9"/>
      <c r="DP49" s="9"/>
      <c r="DQ49" s="9"/>
      <c r="DR49" s="9"/>
      <c r="DS49" s="9"/>
      <c r="DT49" s="9"/>
      <c r="DU49" s="9"/>
      <c r="DV49" s="9"/>
      <c r="DW49" s="9"/>
      <c r="DX49" s="9"/>
      <c r="DY49" s="9"/>
      <c r="DZ49" s="9"/>
      <c r="EA49" s="9"/>
      <c r="EB49" s="9"/>
      <c r="EC49" s="9"/>
      <c r="ED49" s="9"/>
      <c r="EE49" s="9"/>
      <c r="EF49" s="9"/>
      <c r="EG49" s="9"/>
      <c r="EH49" s="9"/>
      <c r="EI49" s="9"/>
      <c r="EJ49" s="9"/>
      <c r="EK49" s="9"/>
      <c r="EL49" s="9"/>
      <c r="EM49" s="9"/>
      <c r="EN49" s="9"/>
      <c r="EO49" s="9"/>
      <c r="EP49" s="9"/>
      <c r="EQ49" s="9"/>
      <c r="ER49" s="9"/>
      <c r="ES49" s="9"/>
      <c r="ET49" s="9"/>
      <c r="EU49" s="9"/>
      <c r="EV49" s="9"/>
      <c r="EW49" s="9"/>
      <c r="EX49" s="9"/>
      <c r="EY49" s="9"/>
      <c r="EZ49" s="9"/>
      <c r="FA49" s="9"/>
      <c r="FB49" s="9"/>
      <c r="FC49" s="9"/>
      <c r="FD49" s="9"/>
      <c r="FE49" s="9"/>
      <c r="FF49" s="9"/>
      <c r="FG49" s="9"/>
      <c r="FH49" s="9"/>
      <c r="FI49" s="9"/>
      <c r="FJ49" s="9"/>
      <c r="FK49" s="9"/>
      <c r="FL49" s="9"/>
      <c r="FM49" s="9"/>
      <c r="FN49" s="9"/>
      <c r="FO49" s="9"/>
      <c r="FP49" s="9"/>
      <c r="FQ49" s="9"/>
      <c r="FR49" s="9"/>
      <c r="FS49" s="9"/>
      <c r="FT49" s="9"/>
      <c r="FU49" s="9"/>
      <c r="FV49" s="9"/>
      <c r="FW49" s="9"/>
      <c r="FX49" s="9"/>
      <c r="FY49" s="9"/>
      <c r="FZ49" s="9"/>
      <c r="GA49" s="9"/>
      <c r="GB49" s="9"/>
      <c r="GC49" s="9"/>
      <c r="GD49" s="9"/>
      <c r="GE49" s="9"/>
      <c r="GF49" s="9"/>
      <c r="GG49" s="9"/>
      <c r="GH49" s="9"/>
      <c r="GI49" s="9"/>
      <c r="GJ49" s="9"/>
      <c r="GK49" s="9"/>
      <c r="GL49" s="9"/>
      <c r="GM49" s="9"/>
      <c r="GN49" s="9"/>
      <c r="GO49" s="9"/>
      <c r="GP49" s="9"/>
      <c r="GQ49" s="9"/>
      <c r="GR49" s="9"/>
      <c r="GS49" s="9"/>
      <c r="GT49" s="9"/>
      <c r="GU49" s="9"/>
      <c r="GV49" s="9"/>
      <c r="GW49" s="9"/>
      <c r="GX49" s="9"/>
      <c r="GY49" s="9"/>
      <c r="GZ49" s="9"/>
      <c r="HA49" s="9"/>
      <c r="HB49" s="9"/>
      <c r="HC49" s="9"/>
      <c r="HD49" s="9"/>
      <c r="HE49" s="9"/>
      <c r="HF49" s="9"/>
      <c r="HG49" s="9"/>
      <c r="HH49" s="9"/>
      <c r="HI49" s="9"/>
      <c r="HJ49" s="9"/>
      <c r="HK49" s="9"/>
      <c r="HL49" s="9"/>
      <c r="HM49" s="9"/>
      <c r="HN49" s="9"/>
      <c r="HO49" s="9"/>
      <c r="HP49" s="9"/>
      <c r="HQ49" s="9"/>
      <c r="HR49" s="9"/>
      <c r="HS49" s="9"/>
      <c r="HT49" s="9"/>
      <c r="HU49" s="9"/>
      <c r="HV49" s="9"/>
      <c r="HW49" s="9"/>
      <c r="HX49" s="9"/>
      <c r="HY49" s="9"/>
      <c r="HZ49" s="9"/>
      <c r="IA49" s="9"/>
      <c r="IB49" s="9"/>
      <c r="IC49" s="9"/>
      <c r="ID49" s="9"/>
      <c r="IE49" s="9"/>
      <c r="IF49" s="9"/>
      <c r="IG49" s="9"/>
      <c r="IH49" s="9"/>
      <c r="II49" s="9"/>
      <c r="IJ49" s="9"/>
      <c r="IK49" s="9"/>
      <c r="IL49" s="9"/>
      <c r="IM49" s="9"/>
      <c r="IN49" s="9"/>
      <c r="IO49" s="9"/>
      <c r="IP49" s="9"/>
      <c r="IQ49" s="9"/>
      <c r="IR49" s="9"/>
      <c r="IS49" s="9"/>
      <c r="IT49" s="9"/>
      <c r="IU49" s="9"/>
      <c r="IV49" s="9"/>
      <c r="IW49" s="9"/>
      <c r="IX49" s="9"/>
      <c r="IY49" s="9"/>
      <c r="IZ49" s="9"/>
      <c r="JA49" s="9"/>
      <c r="JB49" s="9"/>
      <c r="JC49" s="9"/>
      <c r="JD49" s="9"/>
      <c r="JE49" s="9"/>
      <c r="JF49" s="9"/>
      <c r="JG49" s="9"/>
      <c r="JH49" s="9"/>
      <c r="JI49" s="9"/>
      <c r="JJ49" s="9"/>
      <c r="JK49" s="9"/>
      <c r="JL49" s="9"/>
      <c r="JM49" s="9"/>
      <c r="JN49" s="9"/>
      <c r="JO49" s="9"/>
      <c r="JP49" s="9"/>
      <c r="JQ49" s="9"/>
      <c r="JR49" s="9"/>
      <c r="JS49" s="9"/>
      <c r="JT49" s="9"/>
      <c r="JU49" s="9"/>
      <c r="JV49" s="9"/>
      <c r="JW49" s="9"/>
      <c r="JX49" s="9"/>
      <c r="JY49" s="9"/>
      <c r="JZ49" s="9"/>
      <c r="KA49" s="9"/>
      <c r="KB49" s="9"/>
      <c r="KC49" s="9"/>
      <c r="KD49" s="9"/>
      <c r="KE49" s="9"/>
      <c r="KF49" s="9"/>
      <c r="KG49" s="9"/>
      <c r="KH49" s="9"/>
      <c r="KI49" s="9"/>
      <c r="KJ49" s="9"/>
      <c r="KK49" s="9"/>
      <c r="KL49" s="9"/>
      <c r="KM49" s="9"/>
      <c r="KN49" s="9"/>
      <c r="KO49" s="9"/>
      <c r="KP49" s="9"/>
      <c r="KQ49" s="9"/>
      <c r="KR49" s="9"/>
      <c r="KS49" s="9"/>
      <c r="KT49" s="9"/>
      <c r="KU49" s="9"/>
      <c r="KV49" s="9"/>
      <c r="KW49" s="9"/>
      <c r="KX49" s="9"/>
      <c r="KY49" s="9"/>
      <c r="KZ49" s="9"/>
      <c r="LA49" s="9"/>
      <c r="LB49" s="9"/>
      <c r="LC49" s="9"/>
      <c r="LD49" s="9"/>
      <c r="LE49" s="9"/>
      <c r="LF49" s="9"/>
      <c r="LG49" s="9"/>
      <c r="LH49" s="9"/>
      <c r="LI49" s="9"/>
      <c r="LJ49" s="9"/>
      <c r="LK49" s="9"/>
      <c r="LL49" s="9"/>
      <c r="LM49" s="9"/>
      <c r="LN49" s="9"/>
      <c r="LO49" s="9"/>
      <c r="LP49" s="9"/>
      <c r="LQ49" s="9"/>
      <c r="LR49" s="9"/>
      <c r="LS49" s="9"/>
      <c r="LT49" s="9"/>
      <c r="LU49" s="9"/>
      <c r="LV49" s="9"/>
      <c r="LW49" s="9"/>
      <c r="LX49" s="9"/>
      <c r="LY49" s="9"/>
      <c r="LZ49" s="9"/>
      <c r="MA49" s="9"/>
      <c r="MB49" s="9"/>
      <c r="MC49" s="9"/>
      <c r="MD49" s="9"/>
      <c r="ME49" s="9"/>
      <c r="MF49" s="9"/>
      <c r="MG49" s="9"/>
      <c r="MH49" s="9"/>
      <c r="MI49" s="9"/>
      <c r="MJ49" s="9"/>
      <c r="MK49" s="9"/>
    </row>
    <row r="50" spans="1:349" hidden="1" x14ac:dyDescent="0.25">
      <c r="A50" s="9"/>
      <c r="B50" s="9"/>
      <c r="C50" s="9"/>
      <c r="D50" s="9"/>
      <c r="E50" s="9"/>
      <c r="F50" s="9"/>
      <c r="G50" s="9"/>
      <c r="H50" s="9"/>
      <c r="I50" s="9"/>
      <c r="J50" s="9"/>
      <c r="K50" s="9"/>
      <c r="L50" s="9"/>
      <c r="M50" s="9"/>
      <c r="N50" s="9"/>
      <c r="O50" s="9"/>
      <c r="AG50" s="9"/>
      <c r="AH50" s="9"/>
      <c r="AI50" s="9"/>
      <c r="AJ50" s="9"/>
      <c r="AK50" s="9"/>
      <c r="AL50" s="9"/>
      <c r="AM50" s="9"/>
      <c r="AN50" s="9"/>
      <c r="AO50" s="9"/>
      <c r="AP50" s="9"/>
      <c r="AQ50" s="9"/>
      <c r="AR50" s="9"/>
      <c r="AS50" s="9"/>
      <c r="AT50" s="9"/>
      <c r="AU50" s="9"/>
      <c r="AV50" s="9"/>
      <c r="AW50" s="9"/>
      <c r="AX50" s="9"/>
      <c r="AY50" s="9"/>
      <c r="AZ50" s="9"/>
      <c r="BA50" s="9"/>
      <c r="BB50" s="9"/>
      <c r="BC50" s="9"/>
      <c r="BD50" s="9"/>
      <c r="BE50" s="9"/>
      <c r="BF50" s="9"/>
      <c r="BG50" s="9"/>
      <c r="BH50" s="9"/>
      <c r="BI50" s="9"/>
      <c r="BJ50" s="9"/>
      <c r="BK50" s="9"/>
      <c r="BL50" s="9"/>
      <c r="BM50" s="9"/>
      <c r="BN50" s="9"/>
      <c r="BO50" s="9"/>
      <c r="BP50" s="9"/>
      <c r="BQ50" s="9"/>
      <c r="BR50" s="9"/>
      <c r="BS50" s="9"/>
      <c r="BT50" s="9"/>
      <c r="BU50" s="9"/>
      <c r="BV50" s="9"/>
      <c r="BW50" s="9"/>
      <c r="BX50" s="9"/>
      <c r="BY50" s="9"/>
      <c r="BZ50" s="9"/>
      <c r="CA50" s="9"/>
      <c r="CB50" s="9"/>
      <c r="CC50" s="9"/>
      <c r="CD50" s="9"/>
      <c r="CE50" s="9"/>
      <c r="CF50" s="9"/>
      <c r="CG50" s="9"/>
      <c r="CH50" s="9"/>
      <c r="CI50" s="9"/>
      <c r="CJ50" s="9"/>
      <c r="CK50" s="9"/>
      <c r="CL50" s="9"/>
      <c r="CM50" s="9"/>
      <c r="CN50" s="9"/>
      <c r="CO50" s="9"/>
      <c r="CP50" s="9"/>
      <c r="CQ50" s="9"/>
      <c r="CR50" s="9"/>
      <c r="CS50" s="9"/>
      <c r="CT50" s="9"/>
      <c r="CU50" s="9"/>
      <c r="CV50" s="9"/>
      <c r="CW50" s="9"/>
      <c r="CX50" s="9"/>
      <c r="CY50" s="9"/>
      <c r="CZ50" s="9"/>
      <c r="DA50" s="9"/>
      <c r="DB50" s="9"/>
      <c r="DC50" s="9"/>
      <c r="DD50" s="9"/>
      <c r="DE50" s="9"/>
      <c r="DF50" s="9"/>
      <c r="DG50" s="9"/>
      <c r="DH50" s="9"/>
      <c r="DI50" s="9"/>
      <c r="DJ50" s="9"/>
      <c r="DK50" s="9"/>
      <c r="DL50" s="9"/>
      <c r="DM50" s="9"/>
      <c r="DN50" s="9"/>
      <c r="DO50" s="9"/>
      <c r="DP50" s="9"/>
      <c r="DQ50" s="9"/>
      <c r="DR50" s="9"/>
      <c r="DS50" s="9"/>
      <c r="DT50" s="9"/>
      <c r="DU50" s="9"/>
      <c r="DV50" s="9"/>
      <c r="DW50" s="9"/>
      <c r="DX50" s="9"/>
      <c r="DY50" s="9"/>
      <c r="DZ50" s="9"/>
      <c r="EA50" s="9"/>
      <c r="EB50" s="9"/>
      <c r="EC50" s="9"/>
      <c r="ED50" s="9"/>
      <c r="EE50" s="9"/>
      <c r="EF50" s="9"/>
      <c r="EG50" s="9"/>
      <c r="EH50" s="9"/>
      <c r="EI50" s="9"/>
      <c r="EJ50" s="9"/>
      <c r="EK50" s="9"/>
      <c r="EL50" s="9"/>
      <c r="EM50" s="9"/>
      <c r="EN50" s="9"/>
      <c r="EO50" s="9"/>
      <c r="EP50" s="9"/>
      <c r="EQ50" s="9"/>
      <c r="ER50" s="9"/>
      <c r="ES50" s="9"/>
      <c r="ET50" s="9"/>
      <c r="EU50" s="9"/>
      <c r="EV50" s="9"/>
      <c r="EW50" s="9"/>
      <c r="EX50" s="9"/>
      <c r="EY50" s="9"/>
      <c r="EZ50" s="9"/>
      <c r="FA50" s="9"/>
      <c r="FB50" s="9"/>
      <c r="FC50" s="9"/>
      <c r="FD50" s="9"/>
      <c r="FE50" s="9"/>
      <c r="FF50" s="9"/>
      <c r="FG50" s="9"/>
      <c r="FH50" s="9"/>
      <c r="FI50" s="9"/>
      <c r="FJ50" s="9"/>
      <c r="FK50" s="9"/>
      <c r="FL50" s="9"/>
      <c r="FM50" s="9"/>
      <c r="FN50" s="9"/>
      <c r="FO50" s="9"/>
      <c r="FP50" s="9"/>
      <c r="FQ50" s="9"/>
      <c r="FR50" s="9"/>
      <c r="FS50" s="9"/>
      <c r="FT50" s="9"/>
      <c r="FU50" s="9"/>
      <c r="FV50" s="9"/>
      <c r="FW50" s="9"/>
      <c r="FX50" s="9"/>
      <c r="FY50" s="9"/>
      <c r="FZ50" s="9"/>
      <c r="GA50" s="9"/>
      <c r="GB50" s="9"/>
      <c r="GC50" s="9"/>
      <c r="GD50" s="9"/>
      <c r="GE50" s="9"/>
      <c r="GF50" s="9"/>
      <c r="GG50" s="9"/>
      <c r="GH50" s="9"/>
      <c r="GI50" s="9"/>
      <c r="GJ50" s="9"/>
      <c r="GK50" s="9"/>
      <c r="GL50" s="9"/>
      <c r="GM50" s="9"/>
      <c r="GN50" s="9"/>
      <c r="GO50" s="9"/>
      <c r="GP50" s="9"/>
      <c r="GQ50" s="9"/>
      <c r="GR50" s="9"/>
      <c r="GS50" s="9"/>
      <c r="GT50" s="9"/>
      <c r="GU50" s="9"/>
      <c r="GV50" s="9"/>
      <c r="GW50" s="9"/>
      <c r="GX50" s="9"/>
      <c r="GY50" s="9"/>
      <c r="GZ50" s="9"/>
      <c r="HA50" s="9"/>
      <c r="HB50" s="9"/>
      <c r="HC50" s="9"/>
      <c r="HD50" s="9"/>
      <c r="HE50" s="9"/>
      <c r="HF50" s="9"/>
      <c r="HG50" s="9"/>
      <c r="HH50" s="9"/>
      <c r="HI50" s="9"/>
      <c r="HJ50" s="9"/>
      <c r="HK50" s="9"/>
      <c r="HL50" s="9"/>
      <c r="HM50" s="9"/>
      <c r="HN50" s="9"/>
      <c r="HO50" s="9"/>
      <c r="HP50" s="9"/>
      <c r="HQ50" s="9"/>
      <c r="HR50" s="9"/>
      <c r="HS50" s="9"/>
      <c r="HT50" s="9"/>
      <c r="HU50" s="9"/>
      <c r="HV50" s="9"/>
      <c r="HW50" s="9"/>
      <c r="HX50" s="9"/>
      <c r="HY50" s="9"/>
      <c r="HZ50" s="9"/>
      <c r="IA50" s="9"/>
      <c r="IB50" s="9"/>
      <c r="IC50" s="9"/>
      <c r="ID50" s="9"/>
      <c r="IE50" s="9"/>
      <c r="IF50" s="9"/>
      <c r="IG50" s="9"/>
      <c r="IH50" s="9"/>
      <c r="II50" s="9"/>
      <c r="IJ50" s="9"/>
      <c r="IK50" s="9"/>
      <c r="IL50" s="9"/>
      <c r="IM50" s="9"/>
      <c r="IN50" s="9"/>
      <c r="IO50" s="9"/>
      <c r="IP50" s="9"/>
      <c r="IQ50" s="9"/>
      <c r="IR50" s="9"/>
      <c r="IS50" s="9"/>
      <c r="IT50" s="9"/>
      <c r="IU50" s="9"/>
      <c r="IV50" s="9"/>
      <c r="IW50" s="9"/>
      <c r="IX50" s="9"/>
      <c r="IY50" s="9"/>
      <c r="IZ50" s="9"/>
      <c r="JA50" s="9"/>
      <c r="JB50" s="9"/>
      <c r="JC50" s="9"/>
      <c r="JD50" s="9"/>
      <c r="JE50" s="9"/>
      <c r="JF50" s="9"/>
      <c r="JG50" s="9"/>
      <c r="JH50" s="9"/>
      <c r="JI50" s="9"/>
      <c r="JJ50" s="9"/>
      <c r="JK50" s="9"/>
      <c r="JL50" s="9"/>
      <c r="JM50" s="9"/>
      <c r="JN50" s="9"/>
      <c r="JO50" s="9"/>
      <c r="JP50" s="9"/>
      <c r="JQ50" s="9"/>
      <c r="JR50" s="9"/>
      <c r="JS50" s="9"/>
      <c r="JT50" s="9"/>
      <c r="JU50" s="9"/>
      <c r="JV50" s="9"/>
      <c r="JW50" s="9"/>
      <c r="JX50" s="9"/>
      <c r="JY50" s="9"/>
      <c r="JZ50" s="9"/>
      <c r="KA50" s="9"/>
      <c r="KB50" s="9"/>
      <c r="KC50" s="9"/>
      <c r="KD50" s="9"/>
      <c r="KE50" s="9"/>
      <c r="KF50" s="9"/>
      <c r="KG50" s="9"/>
      <c r="KH50" s="9"/>
      <c r="KI50" s="9"/>
      <c r="KJ50" s="9"/>
      <c r="KK50" s="9"/>
      <c r="KL50" s="9"/>
      <c r="KM50" s="9"/>
      <c r="KN50" s="9"/>
      <c r="KO50" s="9"/>
      <c r="KP50" s="9"/>
      <c r="KQ50" s="9"/>
      <c r="KR50" s="9"/>
      <c r="KS50" s="9"/>
      <c r="KT50" s="9"/>
      <c r="KU50" s="9"/>
      <c r="KV50" s="9"/>
      <c r="KW50" s="9"/>
      <c r="KX50" s="9"/>
      <c r="KY50" s="9"/>
      <c r="KZ50" s="9"/>
      <c r="LA50" s="9"/>
      <c r="LB50" s="9"/>
      <c r="LC50" s="9"/>
      <c r="LD50" s="9"/>
      <c r="LE50" s="9"/>
      <c r="LF50" s="9"/>
      <c r="LG50" s="9"/>
      <c r="LH50" s="9"/>
      <c r="LI50" s="9"/>
      <c r="LJ50" s="9"/>
      <c r="LK50" s="9"/>
      <c r="LL50" s="9"/>
      <c r="LM50" s="9"/>
      <c r="LN50" s="9"/>
      <c r="LO50" s="9"/>
      <c r="LP50" s="9"/>
      <c r="LQ50" s="9"/>
      <c r="LR50" s="9"/>
      <c r="LS50" s="9"/>
      <c r="LT50" s="9"/>
      <c r="LU50" s="9"/>
      <c r="LV50" s="9"/>
      <c r="LW50" s="9"/>
      <c r="LX50" s="9"/>
      <c r="LY50" s="9"/>
      <c r="LZ50" s="9"/>
      <c r="MA50" s="9"/>
      <c r="MB50" s="9"/>
      <c r="MC50" s="9"/>
      <c r="MD50" s="9"/>
      <c r="ME50" s="9"/>
      <c r="MF50" s="9"/>
      <c r="MG50" s="9"/>
      <c r="MH50" s="9"/>
      <c r="MI50" s="9"/>
      <c r="MJ50" s="9"/>
      <c r="MK50" s="9"/>
    </row>
    <row r="51" spans="1:349" hidden="1" x14ac:dyDescent="0.25">
      <c r="A51" s="9"/>
      <c r="B51" s="9"/>
      <c r="C51" s="9"/>
      <c r="D51" s="9"/>
      <c r="E51" s="9"/>
      <c r="F51" s="9"/>
      <c r="G51" s="9"/>
      <c r="H51" s="9"/>
      <c r="I51" s="9"/>
      <c r="J51" s="9"/>
      <c r="K51" s="9"/>
      <c r="L51" s="9"/>
      <c r="M51" s="9"/>
      <c r="N51" s="9"/>
      <c r="O51" s="9"/>
      <c r="AG51" s="9"/>
      <c r="AH51" s="9"/>
      <c r="AI51" s="9"/>
      <c r="AJ51" s="9"/>
      <c r="AK51" s="9"/>
      <c r="AL51" s="9"/>
      <c r="AM51" s="9"/>
      <c r="AN51" s="9"/>
      <c r="AO51" s="9"/>
      <c r="AP51" s="9"/>
      <c r="AQ51" s="9"/>
      <c r="AR51" s="9"/>
      <c r="AS51" s="9"/>
      <c r="AT51" s="9"/>
      <c r="AU51" s="9"/>
      <c r="AV51" s="9"/>
      <c r="AW51" s="9"/>
      <c r="AX51" s="9"/>
      <c r="AY51" s="9"/>
      <c r="AZ51" s="9"/>
      <c r="BA51" s="9"/>
      <c r="BB51" s="9"/>
      <c r="BC51" s="9"/>
      <c r="BD51" s="9"/>
      <c r="BE51" s="9"/>
      <c r="BF51" s="9"/>
      <c r="BG51" s="9"/>
      <c r="BH51" s="9"/>
      <c r="BI51" s="9"/>
      <c r="BJ51" s="9"/>
      <c r="BK51" s="9"/>
      <c r="BL51" s="9"/>
      <c r="BM51" s="9"/>
      <c r="BN51" s="9"/>
      <c r="BO51" s="9"/>
      <c r="BP51" s="9"/>
      <c r="BQ51" s="9"/>
      <c r="BR51" s="9"/>
      <c r="BS51" s="9"/>
      <c r="BT51" s="9"/>
      <c r="BU51" s="9"/>
      <c r="BV51" s="9"/>
      <c r="BW51" s="9"/>
      <c r="BX51" s="9"/>
      <c r="BY51" s="9"/>
      <c r="BZ51" s="9"/>
      <c r="CA51" s="9"/>
      <c r="CB51" s="9"/>
      <c r="CC51" s="9"/>
      <c r="CD51" s="9"/>
      <c r="CE51" s="9"/>
      <c r="CF51" s="9"/>
      <c r="CG51" s="9"/>
      <c r="CH51" s="9"/>
      <c r="CI51" s="9"/>
      <c r="CJ51" s="9"/>
      <c r="CK51" s="9"/>
      <c r="CL51" s="9"/>
      <c r="CM51" s="9"/>
      <c r="CN51" s="9"/>
      <c r="CO51" s="9"/>
      <c r="CP51" s="9"/>
      <c r="CQ51" s="9"/>
      <c r="CR51" s="9"/>
      <c r="CS51" s="9"/>
      <c r="CT51" s="9"/>
      <c r="CU51" s="9"/>
      <c r="CV51" s="9"/>
      <c r="CW51" s="9"/>
      <c r="CX51" s="9"/>
      <c r="CY51" s="9"/>
      <c r="CZ51" s="9"/>
      <c r="DA51" s="9"/>
      <c r="DB51" s="9"/>
      <c r="DC51" s="9"/>
      <c r="DD51" s="9"/>
      <c r="DE51" s="9"/>
      <c r="DF51" s="9"/>
      <c r="DG51" s="9"/>
      <c r="DH51" s="9"/>
      <c r="DI51" s="9"/>
      <c r="DJ51" s="9"/>
      <c r="DK51" s="9"/>
      <c r="DL51" s="9"/>
      <c r="DM51" s="9"/>
      <c r="DN51" s="9"/>
      <c r="DO51" s="9"/>
      <c r="DP51" s="9"/>
      <c r="DQ51" s="9"/>
      <c r="DR51" s="9"/>
      <c r="DS51" s="9"/>
      <c r="DT51" s="9"/>
      <c r="DU51" s="9"/>
      <c r="DV51" s="9"/>
      <c r="DW51" s="9"/>
      <c r="DX51" s="9"/>
      <c r="DY51" s="9"/>
      <c r="DZ51" s="9"/>
      <c r="EA51" s="9"/>
      <c r="EB51" s="9"/>
      <c r="EC51" s="9"/>
      <c r="ED51" s="9"/>
      <c r="EE51" s="9"/>
      <c r="EF51" s="9"/>
      <c r="EG51" s="9"/>
      <c r="EH51" s="9"/>
      <c r="EI51" s="9"/>
      <c r="EJ51" s="9"/>
      <c r="EK51" s="9"/>
      <c r="EL51" s="9"/>
      <c r="EM51" s="9"/>
      <c r="EN51" s="9"/>
      <c r="EO51" s="9"/>
      <c r="EP51" s="9"/>
      <c r="EQ51" s="9"/>
      <c r="ER51" s="9"/>
      <c r="ES51" s="9"/>
      <c r="ET51" s="9"/>
      <c r="EU51" s="9"/>
      <c r="EV51" s="9"/>
      <c r="EW51" s="9"/>
      <c r="EX51" s="9"/>
      <c r="EY51" s="9"/>
      <c r="EZ51" s="9"/>
      <c r="FA51" s="9"/>
      <c r="FB51" s="9"/>
      <c r="FC51" s="9"/>
      <c r="FD51" s="9"/>
      <c r="FE51" s="9"/>
      <c r="FF51" s="9"/>
      <c r="FG51" s="9"/>
      <c r="FH51" s="9"/>
      <c r="FI51" s="9"/>
      <c r="FJ51" s="9"/>
      <c r="FK51" s="9"/>
      <c r="FL51" s="9"/>
      <c r="FM51" s="9"/>
      <c r="FN51" s="9"/>
      <c r="FO51" s="9"/>
      <c r="FP51" s="9"/>
      <c r="FQ51" s="9"/>
      <c r="FR51" s="9"/>
      <c r="FS51" s="9"/>
      <c r="FT51" s="9"/>
      <c r="FU51" s="9"/>
      <c r="FV51" s="9"/>
      <c r="FW51" s="9"/>
      <c r="FX51" s="9"/>
      <c r="FY51" s="9"/>
      <c r="FZ51" s="9"/>
      <c r="GA51" s="9"/>
      <c r="GB51" s="9"/>
      <c r="GC51" s="9"/>
      <c r="GD51" s="9"/>
      <c r="GE51" s="9"/>
      <c r="GF51" s="9"/>
      <c r="GG51" s="9"/>
      <c r="GH51" s="9"/>
      <c r="GI51" s="9"/>
      <c r="GJ51" s="9"/>
      <c r="GK51" s="9"/>
      <c r="GL51" s="9"/>
      <c r="GM51" s="9"/>
      <c r="GN51" s="9"/>
      <c r="GO51" s="9"/>
      <c r="GP51" s="9"/>
      <c r="GQ51" s="9"/>
      <c r="GR51" s="9"/>
      <c r="GS51" s="9"/>
      <c r="GT51" s="9"/>
      <c r="GU51" s="9"/>
      <c r="GV51" s="9"/>
      <c r="GW51" s="9"/>
      <c r="GX51" s="9"/>
      <c r="GY51" s="9"/>
      <c r="GZ51" s="9"/>
      <c r="HA51" s="9"/>
      <c r="HB51" s="9"/>
      <c r="HC51" s="9"/>
      <c r="HD51" s="9"/>
      <c r="HE51" s="9"/>
      <c r="HF51" s="9"/>
      <c r="HG51" s="9"/>
      <c r="HH51" s="9"/>
      <c r="HI51" s="9"/>
      <c r="HJ51" s="9"/>
      <c r="HK51" s="9"/>
      <c r="HL51" s="9"/>
      <c r="HM51" s="9"/>
      <c r="HN51" s="9"/>
      <c r="HO51" s="9"/>
      <c r="HP51" s="9"/>
      <c r="HQ51" s="9"/>
      <c r="HR51" s="9"/>
      <c r="HS51" s="9"/>
      <c r="HT51" s="9"/>
      <c r="HU51" s="9"/>
      <c r="HV51" s="9"/>
      <c r="HW51" s="9"/>
      <c r="HX51" s="9"/>
      <c r="HY51" s="9"/>
      <c r="HZ51" s="9"/>
      <c r="IA51" s="9"/>
      <c r="IB51" s="9"/>
      <c r="IC51" s="9"/>
      <c r="ID51" s="9"/>
      <c r="IE51" s="9"/>
      <c r="IF51" s="9"/>
      <c r="IG51" s="9"/>
      <c r="IH51" s="9"/>
      <c r="II51" s="9"/>
      <c r="IJ51" s="9"/>
      <c r="IK51" s="9"/>
      <c r="IL51" s="9"/>
      <c r="IM51" s="9"/>
      <c r="IN51" s="9"/>
      <c r="IO51" s="9"/>
      <c r="IP51" s="9"/>
      <c r="IQ51" s="9"/>
      <c r="IR51" s="9"/>
      <c r="IS51" s="9"/>
      <c r="IT51" s="9"/>
      <c r="IU51" s="9"/>
      <c r="IV51" s="9"/>
      <c r="IW51" s="9"/>
      <c r="IX51" s="9"/>
      <c r="IY51" s="9"/>
      <c r="IZ51" s="9"/>
      <c r="JA51" s="9"/>
      <c r="JB51" s="9"/>
      <c r="JC51" s="9"/>
      <c r="JD51" s="9"/>
      <c r="JE51" s="9"/>
      <c r="JF51" s="9"/>
      <c r="JG51" s="9"/>
      <c r="JH51" s="9"/>
      <c r="JI51" s="9"/>
      <c r="JJ51" s="9"/>
      <c r="JK51" s="9"/>
      <c r="JL51" s="9"/>
      <c r="JM51" s="9"/>
      <c r="JN51" s="9"/>
      <c r="JO51" s="9"/>
      <c r="JP51" s="9"/>
      <c r="JQ51" s="9"/>
      <c r="JR51" s="9"/>
      <c r="JS51" s="9"/>
      <c r="JT51" s="9"/>
      <c r="JU51" s="9"/>
      <c r="JV51" s="9"/>
      <c r="JW51" s="9"/>
      <c r="JX51" s="9"/>
      <c r="JY51" s="9"/>
      <c r="JZ51" s="9"/>
      <c r="KA51" s="9"/>
      <c r="KB51" s="9"/>
      <c r="KC51" s="9"/>
      <c r="KD51" s="9"/>
      <c r="KE51" s="9"/>
      <c r="KF51" s="9"/>
      <c r="KG51" s="9"/>
      <c r="KH51" s="9"/>
      <c r="KI51" s="9"/>
      <c r="KJ51" s="9"/>
      <c r="KK51" s="9"/>
      <c r="KL51" s="9"/>
      <c r="KM51" s="9"/>
      <c r="KN51" s="9"/>
      <c r="KO51" s="9"/>
      <c r="KP51" s="9"/>
      <c r="KQ51" s="9"/>
      <c r="KR51" s="9"/>
      <c r="KS51" s="9"/>
      <c r="KT51" s="9"/>
      <c r="KU51" s="9"/>
      <c r="KV51" s="9"/>
      <c r="KW51" s="9"/>
      <c r="KX51" s="9"/>
      <c r="KY51" s="9"/>
      <c r="KZ51" s="9"/>
      <c r="LA51" s="9"/>
      <c r="LB51" s="9"/>
      <c r="LC51" s="9"/>
      <c r="LD51" s="9"/>
      <c r="LE51" s="9"/>
      <c r="LF51" s="9"/>
      <c r="LG51" s="9"/>
      <c r="LH51" s="9"/>
      <c r="LI51" s="9"/>
      <c r="LJ51" s="9"/>
      <c r="LK51" s="9"/>
      <c r="LL51" s="9"/>
      <c r="LM51" s="9"/>
      <c r="LN51" s="9"/>
      <c r="LO51" s="9"/>
      <c r="LP51" s="9"/>
      <c r="LQ51" s="9"/>
      <c r="LR51" s="9"/>
      <c r="LS51" s="9"/>
      <c r="LT51" s="9"/>
      <c r="LU51" s="9"/>
      <c r="LV51" s="9"/>
      <c r="LW51" s="9"/>
      <c r="LX51" s="9"/>
      <c r="LY51" s="9"/>
      <c r="LZ51" s="9"/>
      <c r="MA51" s="9"/>
      <c r="MB51" s="9"/>
      <c r="MC51" s="9"/>
      <c r="MD51" s="9"/>
      <c r="ME51" s="9"/>
      <c r="MF51" s="9"/>
      <c r="MG51" s="9"/>
      <c r="MH51" s="9"/>
      <c r="MI51" s="9"/>
      <c r="MJ51" s="9"/>
      <c r="MK51" s="9"/>
    </row>
    <row r="52" spans="1:349" hidden="1" x14ac:dyDescent="0.25">
      <c r="A52" s="9"/>
      <c r="B52" s="9"/>
      <c r="C52" s="9"/>
      <c r="D52" s="9"/>
      <c r="E52" s="9"/>
      <c r="F52" s="9"/>
      <c r="G52" s="9"/>
      <c r="H52" s="9"/>
      <c r="I52" s="9"/>
      <c r="J52" s="9"/>
      <c r="K52" s="9"/>
      <c r="L52" s="9"/>
      <c r="M52" s="9"/>
      <c r="N52" s="9"/>
      <c r="O52" s="9"/>
      <c r="AG52" s="9"/>
      <c r="AH52" s="9"/>
      <c r="AI52" s="9"/>
      <c r="AJ52" s="9"/>
      <c r="AK52" s="9"/>
      <c r="AL52" s="9"/>
      <c r="AM52" s="9"/>
      <c r="AN52" s="9"/>
      <c r="AO52" s="9"/>
      <c r="AP52" s="9"/>
      <c r="AQ52" s="9"/>
      <c r="AR52" s="9"/>
      <c r="AS52" s="9"/>
      <c r="AT52" s="9"/>
      <c r="AU52" s="9"/>
      <c r="AV52" s="9"/>
      <c r="AW52" s="9"/>
      <c r="AX52" s="9"/>
      <c r="AY52" s="9"/>
      <c r="AZ52" s="9"/>
      <c r="BA52" s="9"/>
      <c r="BB52" s="9"/>
      <c r="BC52" s="9"/>
      <c r="BD52" s="9"/>
      <c r="BE52" s="9"/>
      <c r="BF52" s="9"/>
      <c r="BG52" s="9"/>
      <c r="BH52" s="9"/>
      <c r="BI52" s="9"/>
      <c r="BJ52" s="9"/>
      <c r="BK52" s="9"/>
      <c r="BL52" s="9"/>
      <c r="BM52" s="9"/>
      <c r="BN52" s="9"/>
      <c r="BO52" s="9"/>
      <c r="BP52" s="9"/>
      <c r="BQ52" s="9"/>
      <c r="BR52" s="9"/>
      <c r="BS52" s="9"/>
      <c r="BT52" s="9"/>
      <c r="BU52" s="9"/>
      <c r="BV52" s="9"/>
      <c r="BW52" s="9"/>
      <c r="BX52" s="9"/>
      <c r="BY52" s="9"/>
      <c r="BZ52" s="9"/>
      <c r="CA52" s="9"/>
      <c r="CB52" s="9"/>
      <c r="CC52" s="9"/>
      <c r="CD52" s="9"/>
      <c r="CE52" s="9"/>
      <c r="CF52" s="9"/>
      <c r="CG52" s="9"/>
      <c r="CH52" s="9"/>
      <c r="CI52" s="9"/>
      <c r="CJ52" s="9"/>
      <c r="CK52" s="9"/>
      <c r="CL52" s="9"/>
      <c r="CM52" s="9"/>
      <c r="CN52" s="9"/>
      <c r="CO52" s="9"/>
      <c r="CP52" s="9"/>
      <c r="CQ52" s="9"/>
      <c r="CR52" s="9"/>
      <c r="CS52" s="9"/>
      <c r="CT52" s="9"/>
      <c r="CU52" s="9"/>
      <c r="CV52" s="9"/>
      <c r="CW52" s="9"/>
      <c r="CX52" s="9"/>
      <c r="CY52" s="9"/>
      <c r="CZ52" s="9"/>
      <c r="DA52" s="9"/>
      <c r="DB52" s="9"/>
      <c r="DC52" s="9"/>
      <c r="DD52" s="9"/>
      <c r="DE52" s="9"/>
      <c r="DF52" s="9"/>
      <c r="DG52" s="9"/>
      <c r="DH52" s="9"/>
      <c r="DI52" s="9"/>
      <c r="DJ52" s="9"/>
      <c r="DK52" s="9"/>
      <c r="DL52" s="9"/>
      <c r="DM52" s="9"/>
      <c r="DN52" s="9"/>
      <c r="DO52" s="9"/>
      <c r="DP52" s="9"/>
      <c r="DQ52" s="9"/>
      <c r="DR52" s="9"/>
      <c r="DS52" s="9"/>
      <c r="DT52" s="9"/>
      <c r="DU52" s="9"/>
      <c r="DV52" s="9"/>
      <c r="DW52" s="9"/>
      <c r="DX52" s="9"/>
      <c r="DY52" s="9"/>
      <c r="DZ52" s="9"/>
      <c r="EA52" s="9"/>
      <c r="EB52" s="9"/>
      <c r="EC52" s="9"/>
      <c r="ED52" s="9"/>
      <c r="EE52" s="9"/>
      <c r="EF52" s="9"/>
      <c r="EG52" s="9"/>
      <c r="EH52" s="9"/>
      <c r="EI52" s="9"/>
      <c r="EJ52" s="9"/>
      <c r="EK52" s="9"/>
      <c r="EL52" s="9"/>
      <c r="EM52" s="9"/>
      <c r="EN52" s="9"/>
      <c r="EO52" s="9"/>
      <c r="EP52" s="9"/>
      <c r="EQ52" s="9"/>
      <c r="ER52" s="9"/>
      <c r="ES52" s="9"/>
      <c r="ET52" s="9"/>
      <c r="EU52" s="9"/>
      <c r="EV52" s="9"/>
      <c r="EW52" s="9"/>
      <c r="EX52" s="9"/>
      <c r="EY52" s="9"/>
      <c r="EZ52" s="9"/>
      <c r="FA52" s="9"/>
      <c r="FB52" s="9"/>
      <c r="FC52" s="9"/>
      <c r="FD52" s="9"/>
      <c r="FE52" s="9"/>
      <c r="FF52" s="9"/>
      <c r="FG52" s="9"/>
      <c r="FH52" s="9"/>
      <c r="FI52" s="9"/>
      <c r="FJ52" s="9"/>
      <c r="FK52" s="9"/>
      <c r="FL52" s="9"/>
      <c r="FM52" s="9"/>
      <c r="FN52" s="9"/>
      <c r="FO52" s="9"/>
      <c r="FP52" s="9"/>
      <c r="FQ52" s="9"/>
      <c r="FR52" s="9"/>
      <c r="FS52" s="9"/>
      <c r="FT52" s="9"/>
      <c r="FU52" s="9"/>
      <c r="FV52" s="9"/>
      <c r="FW52" s="9"/>
      <c r="FX52" s="9"/>
      <c r="FY52" s="9"/>
      <c r="FZ52" s="9"/>
      <c r="GA52" s="9"/>
      <c r="GB52" s="9"/>
      <c r="GC52" s="9"/>
      <c r="GD52" s="9"/>
      <c r="GE52" s="9"/>
      <c r="GF52" s="9"/>
      <c r="GG52" s="9"/>
      <c r="GH52" s="9"/>
      <c r="GI52" s="9"/>
      <c r="GJ52" s="9"/>
      <c r="GK52" s="9"/>
      <c r="GL52" s="9"/>
      <c r="GM52" s="9"/>
      <c r="GN52" s="9"/>
      <c r="GO52" s="9"/>
      <c r="GP52" s="9"/>
      <c r="GQ52" s="9"/>
      <c r="GR52" s="9"/>
      <c r="GS52" s="9"/>
      <c r="GT52" s="9"/>
      <c r="GU52" s="9"/>
      <c r="GV52" s="9"/>
      <c r="GW52" s="9"/>
      <c r="GX52" s="9"/>
      <c r="GY52" s="9"/>
      <c r="GZ52" s="9"/>
      <c r="HA52" s="9"/>
      <c r="HB52" s="9"/>
      <c r="HC52" s="9"/>
      <c r="HD52" s="9"/>
      <c r="HE52" s="9"/>
      <c r="HF52" s="9"/>
      <c r="HG52" s="9"/>
      <c r="HH52" s="9"/>
      <c r="HI52" s="9"/>
      <c r="HJ52" s="9"/>
      <c r="HK52" s="9"/>
      <c r="HL52" s="9"/>
      <c r="HM52" s="9"/>
      <c r="HN52" s="9"/>
      <c r="HO52" s="9"/>
      <c r="HP52" s="9"/>
      <c r="HQ52" s="9"/>
      <c r="HR52" s="9"/>
      <c r="HS52" s="9"/>
      <c r="HT52" s="9"/>
      <c r="HU52" s="9"/>
      <c r="HV52" s="9"/>
      <c r="HW52" s="9"/>
      <c r="HX52" s="9"/>
      <c r="HY52" s="9"/>
      <c r="HZ52" s="9"/>
      <c r="IA52" s="9"/>
      <c r="IB52" s="9"/>
      <c r="IC52" s="9"/>
      <c r="ID52" s="9"/>
      <c r="IE52" s="9"/>
      <c r="IF52" s="9"/>
      <c r="IG52" s="9"/>
      <c r="IH52" s="9"/>
      <c r="II52" s="9"/>
      <c r="IJ52" s="9"/>
      <c r="IK52" s="9"/>
      <c r="IL52" s="9"/>
      <c r="IM52" s="9"/>
      <c r="IN52" s="9"/>
      <c r="IO52" s="9"/>
      <c r="IP52" s="9"/>
      <c r="IQ52" s="9"/>
      <c r="IR52" s="9"/>
      <c r="IS52" s="9"/>
      <c r="IT52" s="9"/>
      <c r="IU52" s="9"/>
      <c r="IV52" s="9"/>
      <c r="IW52" s="9"/>
      <c r="IX52" s="9"/>
      <c r="IY52" s="9"/>
      <c r="IZ52" s="9"/>
      <c r="JA52" s="9"/>
      <c r="JB52" s="9"/>
      <c r="JC52" s="9"/>
      <c r="JD52" s="9"/>
      <c r="JE52" s="9"/>
      <c r="JF52" s="9"/>
      <c r="JG52" s="9"/>
      <c r="JH52" s="9"/>
      <c r="JI52" s="9"/>
      <c r="JJ52" s="9"/>
      <c r="JK52" s="9"/>
      <c r="JL52" s="9"/>
      <c r="JM52" s="9"/>
      <c r="JN52" s="9"/>
      <c r="JO52" s="9"/>
      <c r="JP52" s="9"/>
      <c r="JQ52" s="9"/>
      <c r="JR52" s="9"/>
      <c r="JS52" s="9"/>
      <c r="JT52" s="9"/>
      <c r="JU52" s="9"/>
      <c r="JV52" s="9"/>
      <c r="JW52" s="9"/>
      <c r="JX52" s="9"/>
      <c r="JY52" s="9"/>
      <c r="JZ52" s="9"/>
      <c r="KA52" s="9"/>
      <c r="KB52" s="9"/>
      <c r="KC52" s="9"/>
      <c r="KD52" s="9"/>
      <c r="KE52" s="9"/>
      <c r="KF52" s="9"/>
      <c r="KG52" s="9"/>
      <c r="KH52" s="9"/>
      <c r="KI52" s="9"/>
      <c r="KJ52" s="9"/>
      <c r="KK52" s="9"/>
      <c r="KL52" s="9"/>
      <c r="KM52" s="9"/>
      <c r="KN52" s="9"/>
      <c r="KO52" s="9"/>
      <c r="KP52" s="9"/>
      <c r="KQ52" s="9"/>
      <c r="KR52" s="9"/>
      <c r="KS52" s="9"/>
      <c r="KT52" s="9"/>
      <c r="KU52" s="9"/>
      <c r="KV52" s="9"/>
      <c r="KW52" s="9"/>
      <c r="KX52" s="9"/>
      <c r="KY52" s="9"/>
      <c r="KZ52" s="9"/>
      <c r="LA52" s="9"/>
      <c r="LB52" s="9"/>
      <c r="LC52" s="9"/>
      <c r="LD52" s="9"/>
      <c r="LE52" s="9"/>
      <c r="LF52" s="9"/>
      <c r="LG52" s="9"/>
      <c r="LH52" s="9"/>
      <c r="LI52" s="9"/>
      <c r="LJ52" s="9"/>
      <c r="LK52" s="9"/>
      <c r="LL52" s="9"/>
      <c r="LM52" s="9"/>
      <c r="LN52" s="9"/>
      <c r="LO52" s="9"/>
      <c r="LP52" s="9"/>
      <c r="LQ52" s="9"/>
      <c r="LR52" s="9"/>
      <c r="LS52" s="9"/>
      <c r="LT52" s="9"/>
      <c r="LU52" s="9"/>
      <c r="LV52" s="9"/>
      <c r="LW52" s="9"/>
      <c r="LX52" s="9"/>
      <c r="LY52" s="9"/>
      <c r="LZ52" s="9"/>
      <c r="MA52" s="9"/>
      <c r="MB52" s="9"/>
      <c r="MC52" s="9"/>
      <c r="MD52" s="9"/>
      <c r="ME52" s="9"/>
      <c r="MF52" s="9"/>
      <c r="MG52" s="9"/>
      <c r="MH52" s="9"/>
      <c r="MI52" s="9"/>
      <c r="MJ52" s="9"/>
      <c r="MK52" s="9"/>
    </row>
    <row r="53" spans="1:349" hidden="1" x14ac:dyDescent="0.25">
      <c r="A53" s="9"/>
      <c r="B53" s="9"/>
      <c r="C53" s="9"/>
      <c r="D53" s="9"/>
      <c r="E53" s="9"/>
      <c r="F53" s="9"/>
      <c r="G53" s="9"/>
      <c r="H53" s="9"/>
      <c r="I53" s="9"/>
      <c r="J53" s="9"/>
      <c r="K53" s="9"/>
      <c r="L53" s="9"/>
      <c r="M53" s="9"/>
      <c r="N53" s="9"/>
      <c r="O53" s="9"/>
      <c r="AG53" s="9"/>
      <c r="AH53" s="9"/>
      <c r="AI53" s="9"/>
      <c r="AJ53" s="9"/>
      <c r="AK53" s="9"/>
      <c r="AL53" s="9"/>
      <c r="AM53" s="9"/>
      <c r="AN53" s="9"/>
      <c r="AO53" s="9"/>
      <c r="AP53" s="9"/>
      <c r="AQ53" s="9"/>
      <c r="AR53" s="9"/>
      <c r="AS53" s="9"/>
      <c r="AT53" s="9"/>
      <c r="AU53" s="9"/>
      <c r="AV53" s="9"/>
      <c r="AW53" s="9"/>
      <c r="AX53" s="9"/>
      <c r="AY53" s="9"/>
      <c r="AZ53" s="9"/>
      <c r="BA53" s="9"/>
      <c r="BB53" s="9"/>
      <c r="BC53" s="9"/>
      <c r="BD53" s="9"/>
      <c r="BE53" s="9"/>
      <c r="BF53" s="9"/>
      <c r="BG53" s="9"/>
      <c r="BH53" s="9"/>
      <c r="BI53" s="9"/>
      <c r="BJ53" s="9"/>
      <c r="BK53" s="9"/>
      <c r="BL53" s="9"/>
      <c r="BM53" s="9"/>
      <c r="BN53" s="9"/>
      <c r="BO53" s="9"/>
      <c r="BP53" s="9"/>
      <c r="BQ53" s="9"/>
      <c r="BR53" s="9"/>
      <c r="BS53" s="9"/>
      <c r="BT53" s="9"/>
      <c r="BU53" s="9"/>
      <c r="BV53" s="9"/>
      <c r="BW53" s="9"/>
      <c r="BX53" s="9"/>
      <c r="BY53" s="9"/>
      <c r="BZ53" s="9"/>
      <c r="CA53" s="9"/>
      <c r="CB53" s="9"/>
      <c r="CC53" s="9"/>
      <c r="CD53" s="9"/>
      <c r="CE53" s="9"/>
      <c r="CF53" s="9"/>
      <c r="CG53" s="9"/>
      <c r="CH53" s="9"/>
      <c r="CI53" s="9"/>
      <c r="CJ53" s="9"/>
      <c r="CK53" s="9"/>
      <c r="CL53" s="9"/>
      <c r="CM53" s="9"/>
      <c r="CN53" s="9"/>
      <c r="CO53" s="9"/>
      <c r="CP53" s="9"/>
      <c r="CQ53" s="9"/>
      <c r="CR53" s="9"/>
      <c r="CS53" s="9"/>
      <c r="CT53" s="9"/>
      <c r="CU53" s="9"/>
      <c r="CV53" s="9"/>
      <c r="CW53" s="9"/>
      <c r="CX53" s="9"/>
      <c r="CY53" s="9"/>
      <c r="CZ53" s="9"/>
      <c r="DA53" s="9"/>
      <c r="DB53" s="9"/>
      <c r="DC53" s="9"/>
      <c r="DD53" s="9"/>
      <c r="DE53" s="9"/>
      <c r="DF53" s="9"/>
      <c r="DG53" s="9"/>
      <c r="DH53" s="9"/>
      <c r="DI53" s="9"/>
      <c r="DJ53" s="9"/>
      <c r="DK53" s="9"/>
      <c r="DL53" s="9"/>
      <c r="DM53" s="9"/>
      <c r="DN53" s="9"/>
      <c r="DO53" s="9"/>
      <c r="DP53" s="9"/>
      <c r="DQ53" s="9"/>
      <c r="DR53" s="9"/>
      <c r="DS53" s="9"/>
      <c r="DT53" s="9"/>
      <c r="DU53" s="9"/>
      <c r="DV53" s="9"/>
      <c r="DW53" s="9"/>
      <c r="DX53" s="9"/>
      <c r="DY53" s="9"/>
      <c r="DZ53" s="9"/>
      <c r="EA53" s="9"/>
      <c r="EB53" s="9"/>
      <c r="EC53" s="9"/>
      <c r="ED53" s="9"/>
      <c r="EE53" s="9"/>
      <c r="EF53" s="9"/>
      <c r="EG53" s="9"/>
      <c r="EH53" s="9"/>
      <c r="EI53" s="9"/>
      <c r="EJ53" s="9"/>
      <c r="EK53" s="9"/>
      <c r="EL53" s="9"/>
      <c r="EM53" s="9"/>
      <c r="EN53" s="9"/>
      <c r="EO53" s="9"/>
      <c r="EP53" s="9"/>
      <c r="EQ53" s="9"/>
      <c r="ER53" s="9"/>
      <c r="ES53" s="9"/>
      <c r="ET53" s="9"/>
      <c r="EU53" s="9"/>
      <c r="EV53" s="9"/>
      <c r="EW53" s="9"/>
      <c r="EX53" s="9"/>
      <c r="EY53" s="9"/>
      <c r="EZ53" s="9"/>
      <c r="FA53" s="9"/>
      <c r="FB53" s="9"/>
      <c r="FC53" s="9"/>
      <c r="FD53" s="9"/>
      <c r="FE53" s="9"/>
      <c r="FF53" s="9"/>
      <c r="FG53" s="9"/>
      <c r="FH53" s="9"/>
      <c r="FI53" s="9"/>
      <c r="FJ53" s="9"/>
      <c r="FK53" s="9"/>
      <c r="FL53" s="9"/>
      <c r="FM53" s="9"/>
      <c r="FN53" s="9"/>
      <c r="FO53" s="9"/>
      <c r="FP53" s="9"/>
      <c r="FQ53" s="9"/>
      <c r="FR53" s="9"/>
      <c r="FS53" s="9"/>
      <c r="FT53" s="9"/>
      <c r="FU53" s="9"/>
      <c r="FV53" s="9"/>
      <c r="FW53" s="9"/>
      <c r="FX53" s="9"/>
      <c r="FY53" s="9"/>
      <c r="FZ53" s="9"/>
      <c r="GA53" s="9"/>
      <c r="GB53" s="9"/>
      <c r="GC53" s="9"/>
      <c r="GD53" s="9"/>
      <c r="GE53" s="9"/>
      <c r="GF53" s="9"/>
      <c r="GG53" s="9"/>
      <c r="GH53" s="9"/>
      <c r="GI53" s="9"/>
      <c r="GJ53" s="9"/>
      <c r="GK53" s="9"/>
      <c r="GL53" s="9"/>
      <c r="GM53" s="9"/>
      <c r="GN53" s="9"/>
      <c r="GO53" s="9"/>
      <c r="GP53" s="9"/>
      <c r="GQ53" s="9"/>
      <c r="GR53" s="9"/>
      <c r="GS53" s="9"/>
      <c r="GT53" s="9"/>
      <c r="GU53" s="9"/>
      <c r="GV53" s="9"/>
      <c r="GW53" s="9"/>
      <c r="GX53" s="9"/>
      <c r="GY53" s="9"/>
      <c r="GZ53" s="9"/>
      <c r="HA53" s="9"/>
      <c r="HB53" s="9"/>
      <c r="HC53" s="9"/>
      <c r="HD53" s="9"/>
      <c r="HE53" s="9"/>
      <c r="HF53" s="9"/>
      <c r="HG53" s="9"/>
      <c r="HH53" s="9"/>
      <c r="HI53" s="9"/>
      <c r="HJ53" s="9"/>
      <c r="HK53" s="9"/>
      <c r="HL53" s="9"/>
      <c r="HM53" s="9"/>
      <c r="HN53" s="9"/>
      <c r="HO53" s="9"/>
      <c r="HP53" s="9"/>
      <c r="HQ53" s="9"/>
      <c r="HR53" s="9"/>
      <c r="HS53" s="9"/>
      <c r="HT53" s="9"/>
      <c r="HU53" s="9"/>
      <c r="HV53" s="9"/>
      <c r="HW53" s="9"/>
      <c r="HX53" s="9"/>
      <c r="HY53" s="9"/>
      <c r="HZ53" s="9"/>
      <c r="IA53" s="9"/>
      <c r="IB53" s="9"/>
      <c r="IC53" s="9"/>
      <c r="ID53" s="9"/>
      <c r="IE53" s="9"/>
      <c r="IF53" s="9"/>
      <c r="IG53" s="9"/>
      <c r="IH53" s="9"/>
      <c r="II53" s="9"/>
      <c r="IJ53" s="9"/>
      <c r="IK53" s="9"/>
      <c r="IL53" s="9"/>
      <c r="IM53" s="9"/>
      <c r="IN53" s="9"/>
      <c r="IO53" s="9"/>
      <c r="IP53" s="9"/>
      <c r="IQ53" s="9"/>
      <c r="IR53" s="9"/>
      <c r="IS53" s="9"/>
      <c r="IT53" s="9"/>
      <c r="IU53" s="9"/>
      <c r="IV53" s="9"/>
      <c r="IW53" s="9"/>
      <c r="IX53" s="9"/>
      <c r="IY53" s="9"/>
      <c r="IZ53" s="9"/>
      <c r="JA53" s="9"/>
      <c r="JB53" s="9"/>
      <c r="JC53" s="9"/>
      <c r="JD53" s="9"/>
      <c r="JE53" s="9"/>
      <c r="JF53" s="9"/>
      <c r="JG53" s="9"/>
      <c r="JH53" s="9"/>
      <c r="JI53" s="9"/>
      <c r="JJ53" s="9"/>
      <c r="JK53" s="9"/>
      <c r="JL53" s="9"/>
      <c r="JM53" s="9"/>
      <c r="JN53" s="9"/>
      <c r="JO53" s="9"/>
      <c r="JP53" s="9"/>
      <c r="JQ53" s="9"/>
      <c r="JR53" s="9"/>
      <c r="JS53" s="9"/>
      <c r="JT53" s="9"/>
      <c r="JU53" s="9"/>
      <c r="JV53" s="9"/>
      <c r="JW53" s="9"/>
      <c r="JX53" s="9"/>
      <c r="JY53" s="9"/>
      <c r="JZ53" s="9"/>
      <c r="KA53" s="9"/>
      <c r="KB53" s="9"/>
      <c r="KC53" s="9"/>
      <c r="KD53" s="9"/>
      <c r="KE53" s="9"/>
      <c r="KF53" s="9"/>
      <c r="KG53" s="9"/>
      <c r="KH53" s="9"/>
      <c r="KI53" s="9"/>
      <c r="KJ53" s="9"/>
      <c r="KK53" s="9"/>
      <c r="KL53" s="9"/>
      <c r="KM53" s="9"/>
      <c r="KN53" s="9"/>
      <c r="KO53" s="9"/>
      <c r="KP53" s="9"/>
      <c r="KQ53" s="9"/>
      <c r="KR53" s="9"/>
      <c r="KS53" s="9"/>
      <c r="KT53" s="9"/>
      <c r="KU53" s="9"/>
      <c r="KV53" s="9"/>
      <c r="KW53" s="9"/>
      <c r="KX53" s="9"/>
      <c r="KY53" s="9"/>
      <c r="KZ53" s="9"/>
      <c r="LA53" s="9"/>
      <c r="LB53" s="9"/>
      <c r="LC53" s="9"/>
      <c r="LD53" s="9"/>
      <c r="LE53" s="9"/>
      <c r="LF53" s="9"/>
      <c r="LG53" s="9"/>
      <c r="LH53" s="9"/>
      <c r="LI53" s="9"/>
      <c r="LJ53" s="9"/>
      <c r="LK53" s="9"/>
      <c r="LL53" s="9"/>
      <c r="LM53" s="9"/>
      <c r="LN53" s="9"/>
      <c r="LO53" s="9"/>
      <c r="LP53" s="9"/>
      <c r="LQ53" s="9"/>
      <c r="LR53" s="9"/>
      <c r="LS53" s="9"/>
      <c r="LT53" s="9"/>
      <c r="LU53" s="9"/>
      <c r="LV53" s="9"/>
      <c r="LW53" s="9"/>
      <c r="LX53" s="9"/>
      <c r="LY53" s="9"/>
      <c r="LZ53" s="9"/>
      <c r="MA53" s="9"/>
      <c r="MB53" s="9"/>
      <c r="MC53" s="9"/>
      <c r="MD53" s="9"/>
      <c r="ME53" s="9"/>
      <c r="MF53" s="9"/>
      <c r="MG53" s="9"/>
      <c r="MH53" s="9"/>
      <c r="MI53" s="9"/>
      <c r="MJ53" s="9"/>
      <c r="MK53" s="9"/>
    </row>
    <row r="54" spans="1:349" hidden="1" x14ac:dyDescent="0.25">
      <c r="A54" s="9"/>
      <c r="B54" s="9"/>
      <c r="C54" s="9"/>
      <c r="D54" s="9"/>
      <c r="E54" s="9"/>
      <c r="F54" s="9"/>
      <c r="G54" s="9"/>
      <c r="H54" s="9"/>
      <c r="I54" s="9"/>
      <c r="J54" s="9"/>
      <c r="K54" s="9"/>
      <c r="L54" s="9"/>
      <c r="M54" s="9"/>
      <c r="N54" s="9"/>
      <c r="O54" s="9"/>
      <c r="AG54" s="9"/>
      <c r="AH54" s="9"/>
      <c r="AI54" s="9"/>
      <c r="AJ54" s="9"/>
      <c r="AK54" s="9"/>
      <c r="AL54" s="9"/>
      <c r="AM54" s="9"/>
      <c r="AN54" s="9"/>
      <c r="AO54" s="9"/>
      <c r="AP54" s="9"/>
      <c r="AQ54" s="9"/>
      <c r="AR54" s="9"/>
      <c r="AS54" s="9"/>
      <c r="AT54" s="9"/>
      <c r="AU54" s="9"/>
      <c r="AV54" s="9"/>
      <c r="AW54" s="9"/>
      <c r="AX54" s="9"/>
      <c r="AY54" s="9"/>
      <c r="AZ54" s="9"/>
      <c r="BA54" s="9"/>
      <c r="BB54" s="9"/>
      <c r="BC54" s="9"/>
      <c r="BD54" s="9"/>
      <c r="BE54" s="9"/>
      <c r="BF54" s="9"/>
      <c r="BG54" s="9"/>
      <c r="BH54" s="9"/>
      <c r="BI54" s="9"/>
      <c r="BJ54" s="9"/>
      <c r="BK54" s="9"/>
      <c r="BL54" s="9"/>
      <c r="BM54" s="9"/>
      <c r="BN54" s="9"/>
      <c r="BO54" s="9"/>
      <c r="BP54" s="9"/>
      <c r="BQ54" s="9"/>
      <c r="BR54" s="9"/>
      <c r="BS54" s="9"/>
      <c r="BT54" s="9"/>
      <c r="BU54" s="9"/>
      <c r="BV54" s="9"/>
      <c r="BW54" s="9"/>
      <c r="BX54" s="9"/>
      <c r="BY54" s="9"/>
      <c r="BZ54" s="9"/>
      <c r="CA54" s="9"/>
      <c r="CB54" s="9"/>
      <c r="CC54" s="9"/>
      <c r="CD54" s="9"/>
      <c r="CE54" s="9"/>
      <c r="CF54" s="9"/>
      <c r="CG54" s="9"/>
      <c r="CH54" s="9"/>
      <c r="CI54" s="9"/>
      <c r="CJ54" s="9"/>
      <c r="CK54" s="9"/>
      <c r="CL54" s="9"/>
      <c r="CM54" s="9"/>
      <c r="CN54" s="9"/>
      <c r="CO54" s="9"/>
      <c r="CP54" s="9"/>
      <c r="CQ54" s="9"/>
      <c r="CR54" s="9"/>
      <c r="CS54" s="9"/>
      <c r="CT54" s="9"/>
      <c r="CU54" s="9"/>
      <c r="CV54" s="9"/>
      <c r="CW54" s="9"/>
      <c r="CX54" s="9"/>
      <c r="CY54" s="9"/>
      <c r="CZ54" s="9"/>
      <c r="DA54" s="9"/>
      <c r="DB54" s="9"/>
      <c r="DC54" s="9"/>
      <c r="DD54" s="9"/>
      <c r="DE54" s="9"/>
      <c r="DF54" s="9"/>
      <c r="DG54" s="9"/>
      <c r="DH54" s="9"/>
      <c r="DI54" s="9"/>
      <c r="DJ54" s="9"/>
      <c r="DK54" s="9"/>
      <c r="DL54" s="9"/>
      <c r="DM54" s="9"/>
      <c r="DN54" s="9"/>
      <c r="DO54" s="9"/>
      <c r="DP54" s="9"/>
      <c r="DQ54" s="9"/>
      <c r="DR54" s="9"/>
      <c r="DS54" s="9"/>
      <c r="DT54" s="9"/>
      <c r="DU54" s="9"/>
      <c r="DV54" s="9"/>
      <c r="DW54" s="9"/>
      <c r="DX54" s="9"/>
      <c r="DY54" s="9"/>
      <c r="DZ54" s="9"/>
      <c r="EA54" s="9"/>
      <c r="EB54" s="9"/>
      <c r="EC54" s="9"/>
      <c r="ED54" s="9"/>
      <c r="EE54" s="9"/>
      <c r="EF54" s="9"/>
      <c r="EG54" s="9"/>
      <c r="EH54" s="9"/>
      <c r="EI54" s="9"/>
      <c r="EJ54" s="9"/>
      <c r="EK54" s="9"/>
      <c r="EL54" s="9"/>
      <c r="EM54" s="9"/>
      <c r="EN54" s="9"/>
      <c r="EO54" s="9"/>
      <c r="EP54" s="9"/>
      <c r="EQ54" s="9"/>
      <c r="ER54" s="9"/>
      <c r="ES54" s="9"/>
      <c r="ET54" s="9"/>
      <c r="EU54" s="9"/>
      <c r="EV54" s="9"/>
      <c r="EW54" s="9"/>
      <c r="EX54" s="9"/>
      <c r="EY54" s="9"/>
      <c r="EZ54" s="9"/>
      <c r="FA54" s="9"/>
      <c r="FB54" s="9"/>
      <c r="FC54" s="9"/>
      <c r="FD54" s="9"/>
      <c r="FE54" s="9"/>
      <c r="FF54" s="9"/>
      <c r="FG54" s="9"/>
      <c r="FH54" s="9"/>
      <c r="FI54" s="9"/>
      <c r="FJ54" s="9"/>
      <c r="FK54" s="9"/>
      <c r="FL54" s="9"/>
      <c r="FM54" s="9"/>
      <c r="FN54" s="9"/>
      <c r="FO54" s="9"/>
      <c r="FP54" s="9"/>
      <c r="FQ54" s="9"/>
      <c r="FR54" s="9"/>
      <c r="FS54" s="9"/>
      <c r="FT54" s="9"/>
      <c r="FU54" s="9"/>
      <c r="FV54" s="9"/>
      <c r="FW54" s="9"/>
      <c r="FX54" s="9"/>
      <c r="FY54" s="9"/>
      <c r="FZ54" s="9"/>
      <c r="GA54" s="9"/>
      <c r="GB54" s="9"/>
      <c r="GC54" s="9"/>
      <c r="GD54" s="9"/>
      <c r="GE54" s="9"/>
      <c r="GF54" s="9"/>
      <c r="GG54" s="9"/>
      <c r="GH54" s="9"/>
      <c r="GI54" s="9"/>
      <c r="GJ54" s="9"/>
      <c r="GK54" s="9"/>
      <c r="GL54" s="9"/>
      <c r="GM54" s="9"/>
      <c r="GN54" s="9"/>
      <c r="GO54" s="9"/>
      <c r="GP54" s="9"/>
      <c r="GQ54" s="9"/>
      <c r="GR54" s="9"/>
      <c r="GS54" s="9"/>
      <c r="GT54" s="9"/>
      <c r="GU54" s="9"/>
      <c r="GV54" s="9"/>
      <c r="GW54" s="9"/>
      <c r="GX54" s="9"/>
      <c r="GY54" s="9"/>
      <c r="GZ54" s="9"/>
      <c r="HA54" s="9"/>
      <c r="HB54" s="9"/>
      <c r="HC54" s="9"/>
      <c r="HD54" s="9"/>
      <c r="HE54" s="9"/>
      <c r="HF54" s="9"/>
      <c r="HG54" s="9"/>
      <c r="HH54" s="9"/>
      <c r="HI54" s="9"/>
      <c r="HJ54" s="9"/>
      <c r="HK54" s="9"/>
      <c r="HL54" s="9"/>
      <c r="HM54" s="9"/>
      <c r="HN54" s="9"/>
      <c r="HO54" s="9"/>
      <c r="HP54" s="9"/>
      <c r="HQ54" s="9"/>
      <c r="HR54" s="9"/>
      <c r="HS54" s="9"/>
      <c r="HT54" s="9"/>
      <c r="HU54" s="9"/>
      <c r="HV54" s="9"/>
      <c r="HW54" s="9"/>
      <c r="HX54" s="9"/>
      <c r="HY54" s="9"/>
      <c r="HZ54" s="9"/>
      <c r="IA54" s="9"/>
      <c r="IB54" s="9"/>
      <c r="IC54" s="9"/>
      <c r="ID54" s="9"/>
      <c r="IE54" s="9"/>
      <c r="IF54" s="9"/>
      <c r="IG54" s="9"/>
      <c r="IH54" s="9"/>
      <c r="II54" s="9"/>
      <c r="IJ54" s="9"/>
      <c r="IK54" s="9"/>
      <c r="IL54" s="9"/>
      <c r="IM54" s="9"/>
      <c r="IN54" s="9"/>
      <c r="IO54" s="9"/>
      <c r="IP54" s="9"/>
      <c r="IQ54" s="9"/>
      <c r="IR54" s="9"/>
      <c r="IS54" s="9"/>
      <c r="IT54" s="9"/>
      <c r="IU54" s="9"/>
      <c r="IV54" s="9"/>
      <c r="IW54" s="9"/>
      <c r="IX54" s="9"/>
      <c r="IY54" s="9"/>
      <c r="IZ54" s="9"/>
      <c r="JA54" s="9"/>
      <c r="JB54" s="9"/>
      <c r="JC54" s="9"/>
      <c r="JD54" s="9"/>
      <c r="JE54" s="9"/>
      <c r="JF54" s="9"/>
      <c r="JG54" s="9"/>
      <c r="JH54" s="9"/>
      <c r="JI54" s="9"/>
      <c r="JJ54" s="9"/>
      <c r="JK54" s="9"/>
      <c r="JL54" s="9"/>
      <c r="JM54" s="9"/>
      <c r="JN54" s="9"/>
      <c r="JO54" s="9"/>
      <c r="JP54" s="9"/>
      <c r="JQ54" s="9"/>
      <c r="JR54" s="9"/>
      <c r="JS54" s="9"/>
      <c r="JT54" s="9"/>
      <c r="JU54" s="9"/>
      <c r="JV54" s="9"/>
      <c r="JW54" s="9"/>
      <c r="JX54" s="9"/>
      <c r="JY54" s="9"/>
      <c r="JZ54" s="9"/>
      <c r="KA54" s="9"/>
      <c r="KB54" s="9"/>
      <c r="KC54" s="9"/>
      <c r="KD54" s="9"/>
      <c r="KE54" s="9"/>
      <c r="KF54" s="9"/>
      <c r="KG54" s="9"/>
      <c r="KH54" s="9"/>
      <c r="KI54" s="9"/>
      <c r="KJ54" s="9"/>
      <c r="KK54" s="9"/>
      <c r="KL54" s="9"/>
      <c r="KM54" s="9"/>
      <c r="KN54" s="9"/>
      <c r="KO54" s="9"/>
      <c r="KP54" s="9"/>
      <c r="KQ54" s="9"/>
      <c r="KR54" s="9"/>
      <c r="KS54" s="9"/>
      <c r="KT54" s="9"/>
      <c r="KU54" s="9"/>
      <c r="KV54" s="9"/>
      <c r="KW54" s="9"/>
      <c r="KX54" s="9"/>
      <c r="KY54" s="9"/>
      <c r="KZ54" s="9"/>
      <c r="LA54" s="9"/>
      <c r="LB54" s="9"/>
      <c r="LC54" s="9"/>
      <c r="LD54" s="9"/>
      <c r="LE54" s="9"/>
      <c r="LF54" s="9"/>
      <c r="LG54" s="9"/>
      <c r="LH54" s="9"/>
      <c r="LI54" s="9"/>
      <c r="LJ54" s="9"/>
      <c r="LK54" s="9"/>
      <c r="LL54" s="9"/>
      <c r="LM54" s="9"/>
      <c r="LN54" s="9"/>
      <c r="LO54" s="9"/>
      <c r="LP54" s="9"/>
      <c r="LQ54" s="9"/>
      <c r="LR54" s="9"/>
      <c r="LS54" s="9"/>
      <c r="LT54" s="9"/>
      <c r="LU54" s="9"/>
      <c r="LV54" s="9"/>
      <c r="LW54" s="9"/>
      <c r="LX54" s="9"/>
      <c r="LY54" s="9"/>
      <c r="LZ54" s="9"/>
      <c r="MA54" s="9"/>
      <c r="MB54" s="9"/>
      <c r="MC54" s="9"/>
      <c r="MD54" s="9"/>
      <c r="ME54" s="9"/>
      <c r="MF54" s="9"/>
      <c r="MG54" s="9"/>
      <c r="MH54" s="9"/>
      <c r="MI54" s="9"/>
      <c r="MJ54" s="9"/>
      <c r="MK54" s="9"/>
    </row>
    <row r="55" spans="1:349" hidden="1" x14ac:dyDescent="0.25">
      <c r="A55" s="9"/>
      <c r="B55" s="9"/>
      <c r="C55" s="9"/>
      <c r="D55" s="9"/>
      <c r="E55" s="9"/>
      <c r="F55" s="9"/>
      <c r="G55" s="9"/>
      <c r="H55" s="9"/>
      <c r="I55" s="9"/>
      <c r="J55" s="9"/>
      <c r="K55" s="9"/>
      <c r="L55" s="9"/>
      <c r="M55" s="9"/>
      <c r="N55" s="9"/>
      <c r="O55" s="9"/>
      <c r="AG55" s="9"/>
      <c r="AH55" s="9"/>
      <c r="AI55" s="9"/>
      <c r="AJ55" s="9"/>
      <c r="AK55" s="9"/>
      <c r="AL55" s="9"/>
      <c r="AM55" s="9"/>
      <c r="AN55" s="9"/>
      <c r="AO55" s="9"/>
      <c r="AP55" s="9"/>
      <c r="AQ55" s="9"/>
      <c r="AR55" s="9"/>
      <c r="AS55" s="9"/>
      <c r="AT55" s="9"/>
      <c r="AU55" s="9"/>
      <c r="AV55" s="9"/>
      <c r="AW55" s="9"/>
      <c r="AX55" s="9"/>
      <c r="AY55" s="9"/>
      <c r="AZ55" s="9"/>
      <c r="BA55" s="9"/>
      <c r="BB55" s="9"/>
      <c r="BC55" s="9"/>
      <c r="BD55" s="9"/>
      <c r="BE55" s="9"/>
      <c r="BF55" s="9"/>
      <c r="BG55" s="9"/>
      <c r="BH55" s="9"/>
      <c r="BI55" s="9"/>
      <c r="BJ55" s="9"/>
      <c r="BK55" s="9"/>
      <c r="BL55" s="9"/>
      <c r="BM55" s="9"/>
      <c r="BN55" s="9"/>
      <c r="BO55" s="9"/>
      <c r="BP55" s="9"/>
      <c r="BQ55" s="9"/>
      <c r="BR55" s="9"/>
      <c r="BS55" s="9"/>
      <c r="BT55" s="9"/>
      <c r="BU55" s="9"/>
      <c r="BV55" s="9"/>
      <c r="BW55" s="9"/>
      <c r="BX55" s="9"/>
      <c r="BY55" s="9"/>
      <c r="BZ55" s="9"/>
      <c r="CA55" s="9"/>
      <c r="CB55" s="9"/>
      <c r="CC55" s="9"/>
      <c r="CD55" s="9"/>
      <c r="CE55" s="9"/>
      <c r="CF55" s="9"/>
      <c r="CG55" s="9"/>
      <c r="CH55" s="9"/>
      <c r="CI55" s="9"/>
      <c r="CJ55" s="9"/>
      <c r="CK55" s="9"/>
      <c r="CL55" s="9"/>
      <c r="CM55" s="9"/>
      <c r="CN55" s="9"/>
      <c r="CO55" s="9"/>
      <c r="CP55" s="9"/>
      <c r="CQ55" s="9"/>
      <c r="CR55" s="9"/>
      <c r="CS55" s="9"/>
      <c r="CT55" s="9"/>
      <c r="CU55" s="9"/>
      <c r="CV55" s="9"/>
      <c r="CW55" s="9"/>
      <c r="CX55" s="9"/>
      <c r="CY55" s="9"/>
      <c r="CZ55" s="9"/>
      <c r="DA55" s="9"/>
      <c r="DB55" s="9"/>
      <c r="DC55" s="9"/>
      <c r="DD55" s="9"/>
      <c r="DE55" s="9"/>
      <c r="DF55" s="9"/>
      <c r="DG55" s="9"/>
      <c r="DH55" s="9"/>
      <c r="DI55" s="9"/>
      <c r="DJ55" s="9"/>
      <c r="DK55" s="9"/>
      <c r="DL55" s="9"/>
      <c r="DM55" s="9"/>
      <c r="DN55" s="9"/>
      <c r="DO55" s="9"/>
      <c r="DP55" s="9"/>
      <c r="DQ55" s="9"/>
      <c r="DR55" s="9"/>
      <c r="DS55" s="9"/>
      <c r="DT55" s="9"/>
      <c r="DU55" s="9"/>
      <c r="DV55" s="9"/>
      <c r="DW55" s="9"/>
      <c r="DX55" s="9"/>
      <c r="DY55" s="9"/>
      <c r="DZ55" s="9"/>
      <c r="EA55" s="9"/>
      <c r="EB55" s="9"/>
      <c r="EC55" s="9"/>
      <c r="ED55" s="9"/>
      <c r="EE55" s="9"/>
      <c r="EF55" s="9"/>
      <c r="EG55" s="9"/>
      <c r="EH55" s="9"/>
      <c r="EI55" s="9"/>
      <c r="EJ55" s="9"/>
      <c r="EK55" s="9"/>
      <c r="EL55" s="9"/>
      <c r="EM55" s="9"/>
      <c r="EN55" s="9"/>
      <c r="EO55" s="9"/>
      <c r="EP55" s="9"/>
      <c r="EQ55" s="9"/>
      <c r="ER55" s="9"/>
      <c r="ES55" s="9"/>
      <c r="ET55" s="9"/>
      <c r="EU55" s="9"/>
      <c r="EV55" s="9"/>
      <c r="EW55" s="9"/>
      <c r="EX55" s="9"/>
      <c r="EY55" s="9"/>
      <c r="EZ55" s="9"/>
      <c r="FA55" s="9"/>
      <c r="FB55" s="9"/>
      <c r="FC55" s="9"/>
      <c r="FD55" s="9"/>
      <c r="FE55" s="9"/>
      <c r="FF55" s="9"/>
      <c r="FG55" s="9"/>
      <c r="FH55" s="9"/>
      <c r="FI55" s="9"/>
      <c r="FJ55" s="9"/>
      <c r="FK55" s="9"/>
      <c r="FL55" s="9"/>
      <c r="FM55" s="9"/>
      <c r="FN55" s="9"/>
      <c r="FO55" s="9"/>
      <c r="FP55" s="9"/>
      <c r="FQ55" s="9"/>
      <c r="FR55" s="9"/>
      <c r="FS55" s="9"/>
      <c r="FT55" s="9"/>
      <c r="FU55" s="9"/>
      <c r="FV55" s="9"/>
      <c r="FW55" s="9"/>
      <c r="FX55" s="9"/>
      <c r="FY55" s="9"/>
      <c r="FZ55" s="9"/>
      <c r="GA55" s="9"/>
      <c r="GB55" s="9"/>
      <c r="GC55" s="9"/>
      <c r="GD55" s="9"/>
      <c r="GE55" s="9"/>
      <c r="GF55" s="9"/>
      <c r="GG55" s="9"/>
      <c r="GH55" s="9"/>
      <c r="GI55" s="9"/>
      <c r="GJ55" s="9"/>
      <c r="GK55" s="9"/>
      <c r="GL55" s="9"/>
      <c r="GM55" s="9"/>
      <c r="GN55" s="9"/>
      <c r="GO55" s="9"/>
      <c r="GP55" s="9"/>
      <c r="GQ55" s="9"/>
      <c r="GR55" s="9"/>
      <c r="GS55" s="9"/>
      <c r="GT55" s="9"/>
      <c r="GU55" s="9"/>
      <c r="GV55" s="9"/>
      <c r="GW55" s="9"/>
      <c r="GX55" s="9"/>
      <c r="GY55" s="9"/>
      <c r="GZ55" s="9"/>
      <c r="HA55" s="9"/>
      <c r="HB55" s="9"/>
      <c r="HC55" s="9"/>
      <c r="HD55" s="9"/>
      <c r="HE55" s="9"/>
      <c r="HF55" s="9"/>
      <c r="HG55" s="9"/>
      <c r="HH55" s="9"/>
      <c r="HI55" s="9"/>
      <c r="HJ55" s="9"/>
      <c r="HK55" s="9"/>
      <c r="HL55" s="9"/>
      <c r="HM55" s="9"/>
      <c r="HN55" s="9"/>
      <c r="HO55" s="9"/>
      <c r="HP55" s="9"/>
      <c r="HQ55" s="9"/>
      <c r="HR55" s="9"/>
      <c r="HS55" s="9"/>
      <c r="HT55" s="9"/>
      <c r="HU55" s="9"/>
      <c r="HV55" s="9"/>
      <c r="HW55" s="9"/>
      <c r="HX55" s="9"/>
      <c r="HY55" s="9"/>
      <c r="HZ55" s="9"/>
      <c r="IA55" s="9"/>
      <c r="IB55" s="9"/>
      <c r="IC55" s="9"/>
      <c r="ID55" s="9"/>
      <c r="IE55" s="9"/>
      <c r="IF55" s="9"/>
      <c r="IG55" s="9"/>
      <c r="IH55" s="9"/>
      <c r="II55" s="9"/>
      <c r="IJ55" s="9"/>
      <c r="IK55" s="9"/>
      <c r="IL55" s="9"/>
      <c r="IM55" s="9"/>
      <c r="IN55" s="9"/>
      <c r="IO55" s="9"/>
      <c r="IP55" s="9"/>
      <c r="IQ55" s="9"/>
      <c r="IR55" s="9"/>
      <c r="IS55" s="9"/>
      <c r="IT55" s="9"/>
      <c r="IU55" s="9"/>
      <c r="IV55" s="9"/>
      <c r="IW55" s="9"/>
      <c r="IX55" s="9"/>
      <c r="IY55" s="9"/>
      <c r="IZ55" s="9"/>
      <c r="JA55" s="9"/>
      <c r="JB55" s="9"/>
      <c r="JC55" s="9"/>
      <c r="JD55" s="9"/>
      <c r="JE55" s="9"/>
      <c r="JF55" s="9"/>
      <c r="JG55" s="9"/>
      <c r="JH55" s="9"/>
      <c r="JI55" s="9"/>
      <c r="JJ55" s="9"/>
      <c r="JK55" s="9"/>
      <c r="JL55" s="9"/>
      <c r="JM55" s="9"/>
      <c r="JN55" s="9"/>
      <c r="JO55" s="9"/>
      <c r="JP55" s="9"/>
      <c r="JQ55" s="9"/>
      <c r="JR55" s="9"/>
      <c r="JS55" s="9"/>
      <c r="JT55" s="9"/>
      <c r="JU55" s="9"/>
      <c r="JV55" s="9"/>
      <c r="JW55" s="9"/>
      <c r="JX55" s="9"/>
      <c r="JY55" s="9"/>
      <c r="JZ55" s="9"/>
      <c r="KA55" s="9"/>
      <c r="KB55" s="9"/>
      <c r="KC55" s="9"/>
      <c r="KD55" s="9"/>
      <c r="KE55" s="9"/>
      <c r="KF55" s="9"/>
      <c r="KG55" s="9"/>
      <c r="KH55" s="9"/>
      <c r="KI55" s="9"/>
      <c r="KJ55" s="9"/>
      <c r="KK55" s="9"/>
      <c r="KL55" s="9"/>
      <c r="KM55" s="9"/>
      <c r="KN55" s="9"/>
      <c r="KO55" s="9"/>
      <c r="KP55" s="9"/>
      <c r="KQ55" s="9"/>
      <c r="KR55" s="9"/>
      <c r="KS55" s="9"/>
      <c r="KT55" s="9"/>
      <c r="KU55" s="9"/>
      <c r="KV55" s="9"/>
      <c r="KW55" s="9"/>
      <c r="KX55" s="9"/>
      <c r="KY55" s="9"/>
      <c r="KZ55" s="9"/>
      <c r="LA55" s="9"/>
      <c r="LB55" s="9"/>
      <c r="LC55" s="9"/>
      <c r="LD55" s="9"/>
      <c r="LE55" s="9"/>
      <c r="LF55" s="9"/>
      <c r="LG55" s="9"/>
      <c r="LH55" s="9"/>
      <c r="LI55" s="9"/>
      <c r="LJ55" s="9"/>
      <c r="LK55" s="9"/>
      <c r="LL55" s="9"/>
      <c r="LM55" s="9"/>
      <c r="LN55" s="9"/>
      <c r="LO55" s="9"/>
      <c r="LP55" s="9"/>
      <c r="LQ55" s="9"/>
      <c r="LR55" s="9"/>
      <c r="LS55" s="9"/>
      <c r="LT55" s="9"/>
      <c r="LU55" s="9"/>
      <c r="LV55" s="9"/>
      <c r="LW55" s="9"/>
      <c r="LX55" s="9"/>
      <c r="LY55" s="9"/>
      <c r="LZ55" s="9"/>
      <c r="MA55" s="9"/>
      <c r="MB55" s="9"/>
      <c r="MC55" s="9"/>
      <c r="MD55" s="9"/>
      <c r="ME55" s="9"/>
      <c r="MF55" s="9"/>
      <c r="MG55" s="9"/>
      <c r="MH55" s="9"/>
      <c r="MI55" s="9"/>
      <c r="MJ55" s="9"/>
      <c r="MK55" s="9"/>
    </row>
    <row r="56" spans="1:349" hidden="1" x14ac:dyDescent="0.25">
      <c r="A56" s="9"/>
      <c r="B56" s="9"/>
      <c r="C56" s="9"/>
      <c r="D56" s="9"/>
      <c r="E56" s="9"/>
      <c r="F56" s="9"/>
      <c r="G56" s="9"/>
      <c r="H56" s="9"/>
      <c r="I56" s="9"/>
      <c r="J56" s="9"/>
      <c r="K56" s="9"/>
      <c r="L56" s="9"/>
      <c r="M56" s="9"/>
      <c r="N56" s="9"/>
      <c r="O56" s="9"/>
      <c r="AG56" s="9"/>
      <c r="AH56" s="9"/>
      <c r="AI56" s="9"/>
      <c r="AJ56" s="9"/>
      <c r="AK56" s="9"/>
      <c r="AL56" s="9"/>
      <c r="AM56" s="9"/>
      <c r="AN56" s="9"/>
      <c r="AO56" s="9"/>
      <c r="AP56" s="9"/>
      <c r="AQ56" s="9"/>
      <c r="AR56" s="9"/>
      <c r="AS56" s="9"/>
      <c r="AT56" s="9"/>
      <c r="AU56" s="9"/>
      <c r="AV56" s="9"/>
      <c r="AW56" s="9"/>
      <c r="AX56" s="9"/>
      <c r="AY56" s="9"/>
      <c r="AZ56" s="9"/>
      <c r="BA56" s="9"/>
      <c r="BB56" s="9"/>
      <c r="BC56" s="9"/>
      <c r="BD56" s="9"/>
      <c r="BE56" s="9"/>
      <c r="BF56" s="9"/>
      <c r="BG56" s="9"/>
      <c r="BH56" s="9"/>
      <c r="BI56" s="9"/>
      <c r="BJ56" s="9"/>
      <c r="BK56" s="9"/>
      <c r="BL56" s="9"/>
      <c r="BM56" s="9"/>
      <c r="BN56" s="9"/>
      <c r="BO56" s="9"/>
      <c r="BP56" s="9"/>
      <c r="BQ56" s="9"/>
      <c r="BR56" s="9"/>
      <c r="BS56" s="9"/>
      <c r="BT56" s="9"/>
      <c r="BU56" s="9"/>
      <c r="BV56" s="9"/>
      <c r="BW56" s="9"/>
      <c r="BX56" s="9"/>
      <c r="BY56" s="9"/>
      <c r="BZ56" s="9"/>
      <c r="CA56" s="9"/>
      <c r="CB56" s="9"/>
      <c r="CC56" s="9"/>
      <c r="CD56" s="9"/>
      <c r="CE56" s="9"/>
      <c r="CF56" s="9"/>
      <c r="CG56" s="9"/>
      <c r="CH56" s="9"/>
      <c r="CI56" s="9"/>
      <c r="CJ56" s="9"/>
      <c r="CK56" s="9"/>
      <c r="CL56" s="9"/>
      <c r="CM56" s="9"/>
      <c r="CN56" s="9"/>
      <c r="CO56" s="9"/>
      <c r="CP56" s="9"/>
      <c r="CQ56" s="9"/>
      <c r="CR56" s="9"/>
      <c r="CS56" s="9"/>
      <c r="CT56" s="9"/>
      <c r="CU56" s="9"/>
      <c r="CV56" s="9"/>
      <c r="CW56" s="9"/>
      <c r="CX56" s="9"/>
      <c r="CY56" s="9"/>
      <c r="CZ56" s="9"/>
      <c r="DA56" s="9"/>
      <c r="DB56" s="9"/>
      <c r="DC56" s="9"/>
      <c r="DD56" s="9"/>
      <c r="DE56" s="9"/>
      <c r="DF56" s="9"/>
      <c r="DG56" s="9"/>
      <c r="DH56" s="9"/>
      <c r="DI56" s="9"/>
      <c r="DJ56" s="9"/>
      <c r="DK56" s="9"/>
      <c r="DL56" s="9"/>
      <c r="DM56" s="9"/>
      <c r="DN56" s="9"/>
      <c r="DO56" s="9"/>
      <c r="DP56" s="9"/>
      <c r="DQ56" s="9"/>
      <c r="DR56" s="9"/>
      <c r="DS56" s="9"/>
      <c r="DT56" s="9"/>
      <c r="DU56" s="9"/>
      <c r="DV56" s="9"/>
      <c r="DW56" s="9"/>
      <c r="DX56" s="9"/>
      <c r="DY56" s="9"/>
      <c r="DZ56" s="9"/>
      <c r="EA56" s="9"/>
      <c r="EB56" s="9"/>
      <c r="EC56" s="9"/>
      <c r="ED56" s="9"/>
      <c r="EE56" s="9"/>
      <c r="EF56" s="9"/>
      <c r="EG56" s="9"/>
      <c r="EH56" s="9"/>
      <c r="EI56" s="9"/>
      <c r="EJ56" s="9"/>
      <c r="EK56" s="9"/>
      <c r="EL56" s="9"/>
      <c r="EM56" s="9"/>
      <c r="EN56" s="9"/>
      <c r="EO56" s="9"/>
      <c r="EP56" s="9"/>
      <c r="EQ56" s="9"/>
      <c r="ER56" s="9"/>
      <c r="ES56" s="9"/>
      <c r="ET56" s="9"/>
      <c r="EU56" s="9"/>
      <c r="EV56" s="9"/>
      <c r="EW56" s="9"/>
      <c r="EX56" s="9"/>
      <c r="EY56" s="9"/>
      <c r="EZ56" s="9"/>
      <c r="FA56" s="9"/>
      <c r="FB56" s="9"/>
      <c r="FC56" s="9"/>
      <c r="FD56" s="9"/>
      <c r="FE56" s="9"/>
      <c r="FF56" s="9"/>
      <c r="FG56" s="9"/>
      <c r="FH56" s="9"/>
      <c r="FI56" s="9"/>
      <c r="FJ56" s="9"/>
      <c r="FK56" s="9"/>
      <c r="FL56" s="9"/>
      <c r="FM56" s="9"/>
      <c r="FN56" s="9"/>
      <c r="FO56" s="9"/>
      <c r="FP56" s="9"/>
      <c r="FQ56" s="9"/>
      <c r="FR56" s="9"/>
      <c r="FS56" s="9"/>
      <c r="FT56" s="9"/>
      <c r="FU56" s="9"/>
      <c r="FV56" s="9"/>
      <c r="FW56" s="9"/>
      <c r="FX56" s="9"/>
      <c r="FY56" s="9"/>
      <c r="FZ56" s="9"/>
      <c r="GA56" s="9"/>
      <c r="GB56" s="9"/>
      <c r="GC56" s="9"/>
      <c r="GD56" s="9"/>
      <c r="GE56" s="9"/>
      <c r="GF56" s="9"/>
      <c r="GG56" s="9"/>
      <c r="GH56" s="9"/>
      <c r="GI56" s="9"/>
      <c r="GJ56" s="9"/>
      <c r="GK56" s="9"/>
      <c r="GL56" s="9"/>
      <c r="GM56" s="9"/>
      <c r="GN56" s="9"/>
      <c r="GO56" s="9"/>
      <c r="GP56" s="9"/>
      <c r="GQ56" s="9"/>
      <c r="GR56" s="9"/>
      <c r="GS56" s="9"/>
      <c r="GT56" s="9"/>
      <c r="GU56" s="9"/>
      <c r="GV56" s="9"/>
      <c r="GW56" s="9"/>
      <c r="GX56" s="9"/>
      <c r="GY56" s="9"/>
      <c r="GZ56" s="9"/>
      <c r="HA56" s="9"/>
      <c r="HB56" s="9"/>
      <c r="HC56" s="9"/>
      <c r="HD56" s="9"/>
      <c r="HE56" s="9"/>
      <c r="HF56" s="9"/>
      <c r="HG56" s="9"/>
      <c r="HH56" s="9"/>
      <c r="HI56" s="9"/>
      <c r="HJ56" s="9"/>
      <c r="HK56" s="9"/>
      <c r="HL56" s="9"/>
      <c r="HM56" s="9"/>
      <c r="HN56" s="9"/>
      <c r="HO56" s="9"/>
      <c r="HP56" s="9"/>
      <c r="HQ56" s="9"/>
      <c r="HR56" s="9"/>
      <c r="HS56" s="9"/>
      <c r="HT56" s="9"/>
      <c r="HU56" s="9"/>
      <c r="HV56" s="9"/>
      <c r="HW56" s="9"/>
      <c r="HX56" s="9"/>
      <c r="HY56" s="9"/>
      <c r="HZ56" s="9"/>
      <c r="IA56" s="9"/>
      <c r="IB56" s="9"/>
      <c r="IC56" s="9"/>
      <c r="ID56" s="9"/>
      <c r="IE56" s="9"/>
      <c r="IF56" s="9"/>
      <c r="IG56" s="9"/>
      <c r="IH56" s="9"/>
      <c r="II56" s="9"/>
      <c r="IJ56" s="9"/>
      <c r="IK56" s="9"/>
      <c r="IL56" s="9"/>
      <c r="IM56" s="9"/>
      <c r="IN56" s="9"/>
      <c r="IO56" s="9"/>
      <c r="IP56" s="9"/>
      <c r="IQ56" s="9"/>
      <c r="IR56" s="9"/>
      <c r="IS56" s="9"/>
      <c r="IT56" s="9"/>
      <c r="IU56" s="9"/>
      <c r="IV56" s="9"/>
      <c r="IW56" s="9"/>
      <c r="IX56" s="9"/>
      <c r="IY56" s="9"/>
      <c r="IZ56" s="9"/>
      <c r="JA56" s="9"/>
      <c r="JB56" s="9"/>
      <c r="JC56" s="9"/>
      <c r="JD56" s="9"/>
      <c r="JE56" s="9"/>
      <c r="JF56" s="9"/>
      <c r="JG56" s="9"/>
      <c r="JH56" s="9"/>
      <c r="JI56" s="9"/>
      <c r="JJ56" s="9"/>
      <c r="JK56" s="9"/>
      <c r="JL56" s="9"/>
      <c r="JM56" s="9"/>
      <c r="JN56" s="9"/>
      <c r="JO56" s="9"/>
      <c r="JP56" s="9"/>
      <c r="JQ56" s="9"/>
      <c r="JR56" s="9"/>
      <c r="JS56" s="9"/>
      <c r="JT56" s="9"/>
      <c r="JU56" s="9"/>
      <c r="JV56" s="9"/>
      <c r="JW56" s="9"/>
      <c r="JX56" s="9"/>
      <c r="JY56" s="9"/>
      <c r="JZ56" s="9"/>
      <c r="KA56" s="9"/>
      <c r="KB56" s="9"/>
      <c r="KC56" s="9"/>
      <c r="KD56" s="9"/>
      <c r="KE56" s="9"/>
      <c r="KF56" s="9"/>
      <c r="KG56" s="9"/>
      <c r="KH56" s="9"/>
      <c r="KI56" s="9"/>
      <c r="KJ56" s="9"/>
      <c r="KK56" s="9"/>
      <c r="KL56" s="9"/>
      <c r="KM56" s="9"/>
      <c r="KN56" s="9"/>
      <c r="KO56" s="9"/>
      <c r="KP56" s="9"/>
      <c r="KQ56" s="9"/>
      <c r="KR56" s="9"/>
      <c r="KS56" s="9"/>
      <c r="KT56" s="9"/>
      <c r="KU56" s="9"/>
      <c r="KV56" s="9"/>
      <c r="KW56" s="9"/>
      <c r="KX56" s="9"/>
      <c r="KY56" s="9"/>
      <c r="KZ56" s="9"/>
      <c r="LA56" s="9"/>
      <c r="LB56" s="9"/>
      <c r="LC56" s="9"/>
      <c r="LD56" s="9"/>
      <c r="LE56" s="9"/>
      <c r="LF56" s="9"/>
      <c r="LG56" s="9"/>
      <c r="LH56" s="9"/>
      <c r="LI56" s="9"/>
      <c r="LJ56" s="9"/>
      <c r="LK56" s="9"/>
      <c r="LL56" s="9"/>
      <c r="LM56" s="9"/>
      <c r="LN56" s="9"/>
      <c r="LO56" s="9"/>
      <c r="LP56" s="9"/>
      <c r="LQ56" s="9"/>
      <c r="LR56" s="9"/>
      <c r="LS56" s="9"/>
      <c r="LT56" s="9"/>
      <c r="LU56" s="9"/>
      <c r="LV56" s="9"/>
      <c r="LW56" s="9"/>
      <c r="LX56" s="9"/>
      <c r="LY56" s="9"/>
      <c r="LZ56" s="9"/>
      <c r="MA56" s="9"/>
      <c r="MB56" s="9"/>
      <c r="MC56" s="9"/>
      <c r="MD56" s="9"/>
      <c r="ME56" s="9"/>
      <c r="MF56" s="9"/>
      <c r="MG56" s="9"/>
      <c r="MH56" s="9"/>
      <c r="MI56" s="9"/>
      <c r="MJ56" s="9"/>
      <c r="MK56" s="9"/>
    </row>
    <row r="57" spans="1:349" hidden="1" x14ac:dyDescent="0.25">
      <c r="A57" s="9"/>
      <c r="B57" s="9"/>
      <c r="C57" s="9"/>
      <c r="D57" s="9"/>
      <c r="E57" s="9"/>
      <c r="F57" s="9"/>
      <c r="G57" s="9"/>
      <c r="H57" s="9"/>
      <c r="I57" s="9"/>
      <c r="J57" s="9"/>
      <c r="K57" s="9"/>
      <c r="L57" s="9"/>
      <c r="M57" s="9"/>
      <c r="N57" s="9"/>
      <c r="O57" s="9"/>
      <c r="AG57" s="9"/>
      <c r="AH57" s="9"/>
      <c r="AI57" s="9"/>
      <c r="AJ57" s="9"/>
      <c r="AK57" s="9"/>
      <c r="AL57" s="9"/>
      <c r="AM57" s="9"/>
      <c r="AN57" s="9"/>
      <c r="AO57" s="9"/>
      <c r="AP57" s="9"/>
      <c r="AQ57" s="9"/>
      <c r="AR57" s="9"/>
      <c r="AS57" s="9"/>
      <c r="AT57" s="9"/>
      <c r="AU57" s="9"/>
      <c r="AV57" s="9"/>
      <c r="AW57" s="9"/>
      <c r="AX57" s="9"/>
      <c r="AY57" s="9"/>
      <c r="AZ57" s="9"/>
      <c r="BA57" s="9"/>
      <c r="BB57" s="9"/>
      <c r="BC57" s="9"/>
      <c r="BD57" s="9"/>
      <c r="BE57" s="9"/>
      <c r="BF57" s="9"/>
      <c r="BG57" s="9"/>
      <c r="BH57" s="9"/>
      <c r="BI57" s="9"/>
      <c r="BJ57" s="9"/>
      <c r="BK57" s="9"/>
      <c r="BL57" s="9"/>
      <c r="BM57" s="9"/>
      <c r="BN57" s="9"/>
      <c r="BO57" s="9"/>
      <c r="BP57" s="9"/>
      <c r="BQ57" s="9"/>
      <c r="BR57" s="9"/>
      <c r="BS57" s="9"/>
      <c r="BT57" s="9"/>
      <c r="BU57" s="9"/>
      <c r="BV57" s="9"/>
      <c r="BW57" s="9"/>
      <c r="BX57" s="9"/>
      <c r="BY57" s="9"/>
      <c r="BZ57" s="9"/>
      <c r="CA57" s="9"/>
      <c r="CB57" s="9"/>
      <c r="CC57" s="9"/>
      <c r="CD57" s="9"/>
      <c r="CE57" s="9"/>
      <c r="CF57" s="9"/>
      <c r="CG57" s="9"/>
      <c r="CH57" s="9"/>
      <c r="CI57" s="9"/>
      <c r="CJ57" s="9"/>
      <c r="CK57" s="9"/>
      <c r="CL57" s="9"/>
      <c r="CM57" s="9"/>
      <c r="CN57" s="9"/>
      <c r="CO57" s="9"/>
      <c r="CP57" s="9"/>
      <c r="CQ57" s="9"/>
      <c r="CR57" s="9"/>
      <c r="CS57" s="9"/>
      <c r="CT57" s="9"/>
      <c r="CU57" s="9"/>
      <c r="CV57" s="9"/>
      <c r="CW57" s="9"/>
      <c r="CX57" s="9"/>
      <c r="CY57" s="9"/>
      <c r="CZ57" s="9"/>
      <c r="DA57" s="9"/>
      <c r="DB57" s="9"/>
      <c r="DC57" s="9"/>
      <c r="DD57" s="9"/>
      <c r="DE57" s="9"/>
      <c r="DF57" s="9"/>
      <c r="DG57" s="9"/>
      <c r="DH57" s="9"/>
      <c r="DI57" s="9"/>
      <c r="DJ57" s="9"/>
      <c r="DK57" s="9"/>
      <c r="DL57" s="9"/>
      <c r="DM57" s="9"/>
      <c r="DN57" s="9"/>
      <c r="DO57" s="9"/>
      <c r="DP57" s="9"/>
      <c r="DQ57" s="9"/>
      <c r="DR57" s="9"/>
      <c r="DS57" s="9"/>
      <c r="DT57" s="9"/>
      <c r="DU57" s="9"/>
      <c r="DV57" s="9"/>
      <c r="DW57" s="9"/>
      <c r="DX57" s="9"/>
      <c r="DY57" s="9"/>
      <c r="DZ57" s="9"/>
      <c r="EA57" s="9"/>
      <c r="EB57" s="9"/>
      <c r="EC57" s="9"/>
      <c r="ED57" s="9"/>
      <c r="EE57" s="9"/>
      <c r="EF57" s="9"/>
      <c r="EG57" s="9"/>
      <c r="EH57" s="9"/>
      <c r="EI57" s="9"/>
      <c r="EJ57" s="9"/>
      <c r="EK57" s="9"/>
      <c r="EL57" s="9"/>
      <c r="EM57" s="9"/>
      <c r="EN57" s="9"/>
      <c r="EO57" s="9"/>
      <c r="EP57" s="9"/>
      <c r="EQ57" s="9"/>
      <c r="ER57" s="9"/>
      <c r="ES57" s="9"/>
      <c r="ET57" s="9"/>
      <c r="EU57" s="9"/>
      <c r="EV57" s="9"/>
      <c r="EW57" s="9"/>
      <c r="EX57" s="9"/>
      <c r="EY57" s="9"/>
      <c r="EZ57" s="9"/>
      <c r="FA57" s="9"/>
      <c r="FB57" s="9"/>
      <c r="FC57" s="9"/>
      <c r="FD57" s="9"/>
      <c r="FE57" s="9"/>
      <c r="FF57" s="9"/>
      <c r="FG57" s="9"/>
      <c r="FH57" s="9"/>
      <c r="FI57" s="9"/>
      <c r="FJ57" s="9"/>
      <c r="FK57" s="9"/>
      <c r="FL57" s="9"/>
      <c r="FM57" s="9"/>
      <c r="FN57" s="9"/>
      <c r="FO57" s="9"/>
      <c r="FP57" s="9"/>
      <c r="FQ57" s="9"/>
      <c r="FR57" s="9"/>
      <c r="FS57" s="9"/>
      <c r="FT57" s="9"/>
      <c r="FU57" s="9"/>
      <c r="FV57" s="9"/>
      <c r="FW57" s="9"/>
      <c r="FX57" s="9"/>
      <c r="FY57" s="9"/>
      <c r="FZ57" s="9"/>
      <c r="GA57" s="9"/>
      <c r="GB57" s="9"/>
      <c r="GC57" s="9"/>
      <c r="GD57" s="9"/>
      <c r="GE57" s="9"/>
      <c r="GF57" s="9"/>
      <c r="GG57" s="9"/>
      <c r="GH57" s="9"/>
      <c r="GI57" s="9"/>
      <c r="GJ57" s="9"/>
      <c r="GK57" s="9"/>
      <c r="GL57" s="9"/>
      <c r="GM57" s="9"/>
      <c r="GN57" s="9"/>
      <c r="GO57" s="9"/>
      <c r="GP57" s="9"/>
      <c r="GQ57" s="9"/>
      <c r="GR57" s="9"/>
      <c r="GS57" s="9"/>
      <c r="GT57" s="9"/>
      <c r="GU57" s="9"/>
      <c r="GV57" s="9"/>
      <c r="GW57" s="9"/>
      <c r="GX57" s="9"/>
      <c r="GY57" s="9"/>
      <c r="GZ57" s="9"/>
      <c r="HA57" s="9"/>
      <c r="HB57" s="9"/>
      <c r="HC57" s="9"/>
      <c r="HD57" s="9"/>
      <c r="HE57" s="9"/>
      <c r="HF57" s="9"/>
      <c r="HG57" s="9"/>
      <c r="HH57" s="9"/>
      <c r="HI57" s="9"/>
      <c r="HJ57" s="9"/>
      <c r="HK57" s="9"/>
      <c r="HL57" s="9"/>
      <c r="HM57" s="9"/>
      <c r="HN57" s="9"/>
      <c r="HO57" s="9"/>
      <c r="HP57" s="9"/>
      <c r="HQ57" s="9"/>
      <c r="HR57" s="9"/>
      <c r="HS57" s="9"/>
      <c r="HT57" s="9"/>
      <c r="HU57" s="9"/>
      <c r="HV57" s="9"/>
      <c r="HW57" s="9"/>
      <c r="HX57" s="9"/>
      <c r="HY57" s="9"/>
      <c r="HZ57" s="9"/>
      <c r="IA57" s="9"/>
      <c r="IB57" s="9"/>
      <c r="IC57" s="9"/>
      <c r="ID57" s="9"/>
      <c r="IE57" s="9"/>
      <c r="IF57" s="9"/>
      <c r="IG57" s="9"/>
      <c r="IH57" s="9"/>
      <c r="II57" s="9"/>
      <c r="IJ57" s="9"/>
      <c r="IK57" s="9"/>
      <c r="IL57" s="9"/>
      <c r="IM57" s="9"/>
      <c r="IN57" s="9"/>
      <c r="IO57" s="9"/>
      <c r="IP57" s="9"/>
      <c r="IQ57" s="9"/>
      <c r="IR57" s="9"/>
      <c r="IS57" s="9"/>
      <c r="IT57" s="9"/>
      <c r="IU57" s="9"/>
      <c r="IV57" s="9"/>
      <c r="IW57" s="9"/>
      <c r="IX57" s="9"/>
      <c r="IY57" s="9"/>
      <c r="IZ57" s="9"/>
      <c r="JA57" s="9"/>
      <c r="JB57" s="9"/>
      <c r="JC57" s="9"/>
      <c r="JD57" s="9"/>
      <c r="JE57" s="9"/>
      <c r="JF57" s="9"/>
      <c r="JG57" s="9"/>
      <c r="JH57" s="9"/>
      <c r="JI57" s="9"/>
      <c r="JJ57" s="9"/>
      <c r="JK57" s="9"/>
      <c r="JL57" s="9"/>
      <c r="JM57" s="9"/>
      <c r="JN57" s="9"/>
      <c r="JO57" s="9"/>
      <c r="JP57" s="9"/>
      <c r="JQ57" s="9"/>
      <c r="JR57" s="9"/>
      <c r="JS57" s="9"/>
      <c r="JT57" s="9"/>
      <c r="JU57" s="9"/>
      <c r="JV57" s="9"/>
      <c r="JW57" s="9"/>
      <c r="JX57" s="9"/>
      <c r="JY57" s="9"/>
      <c r="JZ57" s="9"/>
      <c r="KA57" s="9"/>
      <c r="KB57" s="9"/>
      <c r="KC57" s="9"/>
      <c r="KD57" s="9"/>
      <c r="KE57" s="9"/>
      <c r="KF57" s="9"/>
      <c r="KG57" s="9"/>
      <c r="KH57" s="9"/>
      <c r="KI57" s="9"/>
      <c r="KJ57" s="9"/>
      <c r="KK57" s="9"/>
      <c r="KL57" s="9"/>
      <c r="KM57" s="9"/>
      <c r="KN57" s="9"/>
      <c r="KO57" s="9"/>
      <c r="KP57" s="9"/>
      <c r="KQ57" s="9"/>
      <c r="KR57" s="9"/>
      <c r="KS57" s="9"/>
      <c r="KT57" s="9"/>
      <c r="KU57" s="9"/>
      <c r="KV57" s="9"/>
      <c r="KW57" s="9"/>
      <c r="KX57" s="9"/>
      <c r="KY57" s="9"/>
      <c r="KZ57" s="9"/>
      <c r="LA57" s="9"/>
      <c r="LB57" s="9"/>
      <c r="LC57" s="9"/>
      <c r="LD57" s="9"/>
      <c r="LE57" s="9"/>
      <c r="LF57" s="9"/>
      <c r="LG57" s="9"/>
      <c r="LH57" s="9"/>
      <c r="LI57" s="9"/>
      <c r="LJ57" s="9"/>
      <c r="LK57" s="9"/>
      <c r="LL57" s="9"/>
      <c r="LM57" s="9"/>
      <c r="LN57" s="9"/>
      <c r="LO57" s="9"/>
      <c r="LP57" s="9"/>
      <c r="LQ57" s="9"/>
      <c r="LR57" s="9"/>
      <c r="LS57" s="9"/>
      <c r="LT57" s="9"/>
      <c r="LU57" s="9"/>
      <c r="LV57" s="9"/>
      <c r="LW57" s="9"/>
      <c r="LX57" s="9"/>
      <c r="LY57" s="9"/>
      <c r="LZ57" s="9"/>
      <c r="MA57" s="9"/>
      <c r="MB57" s="9"/>
      <c r="MC57" s="9"/>
      <c r="MD57" s="9"/>
      <c r="ME57" s="9"/>
      <c r="MF57" s="9"/>
      <c r="MG57" s="9"/>
      <c r="MH57" s="9"/>
      <c r="MI57" s="9"/>
      <c r="MJ57" s="9"/>
      <c r="MK57" s="9"/>
    </row>
    <row r="58" spans="1:349" hidden="1" x14ac:dyDescent="0.25">
      <c r="A58" s="9"/>
      <c r="B58" s="9"/>
      <c r="C58" s="9"/>
      <c r="D58" s="9"/>
      <c r="E58" s="9"/>
      <c r="F58" s="9"/>
      <c r="G58" s="9"/>
      <c r="H58" s="9"/>
      <c r="I58" s="9"/>
      <c r="J58" s="9"/>
      <c r="K58" s="9"/>
      <c r="L58" s="9"/>
      <c r="M58" s="9"/>
      <c r="N58" s="9"/>
      <c r="O58" s="9"/>
      <c r="AG58" s="9"/>
      <c r="AH58" s="9"/>
      <c r="AI58" s="9"/>
      <c r="AJ58" s="9"/>
      <c r="AK58" s="9"/>
      <c r="AL58" s="9"/>
      <c r="AM58" s="9"/>
      <c r="AN58" s="9"/>
      <c r="AO58" s="9"/>
      <c r="AP58" s="9"/>
      <c r="AQ58" s="9"/>
      <c r="AR58" s="9"/>
      <c r="AS58" s="9"/>
      <c r="AT58" s="9"/>
      <c r="AU58" s="9"/>
      <c r="AV58" s="9"/>
      <c r="AW58" s="9"/>
      <c r="AX58" s="9"/>
      <c r="AY58" s="9"/>
      <c r="AZ58" s="9"/>
      <c r="BA58" s="9"/>
      <c r="BB58" s="9"/>
      <c r="BC58" s="9"/>
      <c r="BD58" s="9"/>
      <c r="BE58" s="9"/>
      <c r="BF58" s="9"/>
      <c r="BG58" s="9"/>
      <c r="BH58" s="9"/>
      <c r="BI58" s="9"/>
      <c r="BJ58" s="9"/>
      <c r="BK58" s="9"/>
      <c r="BL58" s="9"/>
      <c r="BM58" s="9"/>
      <c r="BN58" s="9"/>
      <c r="BO58" s="9"/>
      <c r="BP58" s="9"/>
      <c r="BQ58" s="9"/>
      <c r="BR58" s="9"/>
      <c r="BS58" s="9"/>
      <c r="BT58" s="9"/>
      <c r="BU58" s="9"/>
      <c r="BV58" s="9"/>
      <c r="BW58" s="9"/>
      <c r="BX58" s="9"/>
      <c r="BY58" s="9"/>
      <c r="BZ58" s="9"/>
      <c r="CA58" s="9"/>
      <c r="CB58" s="9"/>
      <c r="CC58" s="9"/>
      <c r="CD58" s="9"/>
      <c r="CE58" s="9"/>
      <c r="CF58" s="9"/>
      <c r="CG58" s="9"/>
      <c r="CH58" s="9"/>
      <c r="CI58" s="9"/>
      <c r="CJ58" s="9"/>
      <c r="CK58" s="9"/>
      <c r="CL58" s="9"/>
      <c r="CM58" s="9"/>
      <c r="CN58" s="9"/>
      <c r="CO58" s="9"/>
      <c r="CP58" s="9"/>
      <c r="CQ58" s="9"/>
      <c r="CR58" s="9"/>
      <c r="CS58" s="9"/>
      <c r="CT58" s="9"/>
      <c r="CU58" s="9"/>
      <c r="CV58" s="9"/>
      <c r="CW58" s="9"/>
      <c r="CX58" s="9"/>
      <c r="CY58" s="9"/>
      <c r="CZ58" s="9"/>
      <c r="DA58" s="9"/>
      <c r="DB58" s="9"/>
      <c r="DC58" s="9"/>
      <c r="DD58" s="9"/>
      <c r="DE58" s="9"/>
      <c r="DF58" s="9"/>
      <c r="DG58" s="9"/>
      <c r="DH58" s="9"/>
      <c r="DI58" s="9"/>
      <c r="DJ58" s="9"/>
      <c r="DK58" s="9"/>
      <c r="DL58" s="9"/>
      <c r="DM58" s="9"/>
      <c r="DN58" s="9"/>
      <c r="DO58" s="9"/>
      <c r="DP58" s="9"/>
      <c r="DQ58" s="9"/>
      <c r="DR58" s="9"/>
      <c r="DS58" s="9"/>
      <c r="DT58" s="9"/>
      <c r="DU58" s="9"/>
      <c r="DV58" s="9"/>
      <c r="DW58" s="9"/>
      <c r="DX58" s="9"/>
      <c r="DY58" s="9"/>
      <c r="DZ58" s="9"/>
      <c r="EA58" s="9"/>
      <c r="EB58" s="9"/>
      <c r="EC58" s="9"/>
      <c r="ED58" s="9"/>
      <c r="EE58" s="9"/>
      <c r="EF58" s="9"/>
      <c r="EG58" s="9"/>
      <c r="EH58" s="9"/>
      <c r="EI58" s="9"/>
      <c r="EJ58" s="9"/>
      <c r="EK58" s="9"/>
      <c r="EL58" s="9"/>
      <c r="EM58" s="9"/>
      <c r="EN58" s="9"/>
      <c r="EO58" s="9"/>
      <c r="EP58" s="9"/>
      <c r="EQ58" s="9"/>
      <c r="ER58" s="9"/>
      <c r="ES58" s="9"/>
      <c r="ET58" s="9"/>
      <c r="EU58" s="9"/>
      <c r="EV58" s="9"/>
      <c r="EW58" s="9"/>
      <c r="EX58" s="9"/>
      <c r="EY58" s="9"/>
      <c r="EZ58" s="9"/>
      <c r="FA58" s="9"/>
      <c r="FB58" s="9"/>
      <c r="FC58" s="9"/>
      <c r="FD58" s="9"/>
      <c r="FE58" s="9"/>
      <c r="FF58" s="9"/>
      <c r="FG58" s="9"/>
      <c r="FH58" s="9"/>
      <c r="FI58" s="9"/>
      <c r="FJ58" s="9"/>
      <c r="FK58" s="9"/>
      <c r="FL58" s="9"/>
      <c r="FM58" s="9"/>
      <c r="FN58" s="9"/>
      <c r="FO58" s="9"/>
      <c r="FP58" s="9"/>
      <c r="FQ58" s="9"/>
      <c r="FR58" s="9"/>
      <c r="FS58" s="9"/>
      <c r="FT58" s="9"/>
      <c r="FU58" s="9"/>
      <c r="FV58" s="9"/>
      <c r="FW58" s="9"/>
      <c r="FX58" s="9"/>
      <c r="FY58" s="9"/>
      <c r="FZ58" s="9"/>
      <c r="GA58" s="9"/>
      <c r="GB58" s="9"/>
      <c r="GC58" s="9"/>
      <c r="GD58" s="9"/>
      <c r="GE58" s="9"/>
      <c r="GF58" s="9"/>
      <c r="GG58" s="9"/>
      <c r="GH58" s="9"/>
      <c r="GI58" s="9"/>
      <c r="GJ58" s="9"/>
      <c r="GK58" s="9"/>
      <c r="GL58" s="9"/>
      <c r="GM58" s="9"/>
      <c r="GN58" s="9"/>
      <c r="GO58" s="9"/>
      <c r="GP58" s="9"/>
      <c r="GQ58" s="9"/>
      <c r="GR58" s="9"/>
      <c r="GS58" s="9"/>
      <c r="GT58" s="9"/>
      <c r="GU58" s="9"/>
      <c r="GV58" s="9"/>
      <c r="GW58" s="9"/>
      <c r="GX58" s="9"/>
      <c r="GY58" s="9"/>
      <c r="GZ58" s="9"/>
      <c r="HA58" s="9"/>
      <c r="HB58" s="9"/>
      <c r="HC58" s="9"/>
      <c r="HD58" s="9"/>
      <c r="HE58" s="9"/>
      <c r="HF58" s="9"/>
      <c r="HG58" s="9"/>
      <c r="HH58" s="9"/>
      <c r="HI58" s="9"/>
      <c r="HJ58" s="9"/>
      <c r="HK58" s="9"/>
      <c r="HL58" s="9"/>
      <c r="HM58" s="9"/>
      <c r="HN58" s="9"/>
      <c r="HO58" s="9"/>
      <c r="HP58" s="9"/>
      <c r="HQ58" s="9"/>
      <c r="HR58" s="9"/>
      <c r="HS58" s="9"/>
      <c r="HT58" s="9"/>
      <c r="HU58" s="9"/>
      <c r="HV58" s="9"/>
      <c r="HW58" s="9"/>
      <c r="HX58" s="9"/>
      <c r="HY58" s="9"/>
      <c r="HZ58" s="9"/>
      <c r="IA58" s="9"/>
      <c r="IB58" s="9"/>
      <c r="IC58" s="9"/>
      <c r="ID58" s="9"/>
      <c r="IE58" s="9"/>
      <c r="IF58" s="9"/>
      <c r="IG58" s="9"/>
      <c r="IH58" s="9"/>
      <c r="II58" s="9"/>
      <c r="IJ58" s="9"/>
      <c r="IK58" s="9"/>
      <c r="IL58" s="9"/>
      <c r="IM58" s="9"/>
      <c r="IN58" s="9"/>
      <c r="IO58" s="9"/>
      <c r="IP58" s="9"/>
      <c r="IQ58" s="9"/>
      <c r="IR58" s="9"/>
      <c r="IS58" s="9"/>
      <c r="IT58" s="9"/>
      <c r="IU58" s="9"/>
      <c r="IV58" s="9"/>
      <c r="IW58" s="9"/>
      <c r="IX58" s="9"/>
      <c r="IY58" s="9"/>
      <c r="IZ58" s="9"/>
      <c r="JA58" s="9"/>
      <c r="JB58" s="9"/>
      <c r="JC58" s="9"/>
      <c r="JD58" s="9"/>
      <c r="JE58" s="9"/>
      <c r="JF58" s="9"/>
      <c r="JG58" s="9"/>
      <c r="JH58" s="9"/>
      <c r="JI58" s="9"/>
      <c r="JJ58" s="9"/>
      <c r="JK58" s="9"/>
      <c r="JL58" s="9"/>
      <c r="JM58" s="9"/>
      <c r="JN58" s="9"/>
      <c r="JO58" s="9"/>
      <c r="JP58" s="9"/>
      <c r="JQ58" s="9"/>
      <c r="JR58" s="9"/>
      <c r="JS58" s="9"/>
      <c r="JT58" s="9"/>
      <c r="JU58" s="9"/>
      <c r="JV58" s="9"/>
      <c r="JW58" s="9"/>
      <c r="JX58" s="9"/>
      <c r="JY58" s="9"/>
      <c r="JZ58" s="9"/>
      <c r="KA58" s="9"/>
      <c r="KB58" s="9"/>
      <c r="KC58" s="9"/>
      <c r="KD58" s="9"/>
      <c r="KE58" s="9"/>
      <c r="KF58" s="9"/>
      <c r="KG58" s="9"/>
      <c r="KH58" s="9"/>
      <c r="KI58" s="9"/>
      <c r="KJ58" s="9"/>
      <c r="KK58" s="9"/>
      <c r="KL58" s="9"/>
      <c r="KM58" s="9"/>
      <c r="KN58" s="9"/>
      <c r="KO58" s="9"/>
      <c r="KP58" s="9"/>
      <c r="KQ58" s="9"/>
      <c r="KR58" s="9"/>
      <c r="KS58" s="9"/>
      <c r="KT58" s="9"/>
      <c r="KU58" s="9"/>
      <c r="KV58" s="9"/>
      <c r="KW58" s="9"/>
      <c r="KX58" s="9"/>
      <c r="KY58" s="9"/>
      <c r="KZ58" s="9"/>
      <c r="LA58" s="9"/>
      <c r="LB58" s="9"/>
      <c r="LC58" s="9"/>
      <c r="LD58" s="9"/>
      <c r="LE58" s="9"/>
      <c r="LF58" s="9"/>
      <c r="LG58" s="9"/>
      <c r="LH58" s="9"/>
      <c r="LI58" s="9"/>
      <c r="LJ58" s="9"/>
      <c r="LK58" s="9"/>
      <c r="LL58" s="9"/>
      <c r="LM58" s="9"/>
      <c r="LN58" s="9"/>
      <c r="LO58" s="9"/>
      <c r="LP58" s="9"/>
      <c r="LQ58" s="9"/>
      <c r="LR58" s="9"/>
      <c r="LS58" s="9"/>
      <c r="LT58" s="9"/>
      <c r="LU58" s="9"/>
      <c r="LV58" s="9"/>
      <c r="LW58" s="9"/>
      <c r="LX58" s="9"/>
      <c r="LY58" s="9"/>
      <c r="LZ58" s="9"/>
      <c r="MA58" s="9"/>
      <c r="MB58" s="9"/>
      <c r="MC58" s="9"/>
      <c r="MD58" s="9"/>
      <c r="ME58" s="9"/>
      <c r="MF58" s="9"/>
      <c r="MG58" s="9"/>
      <c r="MH58" s="9"/>
      <c r="MI58" s="9"/>
      <c r="MJ58" s="9"/>
      <c r="MK58" s="9"/>
    </row>
    <row r="59" spans="1:349" hidden="1" x14ac:dyDescent="0.25">
      <c r="A59" s="9"/>
      <c r="B59" s="9"/>
      <c r="C59" s="9"/>
      <c r="D59" s="9"/>
      <c r="E59" s="9"/>
      <c r="F59" s="9"/>
      <c r="G59" s="9"/>
      <c r="H59" s="9"/>
      <c r="I59" s="9"/>
      <c r="J59" s="9"/>
      <c r="K59" s="9"/>
      <c r="L59" s="9"/>
      <c r="M59" s="9"/>
      <c r="N59" s="9"/>
      <c r="O59" s="9"/>
      <c r="AG59" s="9"/>
      <c r="AH59" s="9"/>
      <c r="AI59" s="9"/>
      <c r="AJ59" s="9"/>
      <c r="AK59" s="9"/>
      <c r="AL59" s="9"/>
      <c r="AM59" s="9"/>
      <c r="AN59" s="9"/>
      <c r="AO59" s="9"/>
      <c r="AP59" s="9"/>
      <c r="AQ59" s="9"/>
      <c r="AR59" s="9"/>
      <c r="AS59" s="9"/>
      <c r="AT59" s="9"/>
      <c r="AU59" s="9"/>
      <c r="AV59" s="9"/>
      <c r="AW59" s="9"/>
      <c r="AX59" s="9"/>
      <c r="AY59" s="9"/>
      <c r="AZ59" s="9"/>
      <c r="BA59" s="9"/>
      <c r="BB59" s="9"/>
      <c r="BC59" s="9"/>
      <c r="BD59" s="9"/>
      <c r="BE59" s="9"/>
      <c r="BF59" s="9"/>
      <c r="BG59" s="9"/>
      <c r="BH59" s="9"/>
      <c r="BI59" s="9"/>
      <c r="BJ59" s="9"/>
      <c r="BK59" s="9"/>
      <c r="BL59" s="9"/>
      <c r="BM59" s="9"/>
      <c r="BN59" s="9"/>
      <c r="BO59" s="9"/>
      <c r="BP59" s="9"/>
      <c r="BQ59" s="9"/>
      <c r="BR59" s="9"/>
      <c r="BS59" s="9"/>
      <c r="BT59" s="9"/>
      <c r="BU59" s="9"/>
      <c r="BV59" s="9"/>
      <c r="BW59" s="9"/>
      <c r="BX59" s="9"/>
      <c r="BY59" s="9"/>
      <c r="BZ59" s="9"/>
      <c r="CA59" s="9"/>
      <c r="CB59" s="9"/>
      <c r="CC59" s="9"/>
      <c r="CD59" s="9"/>
      <c r="CE59" s="9"/>
      <c r="CF59" s="9"/>
      <c r="CG59" s="9"/>
      <c r="CH59" s="9"/>
      <c r="CI59" s="9"/>
      <c r="CJ59" s="9"/>
      <c r="CK59" s="9"/>
      <c r="CL59" s="9"/>
      <c r="CM59" s="9"/>
      <c r="CN59" s="9"/>
      <c r="CO59" s="9"/>
      <c r="CP59" s="9"/>
      <c r="CQ59" s="9"/>
      <c r="CR59" s="9"/>
      <c r="CS59" s="9"/>
      <c r="CT59" s="9"/>
      <c r="CU59" s="9"/>
      <c r="CV59" s="9"/>
      <c r="CW59" s="9"/>
      <c r="CX59" s="9"/>
      <c r="CY59" s="9"/>
      <c r="CZ59" s="9"/>
      <c r="DA59" s="9"/>
      <c r="DB59" s="9"/>
      <c r="DC59" s="9"/>
      <c r="DD59" s="9"/>
      <c r="DE59" s="9"/>
      <c r="DF59" s="9"/>
      <c r="DG59" s="9"/>
      <c r="DH59" s="9"/>
      <c r="DI59" s="9"/>
      <c r="DJ59" s="9"/>
      <c r="DK59" s="9"/>
      <c r="DL59" s="9"/>
      <c r="DM59" s="9"/>
      <c r="DN59" s="9"/>
      <c r="DO59" s="9"/>
      <c r="DP59" s="9"/>
      <c r="DQ59" s="9"/>
      <c r="DR59" s="9"/>
      <c r="DS59" s="9"/>
      <c r="DT59" s="9"/>
      <c r="DU59" s="9"/>
      <c r="DV59" s="9"/>
      <c r="DW59" s="9"/>
      <c r="DX59" s="9"/>
      <c r="DY59" s="9"/>
      <c r="DZ59" s="9"/>
      <c r="EA59" s="9"/>
      <c r="EB59" s="9"/>
      <c r="EC59" s="9"/>
      <c r="ED59" s="9"/>
      <c r="EE59" s="9"/>
      <c r="EF59" s="9"/>
      <c r="EG59" s="9"/>
      <c r="EH59" s="9"/>
      <c r="EI59" s="9"/>
      <c r="EJ59" s="9"/>
      <c r="EK59" s="9"/>
      <c r="EL59" s="9"/>
      <c r="EM59" s="9"/>
      <c r="EN59" s="9"/>
      <c r="EO59" s="9"/>
      <c r="EP59" s="9"/>
      <c r="EQ59" s="9"/>
      <c r="ER59" s="9"/>
      <c r="ES59" s="9"/>
      <c r="ET59" s="9"/>
      <c r="EU59" s="9"/>
      <c r="EV59" s="9"/>
      <c r="EW59" s="9"/>
      <c r="EX59" s="9"/>
      <c r="EY59" s="9"/>
      <c r="EZ59" s="9"/>
      <c r="FA59" s="9"/>
      <c r="FB59" s="9"/>
      <c r="FC59" s="9"/>
      <c r="FD59" s="9"/>
      <c r="FE59" s="9"/>
      <c r="FF59" s="9"/>
      <c r="FG59" s="9"/>
      <c r="FH59" s="9"/>
      <c r="FI59" s="9"/>
      <c r="FJ59" s="9"/>
      <c r="FK59" s="9"/>
      <c r="FL59" s="9"/>
      <c r="FM59" s="9"/>
      <c r="FN59" s="9"/>
      <c r="FO59" s="9"/>
      <c r="FP59" s="9"/>
      <c r="FQ59" s="9"/>
      <c r="FR59" s="9"/>
      <c r="FS59" s="9"/>
      <c r="FT59" s="9"/>
      <c r="FU59" s="9"/>
      <c r="FV59" s="9"/>
      <c r="FW59" s="9"/>
      <c r="FX59" s="9"/>
      <c r="FY59" s="9"/>
      <c r="FZ59" s="9"/>
      <c r="GA59" s="9"/>
      <c r="GB59" s="9"/>
      <c r="GC59" s="9"/>
      <c r="GD59" s="9"/>
      <c r="GE59" s="9"/>
      <c r="GF59" s="9"/>
      <c r="GG59" s="9"/>
      <c r="GH59" s="9"/>
      <c r="GI59" s="9"/>
      <c r="GJ59" s="9"/>
      <c r="GK59" s="9"/>
      <c r="GL59" s="9"/>
      <c r="GM59" s="9"/>
      <c r="GN59" s="9"/>
      <c r="GO59" s="9"/>
      <c r="GP59" s="9"/>
      <c r="GQ59" s="9"/>
      <c r="GR59" s="9"/>
      <c r="GS59" s="9"/>
      <c r="GT59" s="9"/>
      <c r="GU59" s="9"/>
      <c r="GV59" s="9"/>
      <c r="GW59" s="9"/>
      <c r="GX59" s="9"/>
      <c r="GY59" s="9"/>
      <c r="GZ59" s="9"/>
      <c r="HA59" s="9"/>
      <c r="HB59" s="9"/>
      <c r="HC59" s="9"/>
      <c r="HD59" s="9"/>
      <c r="HE59" s="9"/>
      <c r="HF59" s="9"/>
      <c r="HG59" s="9"/>
      <c r="HH59" s="9"/>
      <c r="HI59" s="9"/>
      <c r="HJ59" s="9"/>
      <c r="HK59" s="9"/>
      <c r="HL59" s="9"/>
      <c r="HM59" s="9"/>
      <c r="HN59" s="9"/>
      <c r="HO59" s="9"/>
      <c r="HP59" s="9"/>
      <c r="HQ59" s="9"/>
      <c r="HR59" s="9"/>
      <c r="HS59" s="9"/>
      <c r="HT59" s="9"/>
      <c r="HU59" s="9"/>
      <c r="HV59" s="9"/>
      <c r="HW59" s="9"/>
      <c r="HX59" s="9"/>
      <c r="HY59" s="9"/>
      <c r="HZ59" s="9"/>
      <c r="IA59" s="9"/>
      <c r="IB59" s="9"/>
      <c r="IC59" s="9"/>
      <c r="ID59" s="9"/>
      <c r="IE59" s="9"/>
      <c r="IF59" s="9"/>
      <c r="IG59" s="9"/>
      <c r="IH59" s="9"/>
      <c r="II59" s="9"/>
      <c r="IJ59" s="9"/>
      <c r="IK59" s="9"/>
      <c r="IL59" s="9"/>
      <c r="IM59" s="9"/>
      <c r="IN59" s="9"/>
      <c r="IO59" s="9"/>
      <c r="IP59" s="9"/>
      <c r="IQ59" s="9"/>
      <c r="IR59" s="9"/>
      <c r="IS59" s="9"/>
      <c r="IT59" s="9"/>
      <c r="IU59" s="9"/>
      <c r="IV59" s="9"/>
      <c r="IW59" s="9"/>
      <c r="IX59" s="9"/>
      <c r="IY59" s="9"/>
      <c r="IZ59" s="9"/>
      <c r="JA59" s="9"/>
      <c r="JB59" s="9"/>
      <c r="JC59" s="9"/>
      <c r="JD59" s="9"/>
      <c r="JE59" s="9"/>
      <c r="JF59" s="9"/>
      <c r="JG59" s="9"/>
      <c r="JH59" s="9"/>
      <c r="JI59" s="9"/>
      <c r="JJ59" s="9"/>
      <c r="JK59" s="9"/>
      <c r="JL59" s="9"/>
      <c r="JM59" s="9"/>
      <c r="JN59" s="9"/>
      <c r="JO59" s="9"/>
      <c r="JP59" s="9"/>
      <c r="JQ59" s="9"/>
      <c r="JR59" s="9"/>
      <c r="JS59" s="9"/>
      <c r="JT59" s="9"/>
      <c r="JU59" s="9"/>
      <c r="JV59" s="9"/>
      <c r="JW59" s="9"/>
      <c r="JX59" s="9"/>
      <c r="JY59" s="9"/>
      <c r="JZ59" s="9"/>
      <c r="KA59" s="9"/>
      <c r="KB59" s="9"/>
      <c r="KC59" s="9"/>
      <c r="KD59" s="9"/>
      <c r="KE59" s="9"/>
      <c r="KF59" s="9"/>
      <c r="KG59" s="9"/>
      <c r="KH59" s="9"/>
      <c r="KI59" s="9"/>
      <c r="KJ59" s="9"/>
      <c r="KK59" s="9"/>
      <c r="KL59" s="9"/>
      <c r="KM59" s="9"/>
      <c r="KN59" s="9"/>
      <c r="KO59" s="9"/>
      <c r="KP59" s="9"/>
      <c r="KQ59" s="9"/>
      <c r="KR59" s="9"/>
      <c r="KS59" s="9"/>
      <c r="KT59" s="9"/>
      <c r="KU59" s="9"/>
      <c r="KV59" s="9"/>
      <c r="KW59" s="9"/>
      <c r="KX59" s="9"/>
      <c r="KY59" s="9"/>
      <c r="KZ59" s="9"/>
      <c r="LA59" s="9"/>
      <c r="LB59" s="9"/>
      <c r="LC59" s="9"/>
      <c r="LD59" s="9"/>
      <c r="LE59" s="9"/>
      <c r="LF59" s="9"/>
      <c r="LG59" s="9"/>
      <c r="LH59" s="9"/>
      <c r="LI59" s="9"/>
      <c r="LJ59" s="9"/>
      <c r="LK59" s="9"/>
      <c r="LL59" s="9"/>
      <c r="LM59" s="9"/>
      <c r="LN59" s="9"/>
      <c r="LO59" s="9"/>
      <c r="LP59" s="9"/>
      <c r="LQ59" s="9"/>
      <c r="LR59" s="9"/>
      <c r="LS59" s="9"/>
      <c r="LT59" s="9"/>
      <c r="LU59" s="9"/>
      <c r="LV59" s="9"/>
      <c r="LW59" s="9"/>
      <c r="LX59" s="9"/>
      <c r="LY59" s="9"/>
      <c r="LZ59" s="9"/>
      <c r="MA59" s="9"/>
      <c r="MB59" s="9"/>
      <c r="MC59" s="9"/>
      <c r="MD59" s="9"/>
      <c r="ME59" s="9"/>
      <c r="MF59" s="9"/>
      <c r="MG59" s="9"/>
      <c r="MH59" s="9"/>
      <c r="MI59" s="9"/>
      <c r="MJ59" s="9"/>
      <c r="MK59" s="9"/>
    </row>
    <row r="60" spans="1:349" hidden="1" x14ac:dyDescent="0.25">
      <c r="A60" s="9"/>
      <c r="B60" s="9"/>
      <c r="C60" s="9"/>
      <c r="D60" s="9"/>
      <c r="E60" s="9"/>
      <c r="F60" s="9"/>
      <c r="G60" s="9"/>
      <c r="H60" s="9"/>
      <c r="I60" s="9"/>
      <c r="J60" s="9"/>
      <c r="K60" s="9"/>
      <c r="L60" s="9"/>
      <c r="M60" s="9"/>
      <c r="N60" s="9"/>
      <c r="O60" s="9"/>
      <c r="AG60" s="9"/>
      <c r="AH60" s="9"/>
      <c r="AI60" s="9"/>
      <c r="AJ60" s="9"/>
      <c r="AK60" s="9"/>
      <c r="AL60" s="9"/>
      <c r="AM60" s="9"/>
      <c r="AN60" s="9"/>
      <c r="AO60" s="9"/>
      <c r="AP60" s="9"/>
      <c r="AQ60" s="9"/>
      <c r="AR60" s="9"/>
      <c r="AS60" s="9"/>
      <c r="AT60" s="9"/>
      <c r="AU60" s="9"/>
      <c r="AV60" s="9"/>
      <c r="AW60" s="9"/>
      <c r="AX60" s="9"/>
      <c r="AY60" s="9"/>
      <c r="AZ60" s="9"/>
      <c r="BA60" s="9"/>
      <c r="BB60" s="9"/>
      <c r="BC60" s="9"/>
      <c r="BD60" s="9"/>
      <c r="BE60" s="9"/>
      <c r="BF60" s="9"/>
      <c r="BG60" s="9"/>
      <c r="BH60" s="9"/>
      <c r="BI60" s="9"/>
      <c r="BJ60" s="9"/>
      <c r="BK60" s="9"/>
      <c r="BL60" s="9"/>
      <c r="BM60" s="9"/>
      <c r="BN60" s="9"/>
      <c r="BO60" s="9"/>
      <c r="BP60" s="9"/>
      <c r="BQ60" s="9"/>
      <c r="BR60" s="9"/>
      <c r="BS60" s="9"/>
      <c r="BT60" s="9"/>
      <c r="BU60" s="9"/>
      <c r="BV60" s="9"/>
      <c r="BW60" s="9"/>
      <c r="BX60" s="9"/>
      <c r="BY60" s="9"/>
      <c r="BZ60" s="9"/>
      <c r="CA60" s="9"/>
      <c r="CB60" s="9"/>
      <c r="CC60" s="9"/>
      <c r="CD60" s="9"/>
      <c r="CE60" s="9"/>
      <c r="CF60" s="9"/>
      <c r="CG60" s="9"/>
      <c r="CH60" s="9"/>
      <c r="CI60" s="9"/>
      <c r="CJ60" s="9"/>
      <c r="CK60" s="9"/>
      <c r="CL60" s="9"/>
      <c r="CM60" s="9"/>
      <c r="CN60" s="9"/>
      <c r="CO60" s="9"/>
      <c r="CP60" s="9"/>
      <c r="CQ60" s="9"/>
      <c r="CR60" s="9"/>
      <c r="CS60" s="9"/>
      <c r="CT60" s="9"/>
      <c r="CU60" s="9"/>
      <c r="CV60" s="9"/>
      <c r="CW60" s="9"/>
      <c r="CX60" s="9"/>
      <c r="CY60" s="9"/>
      <c r="CZ60" s="9"/>
      <c r="DA60" s="9"/>
      <c r="DB60" s="9"/>
      <c r="DC60" s="9"/>
      <c r="DD60" s="9"/>
      <c r="DE60" s="9"/>
      <c r="DF60" s="9"/>
      <c r="DG60" s="9"/>
      <c r="DH60" s="9"/>
      <c r="DI60" s="9"/>
      <c r="DJ60" s="9"/>
      <c r="DK60" s="9"/>
      <c r="DL60" s="9"/>
      <c r="DM60" s="9"/>
      <c r="DN60" s="9"/>
      <c r="DO60" s="9"/>
      <c r="DP60" s="9"/>
      <c r="DQ60" s="9"/>
      <c r="DR60" s="9"/>
      <c r="DS60" s="9"/>
      <c r="DT60" s="9"/>
      <c r="DU60" s="9"/>
      <c r="DV60" s="9"/>
      <c r="DW60" s="9"/>
      <c r="DX60" s="9"/>
      <c r="DY60" s="9"/>
      <c r="DZ60" s="9"/>
      <c r="EA60" s="9"/>
      <c r="EB60" s="9"/>
      <c r="EC60" s="9"/>
      <c r="ED60" s="9"/>
      <c r="EE60" s="9"/>
      <c r="EF60" s="9"/>
      <c r="EG60" s="9"/>
      <c r="EH60" s="9"/>
      <c r="EI60" s="9"/>
      <c r="EJ60" s="9"/>
      <c r="EK60" s="9"/>
      <c r="EL60" s="9"/>
      <c r="EM60" s="9"/>
      <c r="EN60" s="9"/>
      <c r="EO60" s="9"/>
      <c r="EP60" s="9"/>
      <c r="EQ60" s="9"/>
      <c r="ER60" s="9"/>
      <c r="ES60" s="9"/>
      <c r="ET60" s="9"/>
      <c r="EU60" s="9"/>
      <c r="EV60" s="9"/>
      <c r="EW60" s="9"/>
      <c r="EX60" s="9"/>
      <c r="EY60" s="9"/>
      <c r="EZ60" s="9"/>
      <c r="FA60" s="9"/>
      <c r="FB60" s="9"/>
      <c r="FC60" s="9"/>
      <c r="FD60" s="9"/>
      <c r="FE60" s="9"/>
      <c r="FF60" s="9"/>
      <c r="FG60" s="9"/>
      <c r="FH60" s="9"/>
      <c r="FI60" s="9"/>
      <c r="FJ60" s="9"/>
      <c r="FK60" s="9"/>
      <c r="FL60" s="9"/>
      <c r="FM60" s="9"/>
      <c r="FN60" s="9"/>
      <c r="FO60" s="9"/>
      <c r="FP60" s="9"/>
      <c r="FQ60" s="9"/>
      <c r="FR60" s="9"/>
      <c r="FS60" s="9"/>
      <c r="FT60" s="9"/>
      <c r="FU60" s="9"/>
      <c r="FV60" s="9"/>
      <c r="FW60" s="9"/>
      <c r="FX60" s="9"/>
      <c r="FY60" s="9"/>
      <c r="FZ60" s="9"/>
      <c r="GA60" s="9"/>
      <c r="GB60" s="9"/>
      <c r="GC60" s="9"/>
      <c r="GD60" s="9"/>
      <c r="GE60" s="9"/>
      <c r="GF60" s="9"/>
      <c r="GG60" s="9"/>
      <c r="GH60" s="9"/>
      <c r="GI60" s="9"/>
      <c r="GJ60" s="9"/>
      <c r="GK60" s="9"/>
      <c r="GL60" s="9"/>
      <c r="GM60" s="9"/>
      <c r="GN60" s="9"/>
      <c r="GO60" s="9"/>
      <c r="GP60" s="9"/>
      <c r="GQ60" s="9"/>
      <c r="GR60" s="9"/>
      <c r="GS60" s="9"/>
      <c r="GT60" s="9"/>
      <c r="GU60" s="9"/>
      <c r="GV60" s="9"/>
      <c r="GW60" s="9"/>
      <c r="GX60" s="9"/>
      <c r="GY60" s="9"/>
      <c r="GZ60" s="9"/>
      <c r="HA60" s="9"/>
      <c r="HB60" s="9"/>
      <c r="HC60" s="9"/>
      <c r="HD60" s="9"/>
      <c r="HE60" s="9"/>
      <c r="HF60" s="9"/>
      <c r="HG60" s="9"/>
      <c r="HH60" s="9"/>
      <c r="HI60" s="9"/>
      <c r="HJ60" s="9"/>
      <c r="HK60" s="9"/>
      <c r="HL60" s="9"/>
      <c r="HM60" s="9"/>
      <c r="HN60" s="9"/>
      <c r="HO60" s="9"/>
      <c r="HP60" s="9"/>
      <c r="HQ60" s="9"/>
      <c r="HR60" s="9"/>
      <c r="HS60" s="9"/>
      <c r="HT60" s="9"/>
      <c r="HU60" s="9"/>
      <c r="HV60" s="9"/>
      <c r="HW60" s="9"/>
      <c r="HX60" s="9"/>
      <c r="HY60" s="9"/>
      <c r="HZ60" s="9"/>
      <c r="IA60" s="9"/>
      <c r="IB60" s="9"/>
      <c r="IC60" s="9"/>
      <c r="ID60" s="9"/>
      <c r="IE60" s="9"/>
      <c r="IF60" s="9"/>
      <c r="IG60" s="9"/>
      <c r="IH60" s="9"/>
      <c r="II60" s="9"/>
      <c r="IJ60" s="9"/>
      <c r="IK60" s="9"/>
      <c r="IL60" s="9"/>
      <c r="IM60" s="9"/>
      <c r="IN60" s="9"/>
      <c r="IO60" s="9"/>
      <c r="IP60" s="9"/>
      <c r="IQ60" s="9"/>
      <c r="IR60" s="9"/>
      <c r="IS60" s="9"/>
      <c r="IT60" s="9"/>
      <c r="IU60" s="9"/>
      <c r="IV60" s="9"/>
      <c r="IW60" s="9"/>
      <c r="IX60" s="9"/>
      <c r="IY60" s="9"/>
      <c r="IZ60" s="9"/>
      <c r="JA60" s="9"/>
      <c r="JB60" s="9"/>
      <c r="JC60" s="9"/>
      <c r="JD60" s="9"/>
      <c r="JE60" s="9"/>
      <c r="JF60" s="9"/>
      <c r="JG60" s="9"/>
      <c r="JH60" s="9"/>
      <c r="JI60" s="9"/>
      <c r="JJ60" s="9"/>
      <c r="JK60" s="9"/>
      <c r="JL60" s="9"/>
      <c r="JM60" s="9"/>
      <c r="JN60" s="9"/>
      <c r="JO60" s="9"/>
      <c r="JP60" s="9"/>
      <c r="JQ60" s="9"/>
      <c r="JR60" s="9"/>
      <c r="JS60" s="9"/>
      <c r="JT60" s="9"/>
      <c r="JU60" s="9"/>
      <c r="JV60" s="9"/>
      <c r="JW60" s="9"/>
      <c r="JX60" s="9"/>
      <c r="JY60" s="9"/>
      <c r="JZ60" s="9"/>
      <c r="KA60" s="9"/>
      <c r="KB60" s="9"/>
      <c r="KC60" s="9"/>
      <c r="KD60" s="9"/>
      <c r="KE60" s="9"/>
      <c r="KF60" s="9"/>
      <c r="KG60" s="9"/>
      <c r="KH60" s="9"/>
      <c r="KI60" s="9"/>
      <c r="KJ60" s="9"/>
      <c r="KK60" s="9"/>
      <c r="KL60" s="9"/>
      <c r="KM60" s="9"/>
      <c r="KN60" s="9"/>
      <c r="KO60" s="9"/>
      <c r="KP60" s="9"/>
      <c r="KQ60" s="9"/>
      <c r="KR60" s="9"/>
      <c r="KS60" s="9"/>
      <c r="KT60" s="9"/>
      <c r="KU60" s="9"/>
      <c r="KV60" s="9"/>
      <c r="KW60" s="9"/>
      <c r="KX60" s="9"/>
      <c r="KY60" s="9"/>
      <c r="KZ60" s="9"/>
      <c r="LA60" s="9"/>
      <c r="LB60" s="9"/>
      <c r="LC60" s="9"/>
      <c r="LD60" s="9"/>
      <c r="LE60" s="9"/>
      <c r="LF60" s="9"/>
      <c r="LG60" s="9"/>
      <c r="LH60" s="9"/>
      <c r="LI60" s="9"/>
      <c r="LJ60" s="9"/>
      <c r="LK60" s="9"/>
      <c r="LL60" s="9"/>
      <c r="LM60" s="9"/>
      <c r="LN60" s="9"/>
      <c r="LO60" s="9"/>
      <c r="LP60" s="9"/>
      <c r="LQ60" s="9"/>
      <c r="LR60" s="9"/>
      <c r="LS60" s="9"/>
      <c r="LT60" s="9"/>
      <c r="LU60" s="9"/>
      <c r="LV60" s="9"/>
      <c r="LW60" s="9"/>
      <c r="LX60" s="9"/>
      <c r="LY60" s="9"/>
      <c r="LZ60" s="9"/>
      <c r="MA60" s="9"/>
      <c r="MB60" s="9"/>
      <c r="MC60" s="9"/>
      <c r="MD60" s="9"/>
      <c r="ME60" s="9"/>
      <c r="MF60" s="9"/>
      <c r="MG60" s="9"/>
      <c r="MH60" s="9"/>
      <c r="MI60" s="9"/>
      <c r="MJ60" s="9"/>
      <c r="MK60" s="9"/>
    </row>
    <row r="61" spans="1:349" hidden="1" x14ac:dyDescent="0.25">
      <c r="A61" s="9"/>
      <c r="B61" s="9"/>
      <c r="C61" s="9"/>
      <c r="D61" s="9"/>
      <c r="E61" s="9"/>
      <c r="F61" s="9"/>
      <c r="G61" s="9"/>
      <c r="H61" s="9"/>
      <c r="I61" s="9"/>
      <c r="J61" s="9"/>
      <c r="K61" s="9"/>
      <c r="L61" s="9"/>
      <c r="M61" s="9"/>
      <c r="N61" s="9"/>
      <c r="O61" s="9"/>
      <c r="AG61" s="9"/>
      <c r="AH61" s="9"/>
      <c r="AI61" s="9"/>
      <c r="AJ61" s="9"/>
      <c r="AK61" s="9"/>
      <c r="AL61" s="9"/>
      <c r="AM61" s="9"/>
      <c r="AN61" s="9"/>
      <c r="AO61" s="9"/>
      <c r="AP61" s="9"/>
      <c r="AQ61" s="9"/>
      <c r="AR61" s="9"/>
      <c r="AS61" s="9"/>
      <c r="AT61" s="9"/>
      <c r="AU61" s="9"/>
      <c r="AV61" s="9"/>
      <c r="AW61" s="9"/>
      <c r="AX61" s="9"/>
      <c r="AY61" s="9"/>
      <c r="AZ61" s="9"/>
      <c r="BA61" s="9"/>
      <c r="BB61" s="9"/>
      <c r="BC61" s="9"/>
      <c r="BD61" s="9"/>
      <c r="BE61" s="9"/>
      <c r="BF61" s="9"/>
      <c r="BG61" s="9"/>
      <c r="BH61" s="9"/>
      <c r="BI61" s="9"/>
      <c r="BJ61" s="9"/>
      <c r="BK61" s="9"/>
      <c r="BL61" s="9"/>
      <c r="BM61" s="9"/>
      <c r="BN61" s="9"/>
      <c r="BO61" s="9"/>
      <c r="BP61" s="9"/>
      <c r="BQ61" s="9"/>
      <c r="BR61" s="9"/>
      <c r="BS61" s="9"/>
      <c r="BT61" s="9"/>
      <c r="BU61" s="9"/>
      <c r="BV61" s="9"/>
      <c r="BW61" s="9"/>
      <c r="BX61" s="9"/>
      <c r="BY61" s="9"/>
      <c r="BZ61" s="9"/>
      <c r="CA61" s="9"/>
      <c r="CB61" s="9"/>
      <c r="CC61" s="9"/>
      <c r="CD61" s="9"/>
      <c r="CE61" s="9"/>
      <c r="CF61" s="9"/>
      <c r="CG61" s="9"/>
      <c r="CH61" s="9"/>
      <c r="CI61" s="9"/>
      <c r="CJ61" s="9"/>
      <c r="CK61" s="9"/>
      <c r="CL61" s="9"/>
      <c r="CM61" s="9"/>
      <c r="CN61" s="9"/>
      <c r="CO61" s="9"/>
      <c r="CP61" s="9"/>
      <c r="CQ61" s="9"/>
      <c r="CR61" s="9"/>
      <c r="CS61" s="9"/>
      <c r="CT61" s="9"/>
      <c r="CU61" s="9"/>
      <c r="CV61" s="9"/>
      <c r="CW61" s="9"/>
      <c r="CX61" s="9"/>
      <c r="CY61" s="9"/>
      <c r="CZ61" s="9"/>
      <c r="DA61" s="9"/>
      <c r="DB61" s="9"/>
      <c r="DC61" s="9"/>
      <c r="DD61" s="9"/>
      <c r="DE61" s="9"/>
      <c r="DF61" s="9"/>
      <c r="DG61" s="9"/>
      <c r="DH61" s="9"/>
      <c r="DI61" s="9"/>
      <c r="DJ61" s="9"/>
      <c r="DK61" s="9"/>
      <c r="DL61" s="9"/>
      <c r="DM61" s="9"/>
      <c r="DN61" s="9"/>
      <c r="DO61" s="9"/>
      <c r="DP61" s="9"/>
      <c r="DQ61" s="9"/>
      <c r="DR61" s="9"/>
      <c r="DS61" s="9"/>
      <c r="DT61" s="9"/>
      <c r="DU61" s="9"/>
      <c r="DV61" s="9"/>
      <c r="DW61" s="9"/>
      <c r="DX61" s="9"/>
      <c r="DY61" s="9"/>
      <c r="DZ61" s="9"/>
      <c r="EA61" s="9"/>
      <c r="EB61" s="9"/>
      <c r="EC61" s="9"/>
      <c r="ED61" s="9"/>
      <c r="EE61" s="9"/>
      <c r="EF61" s="9"/>
      <c r="EG61" s="9"/>
      <c r="EH61" s="9"/>
      <c r="EI61" s="9"/>
      <c r="EJ61" s="9"/>
      <c r="EK61" s="9"/>
      <c r="EL61" s="9"/>
      <c r="EM61" s="9"/>
      <c r="EN61" s="9"/>
      <c r="EO61" s="9"/>
      <c r="EP61" s="9"/>
      <c r="EQ61" s="9"/>
      <c r="ER61" s="9"/>
      <c r="ES61" s="9"/>
      <c r="ET61" s="9"/>
      <c r="EU61" s="9"/>
      <c r="EV61" s="9"/>
      <c r="EW61" s="9"/>
      <c r="EX61" s="9"/>
      <c r="EY61" s="9"/>
      <c r="EZ61" s="9"/>
      <c r="FA61" s="9"/>
      <c r="FB61" s="9"/>
      <c r="FC61" s="9"/>
      <c r="FD61" s="9"/>
      <c r="FE61" s="9"/>
      <c r="FF61" s="9"/>
      <c r="FG61" s="9"/>
      <c r="FH61" s="9"/>
      <c r="FI61" s="9"/>
      <c r="FJ61" s="9"/>
      <c r="FK61" s="9"/>
      <c r="FL61" s="9"/>
      <c r="FM61" s="9"/>
      <c r="FN61" s="9"/>
      <c r="FO61" s="9"/>
      <c r="FP61" s="9"/>
      <c r="FQ61" s="9"/>
      <c r="FR61" s="9"/>
      <c r="FS61" s="9"/>
      <c r="FT61" s="9"/>
      <c r="FU61" s="9"/>
      <c r="FV61" s="9"/>
      <c r="FW61" s="9"/>
      <c r="FX61" s="9"/>
      <c r="FY61" s="9"/>
      <c r="FZ61" s="9"/>
      <c r="GA61" s="9"/>
      <c r="GB61" s="9"/>
      <c r="GC61" s="9"/>
      <c r="GD61" s="9"/>
      <c r="GE61" s="9"/>
      <c r="GF61" s="9"/>
      <c r="GG61" s="9"/>
      <c r="GH61" s="9"/>
      <c r="GI61" s="9"/>
      <c r="GJ61" s="9"/>
      <c r="GK61" s="9"/>
      <c r="GL61" s="9"/>
      <c r="GM61" s="9"/>
      <c r="GN61" s="9"/>
      <c r="GO61" s="9"/>
      <c r="GP61" s="9"/>
      <c r="GQ61" s="9"/>
      <c r="GR61" s="9"/>
      <c r="GS61" s="9"/>
      <c r="GT61" s="9"/>
      <c r="GU61" s="9"/>
      <c r="GV61" s="9"/>
      <c r="GW61" s="9"/>
      <c r="GX61" s="9"/>
      <c r="GY61" s="9"/>
      <c r="GZ61" s="9"/>
      <c r="HA61" s="9"/>
      <c r="HB61" s="9"/>
      <c r="HC61" s="9"/>
      <c r="HD61" s="9"/>
      <c r="HE61" s="9"/>
      <c r="HF61" s="9"/>
      <c r="HG61" s="9"/>
      <c r="HH61" s="9"/>
      <c r="HI61" s="9"/>
      <c r="HJ61" s="9"/>
      <c r="HK61" s="9"/>
      <c r="HL61" s="9"/>
      <c r="HM61" s="9"/>
      <c r="HN61" s="9"/>
      <c r="HO61" s="9"/>
      <c r="HP61" s="9"/>
      <c r="HQ61" s="9"/>
      <c r="HR61" s="9"/>
      <c r="HS61" s="9"/>
      <c r="HT61" s="9"/>
      <c r="HU61" s="9"/>
      <c r="HV61" s="9"/>
      <c r="HW61" s="9"/>
      <c r="HX61" s="9"/>
      <c r="HY61" s="9"/>
      <c r="HZ61" s="9"/>
      <c r="IA61" s="9"/>
      <c r="IB61" s="9"/>
      <c r="IC61" s="9"/>
      <c r="ID61" s="9"/>
      <c r="IE61" s="9"/>
      <c r="IF61" s="9"/>
      <c r="IG61" s="9"/>
      <c r="IH61" s="9"/>
      <c r="II61" s="9"/>
      <c r="IJ61" s="9"/>
      <c r="IK61" s="9"/>
      <c r="IL61" s="9"/>
      <c r="IM61" s="9"/>
      <c r="IN61" s="9"/>
      <c r="IO61" s="9"/>
      <c r="IP61" s="9"/>
      <c r="IQ61" s="9"/>
      <c r="IR61" s="9"/>
      <c r="IS61" s="9"/>
      <c r="IT61" s="9"/>
      <c r="IU61" s="9"/>
      <c r="IV61" s="9"/>
      <c r="IW61" s="9"/>
      <c r="IX61" s="9"/>
      <c r="IY61" s="9"/>
      <c r="IZ61" s="9"/>
      <c r="JA61" s="9"/>
      <c r="JB61" s="9"/>
      <c r="JC61" s="9"/>
      <c r="JD61" s="9"/>
      <c r="JE61" s="9"/>
      <c r="JF61" s="9"/>
      <c r="JG61" s="9"/>
      <c r="JH61" s="9"/>
      <c r="JI61" s="9"/>
      <c r="JJ61" s="9"/>
      <c r="JK61" s="9"/>
      <c r="JL61" s="9"/>
      <c r="JM61" s="9"/>
      <c r="JN61" s="9"/>
      <c r="JO61" s="9"/>
      <c r="JP61" s="9"/>
      <c r="JQ61" s="9"/>
      <c r="JR61" s="9"/>
      <c r="JS61" s="9"/>
      <c r="JT61" s="9"/>
      <c r="JU61" s="9"/>
      <c r="JV61" s="9"/>
      <c r="JW61" s="9"/>
      <c r="JX61" s="9"/>
      <c r="JY61" s="9"/>
      <c r="JZ61" s="9"/>
      <c r="KA61" s="9"/>
      <c r="KB61" s="9"/>
      <c r="KC61" s="9"/>
      <c r="KD61" s="9"/>
      <c r="KE61" s="9"/>
      <c r="KF61" s="9"/>
      <c r="KG61" s="9"/>
      <c r="KH61" s="9"/>
      <c r="KI61" s="9"/>
      <c r="KJ61" s="9"/>
      <c r="KK61" s="9"/>
      <c r="KL61" s="9"/>
      <c r="KM61" s="9"/>
      <c r="KN61" s="9"/>
      <c r="KO61" s="9"/>
      <c r="KP61" s="9"/>
      <c r="KQ61" s="9"/>
      <c r="KR61" s="9"/>
      <c r="KS61" s="9"/>
      <c r="KT61" s="9"/>
      <c r="KU61" s="9"/>
      <c r="KV61" s="9"/>
      <c r="KW61" s="9"/>
      <c r="KX61" s="9"/>
      <c r="KY61" s="9"/>
      <c r="KZ61" s="9"/>
      <c r="LA61" s="9"/>
      <c r="LB61" s="9"/>
      <c r="LC61" s="9"/>
      <c r="LD61" s="9"/>
      <c r="LE61" s="9"/>
      <c r="LF61" s="9"/>
      <c r="LG61" s="9"/>
      <c r="LH61" s="9"/>
      <c r="LI61" s="9"/>
      <c r="LJ61" s="9"/>
      <c r="LK61" s="9"/>
      <c r="LL61" s="9"/>
      <c r="LM61" s="9"/>
      <c r="LN61" s="9"/>
      <c r="LO61" s="9"/>
      <c r="LP61" s="9"/>
      <c r="LQ61" s="9"/>
      <c r="LR61" s="9"/>
      <c r="LS61" s="9"/>
      <c r="LT61" s="9"/>
      <c r="LU61" s="9"/>
      <c r="LV61" s="9"/>
      <c r="LW61" s="9"/>
      <c r="LX61" s="9"/>
      <c r="LY61" s="9"/>
      <c r="LZ61" s="9"/>
      <c r="MA61" s="9"/>
      <c r="MB61" s="9"/>
      <c r="MC61" s="9"/>
      <c r="MD61" s="9"/>
      <c r="ME61" s="9"/>
      <c r="MF61" s="9"/>
      <c r="MG61" s="9"/>
      <c r="MH61" s="9"/>
      <c r="MI61" s="9"/>
      <c r="MJ61" s="9"/>
      <c r="MK61" s="9"/>
    </row>
    <row r="62" spans="1:349" hidden="1" x14ac:dyDescent="0.25">
      <c r="A62" s="9"/>
      <c r="B62" s="9"/>
      <c r="C62" s="9"/>
      <c r="D62" s="9"/>
      <c r="E62" s="9"/>
      <c r="F62" s="9"/>
      <c r="G62" s="9"/>
      <c r="H62" s="9"/>
      <c r="I62" s="9"/>
      <c r="J62" s="9"/>
      <c r="K62" s="9"/>
      <c r="L62" s="9"/>
      <c r="M62" s="9"/>
      <c r="N62" s="9"/>
      <c r="O62" s="9"/>
      <c r="AG62" s="9"/>
      <c r="AH62" s="9"/>
      <c r="AI62" s="9"/>
      <c r="AJ62" s="9"/>
      <c r="AK62" s="9"/>
      <c r="AL62" s="9"/>
      <c r="AM62" s="9"/>
      <c r="AN62" s="9"/>
      <c r="AO62" s="9"/>
      <c r="AP62" s="9"/>
      <c r="AQ62" s="9"/>
      <c r="AR62" s="9"/>
      <c r="AS62" s="9"/>
      <c r="AT62" s="9"/>
      <c r="AU62" s="9"/>
      <c r="AV62" s="9"/>
      <c r="AW62" s="9"/>
      <c r="AX62" s="9"/>
      <c r="AY62" s="9"/>
      <c r="AZ62" s="9"/>
      <c r="BA62" s="9"/>
      <c r="BB62" s="9"/>
      <c r="BC62" s="9"/>
      <c r="BD62" s="9"/>
      <c r="BE62" s="9"/>
      <c r="BF62" s="9"/>
      <c r="BG62" s="9"/>
      <c r="BH62" s="9"/>
      <c r="BI62" s="9"/>
      <c r="BJ62" s="9"/>
      <c r="BK62" s="9"/>
      <c r="BL62" s="9"/>
      <c r="BM62" s="9"/>
      <c r="BN62" s="9"/>
      <c r="BO62" s="9"/>
      <c r="BP62" s="9"/>
      <c r="BQ62" s="9"/>
      <c r="BR62" s="9"/>
      <c r="BS62" s="9"/>
      <c r="BT62" s="9"/>
      <c r="BU62" s="9"/>
      <c r="BV62" s="9"/>
      <c r="BW62" s="9"/>
      <c r="BX62" s="9"/>
      <c r="BY62" s="9"/>
      <c r="BZ62" s="9"/>
      <c r="CA62" s="9"/>
      <c r="CB62" s="9"/>
      <c r="CC62" s="9"/>
      <c r="CD62" s="9"/>
      <c r="CE62" s="9"/>
      <c r="CF62" s="9"/>
      <c r="CG62" s="9"/>
      <c r="CH62" s="9"/>
      <c r="CI62" s="9"/>
      <c r="CJ62" s="9"/>
      <c r="CK62" s="9"/>
      <c r="CL62" s="9"/>
      <c r="CM62" s="9"/>
      <c r="CN62" s="9"/>
      <c r="CO62" s="9"/>
      <c r="CP62" s="9"/>
      <c r="CQ62" s="9"/>
      <c r="CR62" s="9"/>
      <c r="CS62" s="9"/>
      <c r="CT62" s="9"/>
      <c r="CU62" s="9"/>
      <c r="CV62" s="9"/>
      <c r="CW62" s="9"/>
      <c r="CX62" s="9"/>
      <c r="CY62" s="9"/>
      <c r="CZ62" s="9"/>
      <c r="DA62" s="9"/>
      <c r="DB62" s="9"/>
      <c r="DC62" s="9"/>
      <c r="DD62" s="9"/>
      <c r="DE62" s="9"/>
      <c r="DF62" s="9"/>
      <c r="DG62" s="9"/>
      <c r="DH62" s="9"/>
      <c r="DI62" s="9"/>
      <c r="DJ62" s="9"/>
      <c r="DK62" s="9"/>
      <c r="DL62" s="9"/>
      <c r="DM62" s="9"/>
      <c r="DN62" s="9"/>
      <c r="DO62" s="9"/>
      <c r="DP62" s="9"/>
      <c r="DQ62" s="9"/>
      <c r="DR62" s="9"/>
      <c r="DS62" s="9"/>
      <c r="DT62" s="9"/>
      <c r="DU62" s="9"/>
      <c r="DV62" s="9"/>
      <c r="DW62" s="9"/>
      <c r="DX62" s="9"/>
      <c r="DY62" s="9"/>
      <c r="DZ62" s="9"/>
      <c r="EA62" s="9"/>
      <c r="EB62" s="9"/>
      <c r="EC62" s="9"/>
      <c r="ED62" s="9"/>
      <c r="EE62" s="9"/>
      <c r="EF62" s="9"/>
      <c r="EG62" s="9"/>
      <c r="EH62" s="9"/>
      <c r="EI62" s="9"/>
      <c r="EJ62" s="9"/>
      <c r="EK62" s="9"/>
      <c r="EL62" s="9"/>
      <c r="EM62" s="9"/>
      <c r="EN62" s="9"/>
      <c r="EO62" s="9"/>
      <c r="EP62" s="9"/>
      <c r="EQ62" s="9"/>
      <c r="ER62" s="9"/>
      <c r="ES62" s="9"/>
      <c r="ET62" s="9"/>
      <c r="EU62" s="9"/>
      <c r="EV62" s="9"/>
      <c r="EW62" s="9"/>
      <c r="EX62" s="9"/>
      <c r="EY62" s="9"/>
      <c r="EZ62" s="9"/>
      <c r="FA62" s="9"/>
      <c r="FB62" s="9"/>
      <c r="FC62" s="9"/>
      <c r="FD62" s="9"/>
      <c r="FE62" s="9"/>
      <c r="FF62" s="9"/>
      <c r="FG62" s="9"/>
      <c r="FH62" s="9"/>
      <c r="FI62" s="9"/>
      <c r="FJ62" s="9"/>
      <c r="FK62" s="9"/>
      <c r="FL62" s="9"/>
      <c r="FM62" s="9"/>
      <c r="FN62" s="9"/>
      <c r="FO62" s="9"/>
      <c r="FP62" s="9"/>
      <c r="FQ62" s="9"/>
      <c r="FR62" s="9"/>
      <c r="FS62" s="9"/>
      <c r="FT62" s="9"/>
      <c r="FU62" s="9"/>
      <c r="FV62" s="9"/>
      <c r="FW62" s="9"/>
      <c r="FX62" s="9"/>
      <c r="FY62" s="9"/>
      <c r="FZ62" s="9"/>
      <c r="GA62" s="9"/>
      <c r="GB62" s="9"/>
      <c r="GC62" s="9"/>
      <c r="GD62" s="9"/>
      <c r="GE62" s="9"/>
      <c r="GF62" s="9"/>
      <c r="GG62" s="9"/>
      <c r="GH62" s="9"/>
      <c r="GI62" s="9"/>
      <c r="GJ62" s="9"/>
      <c r="GK62" s="9"/>
      <c r="GL62" s="9"/>
      <c r="GM62" s="9"/>
      <c r="GN62" s="9"/>
      <c r="GO62" s="9"/>
      <c r="GP62" s="9"/>
      <c r="GQ62" s="9"/>
      <c r="GR62" s="9"/>
      <c r="GS62" s="9"/>
      <c r="GT62" s="9"/>
      <c r="GU62" s="9"/>
      <c r="GV62" s="9"/>
      <c r="GW62" s="9"/>
      <c r="GX62" s="9"/>
      <c r="GY62" s="9"/>
      <c r="GZ62" s="9"/>
      <c r="HA62" s="9"/>
      <c r="HB62" s="9"/>
      <c r="HC62" s="9"/>
      <c r="HD62" s="9"/>
      <c r="HE62" s="9"/>
      <c r="HF62" s="9"/>
      <c r="HG62" s="9"/>
      <c r="HH62" s="9"/>
      <c r="HI62" s="9"/>
      <c r="HJ62" s="9"/>
      <c r="HK62" s="9"/>
      <c r="HL62" s="9"/>
      <c r="HM62" s="9"/>
      <c r="HN62" s="9"/>
      <c r="HO62" s="9"/>
      <c r="HP62" s="9"/>
      <c r="HQ62" s="9"/>
      <c r="HR62" s="9"/>
      <c r="HS62" s="9"/>
      <c r="HT62" s="9"/>
      <c r="HU62" s="9"/>
      <c r="HV62" s="9"/>
      <c r="HW62" s="9"/>
      <c r="HX62" s="9"/>
      <c r="HY62" s="9"/>
      <c r="HZ62" s="9"/>
      <c r="IA62" s="9"/>
      <c r="IB62" s="9"/>
      <c r="IC62" s="9"/>
      <c r="ID62" s="9"/>
      <c r="IE62" s="9"/>
      <c r="IF62" s="9"/>
      <c r="IG62" s="9"/>
      <c r="IH62" s="9"/>
      <c r="II62" s="9"/>
      <c r="IJ62" s="9"/>
      <c r="IK62" s="9"/>
      <c r="IL62" s="9"/>
      <c r="IM62" s="9"/>
      <c r="IN62" s="9"/>
      <c r="IO62" s="9"/>
      <c r="IP62" s="9"/>
      <c r="IQ62" s="9"/>
      <c r="IR62" s="9"/>
      <c r="IS62" s="9"/>
      <c r="IT62" s="9"/>
      <c r="IU62" s="9"/>
      <c r="IV62" s="9"/>
      <c r="IW62" s="9"/>
      <c r="IX62" s="9"/>
      <c r="IY62" s="9"/>
      <c r="IZ62" s="9"/>
      <c r="JA62" s="9"/>
      <c r="JB62" s="9"/>
      <c r="JC62" s="9"/>
      <c r="JD62" s="9"/>
      <c r="JE62" s="9"/>
      <c r="JF62" s="9"/>
      <c r="JG62" s="9"/>
      <c r="JH62" s="9"/>
      <c r="JI62" s="9"/>
      <c r="JJ62" s="9"/>
      <c r="JK62" s="9"/>
      <c r="JL62" s="9"/>
      <c r="JM62" s="9"/>
      <c r="JN62" s="9"/>
      <c r="JO62" s="9"/>
      <c r="JP62" s="9"/>
      <c r="JQ62" s="9"/>
      <c r="JR62" s="9"/>
      <c r="JS62" s="9"/>
      <c r="JT62" s="9"/>
      <c r="JU62" s="9"/>
      <c r="JV62" s="9"/>
      <c r="JW62" s="9"/>
      <c r="JX62" s="9"/>
      <c r="JY62" s="9"/>
      <c r="JZ62" s="9"/>
      <c r="KA62" s="9"/>
      <c r="KB62" s="9"/>
      <c r="KC62" s="9"/>
      <c r="KD62" s="9"/>
      <c r="KE62" s="9"/>
      <c r="KF62" s="9"/>
      <c r="KG62" s="9"/>
      <c r="KH62" s="9"/>
      <c r="KI62" s="9"/>
      <c r="KJ62" s="9"/>
      <c r="KK62" s="9"/>
      <c r="KL62" s="9"/>
      <c r="KM62" s="9"/>
      <c r="KN62" s="9"/>
      <c r="KO62" s="9"/>
      <c r="KP62" s="9"/>
      <c r="KQ62" s="9"/>
      <c r="KR62" s="9"/>
      <c r="KS62" s="9"/>
      <c r="KT62" s="9"/>
      <c r="KU62" s="9"/>
      <c r="KV62" s="9"/>
      <c r="KW62" s="9"/>
      <c r="KX62" s="9"/>
      <c r="KY62" s="9"/>
      <c r="KZ62" s="9"/>
      <c r="LA62" s="9"/>
      <c r="LB62" s="9"/>
      <c r="LC62" s="9"/>
      <c r="LD62" s="9"/>
      <c r="LE62" s="9"/>
      <c r="LF62" s="9"/>
      <c r="LG62" s="9"/>
      <c r="LH62" s="9"/>
      <c r="LI62" s="9"/>
      <c r="LJ62" s="9"/>
      <c r="LK62" s="9"/>
      <c r="LL62" s="9"/>
      <c r="LM62" s="9"/>
      <c r="LN62" s="9"/>
      <c r="LO62" s="9"/>
      <c r="LP62" s="9"/>
      <c r="LQ62" s="9"/>
      <c r="LR62" s="9"/>
      <c r="LS62" s="9"/>
      <c r="LT62" s="9"/>
      <c r="LU62" s="9"/>
      <c r="LV62" s="9"/>
      <c r="LW62" s="9"/>
      <c r="LX62" s="9"/>
      <c r="LY62" s="9"/>
      <c r="LZ62" s="9"/>
      <c r="MA62" s="9"/>
      <c r="MB62" s="9"/>
      <c r="MC62" s="9"/>
      <c r="MD62" s="9"/>
      <c r="ME62" s="9"/>
      <c r="MF62" s="9"/>
      <c r="MG62" s="9"/>
      <c r="MH62" s="9"/>
      <c r="MI62" s="9"/>
      <c r="MJ62" s="9"/>
      <c r="MK62" s="9"/>
    </row>
    <row r="63" spans="1:349" hidden="1" x14ac:dyDescent="0.25">
      <c r="A63" s="9"/>
      <c r="B63" s="9"/>
      <c r="C63" s="9"/>
      <c r="D63" s="9"/>
      <c r="E63" s="9"/>
      <c r="F63" s="9"/>
      <c r="G63" s="9"/>
      <c r="H63" s="9"/>
      <c r="I63" s="9"/>
      <c r="J63" s="9"/>
      <c r="K63" s="9"/>
      <c r="L63" s="9"/>
      <c r="M63" s="9"/>
      <c r="N63" s="9"/>
      <c r="O63" s="9"/>
      <c r="AG63" s="9"/>
      <c r="AH63" s="9"/>
      <c r="AI63" s="9"/>
      <c r="AJ63" s="9"/>
      <c r="AK63" s="9"/>
      <c r="AL63" s="9"/>
      <c r="AM63" s="9"/>
      <c r="AN63" s="9"/>
      <c r="AO63" s="9"/>
      <c r="AP63" s="9"/>
      <c r="AQ63" s="9"/>
      <c r="AR63" s="9"/>
      <c r="AS63" s="9"/>
      <c r="AT63" s="9"/>
      <c r="AU63" s="9"/>
      <c r="AV63" s="9"/>
      <c r="AW63" s="9"/>
      <c r="AX63" s="9"/>
      <c r="AY63" s="9"/>
      <c r="AZ63" s="9"/>
      <c r="BA63" s="9"/>
      <c r="BB63" s="9"/>
      <c r="BC63" s="9"/>
      <c r="BD63" s="9"/>
      <c r="BE63" s="9"/>
      <c r="BF63" s="9"/>
      <c r="BG63" s="9"/>
      <c r="BH63" s="9"/>
      <c r="BI63" s="9"/>
      <c r="BJ63" s="9"/>
      <c r="BK63" s="9"/>
      <c r="BL63" s="9"/>
      <c r="BM63" s="9"/>
      <c r="BN63" s="9"/>
      <c r="BO63" s="9"/>
      <c r="BP63" s="9"/>
      <c r="BQ63" s="9"/>
      <c r="BR63" s="9"/>
      <c r="BS63" s="9"/>
      <c r="BT63" s="9"/>
      <c r="BU63" s="9"/>
      <c r="BV63" s="9"/>
      <c r="BW63" s="9"/>
      <c r="BX63" s="9"/>
      <c r="BY63" s="9"/>
      <c r="BZ63" s="9"/>
      <c r="CA63" s="9"/>
      <c r="CB63" s="9"/>
      <c r="CC63" s="9"/>
      <c r="CD63" s="9"/>
      <c r="CE63" s="9"/>
      <c r="CF63" s="9"/>
      <c r="CG63" s="9"/>
      <c r="CH63" s="9"/>
      <c r="CI63" s="9"/>
      <c r="CJ63" s="9"/>
      <c r="CK63" s="9"/>
      <c r="CL63" s="9"/>
      <c r="CM63" s="9"/>
      <c r="CN63" s="9"/>
      <c r="CO63" s="9"/>
      <c r="CP63" s="9"/>
      <c r="CQ63" s="9"/>
      <c r="CR63" s="9"/>
      <c r="CS63" s="9"/>
      <c r="CT63" s="9"/>
      <c r="CU63" s="9"/>
      <c r="CV63" s="9"/>
      <c r="CW63" s="9"/>
      <c r="CX63" s="9"/>
      <c r="CY63" s="9"/>
      <c r="CZ63" s="9"/>
      <c r="DA63" s="9"/>
      <c r="DB63" s="9"/>
      <c r="DC63" s="9"/>
      <c r="DD63" s="9"/>
      <c r="DE63" s="9"/>
      <c r="DF63" s="9"/>
      <c r="DG63" s="9"/>
      <c r="DH63" s="9"/>
      <c r="DI63" s="9"/>
      <c r="DJ63" s="9"/>
      <c r="DK63" s="9"/>
      <c r="DL63" s="9"/>
      <c r="DM63" s="9"/>
      <c r="DN63" s="9"/>
      <c r="DO63" s="9"/>
      <c r="DP63" s="9"/>
      <c r="DQ63" s="9"/>
      <c r="DR63" s="9"/>
      <c r="DS63" s="9"/>
      <c r="DT63" s="9"/>
      <c r="DU63" s="9"/>
      <c r="DV63" s="9"/>
      <c r="DW63" s="9"/>
      <c r="DX63" s="9"/>
      <c r="DY63" s="9"/>
      <c r="DZ63" s="9"/>
      <c r="EA63" s="9"/>
      <c r="EB63" s="9"/>
      <c r="EC63" s="9"/>
      <c r="ED63" s="9"/>
      <c r="EE63" s="9"/>
      <c r="EF63" s="9"/>
      <c r="EG63" s="9"/>
      <c r="EH63" s="9"/>
      <c r="EI63" s="9"/>
      <c r="EJ63" s="9"/>
      <c r="EK63" s="9"/>
      <c r="EL63" s="9"/>
      <c r="EM63" s="9"/>
      <c r="EN63" s="9"/>
      <c r="EO63" s="9"/>
      <c r="EP63" s="9"/>
      <c r="EQ63" s="9"/>
      <c r="ER63" s="9"/>
      <c r="ES63" s="9"/>
      <c r="ET63" s="9"/>
      <c r="EU63" s="9"/>
      <c r="EV63" s="9"/>
      <c r="EW63" s="9"/>
      <c r="EX63" s="9"/>
      <c r="EY63" s="9"/>
      <c r="EZ63" s="9"/>
      <c r="FA63" s="9"/>
      <c r="FB63" s="9"/>
      <c r="FC63" s="9"/>
      <c r="FD63" s="9"/>
      <c r="FE63" s="9"/>
      <c r="FF63" s="9"/>
      <c r="FG63" s="9"/>
      <c r="FH63" s="9"/>
      <c r="FI63" s="9"/>
      <c r="FJ63" s="9"/>
      <c r="FK63" s="9"/>
      <c r="FL63" s="9"/>
      <c r="FM63" s="9"/>
      <c r="FN63" s="9"/>
      <c r="FO63" s="9"/>
      <c r="FP63" s="9"/>
      <c r="FQ63" s="9"/>
      <c r="FR63" s="9"/>
      <c r="FS63" s="9"/>
      <c r="FT63" s="9"/>
      <c r="FU63" s="9"/>
      <c r="FV63" s="9"/>
      <c r="FW63" s="9"/>
      <c r="FX63" s="9"/>
      <c r="FY63" s="9"/>
      <c r="FZ63" s="9"/>
      <c r="GA63" s="9"/>
      <c r="GB63" s="9"/>
      <c r="GC63" s="9"/>
      <c r="GD63" s="9"/>
      <c r="GE63" s="9"/>
      <c r="GF63" s="9"/>
      <c r="GG63" s="9"/>
      <c r="GH63" s="9"/>
      <c r="GI63" s="9"/>
      <c r="GJ63" s="9"/>
      <c r="GK63" s="9"/>
      <c r="GL63" s="9"/>
      <c r="GM63" s="9"/>
      <c r="GN63" s="9"/>
      <c r="GO63" s="9"/>
      <c r="GP63" s="9"/>
      <c r="GQ63" s="9"/>
      <c r="GR63" s="9"/>
      <c r="GS63" s="9"/>
      <c r="GT63" s="9"/>
      <c r="GU63" s="9"/>
      <c r="GV63" s="9"/>
      <c r="GW63" s="9"/>
      <c r="GX63" s="9"/>
      <c r="GY63" s="9"/>
      <c r="GZ63" s="9"/>
      <c r="HA63" s="9"/>
      <c r="HB63" s="9"/>
      <c r="HC63" s="9"/>
      <c r="HD63" s="9"/>
      <c r="HE63" s="9"/>
      <c r="HF63" s="9"/>
      <c r="HG63" s="9"/>
      <c r="HH63" s="9"/>
      <c r="HI63" s="9"/>
      <c r="HJ63" s="9"/>
      <c r="HK63" s="9"/>
      <c r="HL63" s="9"/>
      <c r="HM63" s="9"/>
      <c r="HN63" s="9"/>
      <c r="HO63" s="9"/>
      <c r="HP63" s="9"/>
      <c r="HQ63" s="9"/>
      <c r="HR63" s="9"/>
      <c r="HS63" s="9"/>
      <c r="HT63" s="9"/>
      <c r="HU63" s="9"/>
      <c r="HV63" s="9"/>
      <c r="HW63" s="9"/>
      <c r="HX63" s="9"/>
      <c r="HY63" s="9"/>
      <c r="HZ63" s="9"/>
      <c r="IA63" s="9"/>
      <c r="IB63" s="9"/>
      <c r="IC63" s="9"/>
      <c r="ID63" s="9"/>
      <c r="IE63" s="9"/>
      <c r="IF63" s="9"/>
      <c r="IG63" s="9"/>
      <c r="IH63" s="9"/>
      <c r="II63" s="9"/>
      <c r="IJ63" s="9"/>
      <c r="IK63" s="9"/>
      <c r="IL63" s="9"/>
      <c r="IM63" s="9"/>
      <c r="IN63" s="9"/>
      <c r="IO63" s="9"/>
      <c r="IP63" s="9"/>
      <c r="IQ63" s="9"/>
      <c r="IR63" s="9"/>
      <c r="IS63" s="9"/>
      <c r="IT63" s="9"/>
      <c r="IU63" s="9"/>
      <c r="IV63" s="9"/>
      <c r="IW63" s="9"/>
      <c r="IX63" s="9"/>
      <c r="IY63" s="9"/>
      <c r="IZ63" s="9"/>
      <c r="JA63" s="9"/>
      <c r="JB63" s="9"/>
      <c r="JC63" s="9"/>
      <c r="JD63" s="9"/>
      <c r="JE63" s="9"/>
      <c r="JF63" s="9"/>
      <c r="JG63" s="9"/>
      <c r="JH63" s="9"/>
      <c r="JI63" s="9"/>
      <c r="JJ63" s="9"/>
      <c r="JK63" s="9"/>
      <c r="JL63" s="9"/>
      <c r="JM63" s="9"/>
      <c r="JN63" s="9"/>
      <c r="JO63" s="9"/>
      <c r="JP63" s="9"/>
      <c r="JQ63" s="9"/>
      <c r="JR63" s="9"/>
      <c r="JS63" s="9"/>
      <c r="JT63" s="9"/>
      <c r="JU63" s="9"/>
      <c r="JV63" s="9"/>
      <c r="JW63" s="9"/>
      <c r="JX63" s="9"/>
      <c r="JY63" s="9"/>
      <c r="JZ63" s="9"/>
      <c r="KA63" s="9"/>
      <c r="KB63" s="9"/>
      <c r="KC63" s="9"/>
      <c r="KD63" s="9"/>
      <c r="KE63" s="9"/>
      <c r="KF63" s="9"/>
      <c r="KG63" s="9"/>
      <c r="KH63" s="9"/>
      <c r="KI63" s="9"/>
      <c r="KJ63" s="9"/>
      <c r="KK63" s="9"/>
      <c r="KL63" s="9"/>
      <c r="KM63" s="9"/>
      <c r="KN63" s="9"/>
      <c r="KO63" s="9"/>
      <c r="KP63" s="9"/>
      <c r="KQ63" s="9"/>
      <c r="KR63" s="9"/>
      <c r="KS63" s="9"/>
      <c r="KT63" s="9"/>
      <c r="KU63" s="9"/>
      <c r="KV63" s="9"/>
      <c r="KW63" s="9"/>
      <c r="KX63" s="9"/>
      <c r="KY63" s="9"/>
      <c r="KZ63" s="9"/>
      <c r="LA63" s="9"/>
      <c r="LB63" s="9"/>
      <c r="LC63" s="9"/>
      <c r="LD63" s="9"/>
      <c r="LE63" s="9"/>
      <c r="LF63" s="9"/>
      <c r="LG63" s="9"/>
      <c r="LH63" s="9"/>
      <c r="LI63" s="9"/>
      <c r="LJ63" s="9"/>
      <c r="LK63" s="9"/>
      <c r="LL63" s="9"/>
      <c r="LM63" s="9"/>
      <c r="LN63" s="9"/>
      <c r="LO63" s="9"/>
      <c r="LP63" s="9"/>
      <c r="LQ63" s="9"/>
      <c r="LR63" s="9"/>
      <c r="LS63" s="9"/>
      <c r="LT63" s="9"/>
      <c r="LU63" s="9"/>
      <c r="LV63" s="9"/>
      <c r="LW63" s="9"/>
      <c r="LX63" s="9"/>
      <c r="LY63" s="9"/>
      <c r="LZ63" s="9"/>
      <c r="MA63" s="9"/>
      <c r="MB63" s="9"/>
      <c r="MC63" s="9"/>
      <c r="MD63" s="9"/>
      <c r="ME63" s="9"/>
      <c r="MF63" s="9"/>
      <c r="MG63" s="9"/>
      <c r="MH63" s="9"/>
      <c r="MI63" s="9"/>
      <c r="MJ63" s="9"/>
      <c r="MK63" s="9"/>
    </row>
    <row r="64" spans="1:349" hidden="1" x14ac:dyDescent="0.25">
      <c r="A64" s="9"/>
      <c r="B64" s="9"/>
      <c r="C64" s="9"/>
      <c r="D64" s="9"/>
      <c r="E64" s="9"/>
      <c r="F64" s="9"/>
      <c r="G64" s="9"/>
      <c r="H64" s="9"/>
      <c r="I64" s="9"/>
      <c r="J64" s="9"/>
      <c r="K64" s="9"/>
      <c r="L64" s="9"/>
      <c r="M64" s="9"/>
      <c r="N64" s="9"/>
      <c r="O64" s="9"/>
      <c r="AG64" s="9"/>
      <c r="AH64" s="9"/>
      <c r="AI64" s="9"/>
      <c r="AJ64" s="9"/>
      <c r="AK64" s="9"/>
      <c r="AL64" s="9"/>
      <c r="AM64" s="9"/>
      <c r="AN64" s="9"/>
      <c r="AO64" s="9"/>
      <c r="AP64" s="9"/>
      <c r="AQ64" s="9"/>
      <c r="AR64" s="9"/>
      <c r="AS64" s="9"/>
      <c r="AT64" s="9"/>
      <c r="AU64" s="9"/>
      <c r="AV64" s="9"/>
      <c r="AW64" s="9"/>
      <c r="AX64" s="9"/>
      <c r="AY64" s="9"/>
      <c r="AZ64" s="9"/>
      <c r="BA64" s="9"/>
      <c r="BB64" s="9"/>
      <c r="BC64" s="9"/>
      <c r="BD64" s="9"/>
      <c r="BE64" s="9"/>
      <c r="BF64" s="9"/>
      <c r="BG64" s="9"/>
      <c r="BH64" s="9"/>
      <c r="BI64" s="9"/>
      <c r="BJ64" s="9"/>
      <c r="BK64" s="9"/>
      <c r="BL64" s="9"/>
      <c r="BM64" s="9"/>
      <c r="BN64" s="9"/>
      <c r="BO64" s="9"/>
      <c r="BP64" s="9"/>
      <c r="BQ64" s="9"/>
      <c r="BR64" s="9"/>
      <c r="BS64" s="9"/>
      <c r="BT64" s="9"/>
      <c r="BU64" s="9"/>
      <c r="BV64" s="9"/>
      <c r="BW64" s="9"/>
      <c r="BX64" s="9"/>
      <c r="BY64" s="9"/>
      <c r="BZ64" s="9"/>
      <c r="CA64" s="9"/>
      <c r="CB64" s="9"/>
      <c r="CC64" s="9"/>
      <c r="CD64" s="9"/>
      <c r="CE64" s="9"/>
      <c r="CF64" s="9"/>
      <c r="CG64" s="9"/>
      <c r="CH64" s="9"/>
      <c r="CI64" s="9"/>
      <c r="CJ64" s="9"/>
      <c r="CK64" s="9"/>
      <c r="CL64" s="9"/>
      <c r="CM64" s="9"/>
      <c r="CN64" s="9"/>
      <c r="CO64" s="9"/>
      <c r="CP64" s="9"/>
      <c r="CQ64" s="9"/>
      <c r="CR64" s="9"/>
      <c r="CS64" s="9"/>
      <c r="CT64" s="9"/>
      <c r="CU64" s="9"/>
      <c r="CV64" s="9"/>
      <c r="CW64" s="9"/>
      <c r="CX64" s="9"/>
      <c r="CY64" s="9"/>
      <c r="CZ64" s="9"/>
      <c r="DA64" s="9"/>
      <c r="DB64" s="9"/>
      <c r="DC64" s="9"/>
      <c r="DD64" s="9"/>
      <c r="DE64" s="9"/>
      <c r="DF64" s="9"/>
      <c r="DG64" s="9"/>
      <c r="DH64" s="9"/>
      <c r="DI64" s="9"/>
      <c r="DJ64" s="9"/>
      <c r="DK64" s="9"/>
      <c r="DL64" s="9"/>
      <c r="DM64" s="9"/>
      <c r="DN64" s="9"/>
      <c r="DO64" s="9"/>
      <c r="DP64" s="9"/>
      <c r="DQ64" s="9"/>
      <c r="DR64" s="9"/>
      <c r="DS64" s="9"/>
      <c r="DT64" s="9"/>
      <c r="DU64" s="9"/>
      <c r="DV64" s="9"/>
      <c r="DW64" s="9"/>
      <c r="DX64" s="9"/>
      <c r="DY64" s="9"/>
      <c r="DZ64" s="9"/>
      <c r="EA64" s="9"/>
      <c r="EB64" s="9"/>
      <c r="EC64" s="9"/>
      <c r="ED64" s="9"/>
      <c r="EE64" s="9"/>
      <c r="EF64" s="9"/>
      <c r="EG64" s="9"/>
      <c r="EH64" s="9"/>
      <c r="EI64" s="9"/>
      <c r="EJ64" s="9"/>
      <c r="EK64" s="9"/>
      <c r="EL64" s="9"/>
      <c r="EM64" s="9"/>
      <c r="EN64" s="9"/>
      <c r="EO64" s="9"/>
      <c r="EP64" s="9"/>
      <c r="EQ64" s="9"/>
      <c r="ER64" s="9"/>
      <c r="ES64" s="9"/>
      <c r="ET64" s="9"/>
      <c r="EU64" s="9"/>
      <c r="EV64" s="9"/>
      <c r="EW64" s="9"/>
      <c r="EX64" s="9"/>
      <c r="EY64" s="9"/>
      <c r="EZ64" s="9"/>
      <c r="FA64" s="9"/>
      <c r="FB64" s="9"/>
      <c r="FC64" s="9"/>
      <c r="FD64" s="9"/>
      <c r="FE64" s="9"/>
      <c r="FF64" s="9"/>
      <c r="FG64" s="9"/>
      <c r="FH64" s="9"/>
      <c r="FI64" s="9"/>
      <c r="FJ64" s="9"/>
      <c r="FK64" s="9"/>
      <c r="FL64" s="9"/>
      <c r="FM64" s="9"/>
      <c r="FN64" s="9"/>
      <c r="FO64" s="9"/>
      <c r="FP64" s="9"/>
      <c r="FQ64" s="9"/>
      <c r="FR64" s="9"/>
      <c r="FS64" s="9"/>
      <c r="FT64" s="9"/>
      <c r="FU64" s="9"/>
      <c r="FV64" s="9"/>
      <c r="FW64" s="9"/>
      <c r="FX64" s="9"/>
      <c r="FY64" s="9"/>
      <c r="FZ64" s="9"/>
      <c r="GA64" s="9"/>
      <c r="GB64" s="9"/>
      <c r="GC64" s="9"/>
      <c r="GD64" s="9"/>
      <c r="GE64" s="9"/>
      <c r="GF64" s="9"/>
      <c r="GG64" s="9"/>
      <c r="GH64" s="9"/>
      <c r="GI64" s="9"/>
      <c r="GJ64" s="9"/>
      <c r="GK64" s="9"/>
      <c r="GL64" s="9"/>
      <c r="GM64" s="9"/>
      <c r="GN64" s="9"/>
      <c r="GO64" s="9"/>
      <c r="GP64" s="9"/>
      <c r="GQ64" s="9"/>
      <c r="GR64" s="9"/>
      <c r="GS64" s="9"/>
      <c r="GT64" s="9"/>
      <c r="GU64" s="9"/>
      <c r="GV64" s="9"/>
      <c r="GW64" s="9"/>
      <c r="GX64" s="9"/>
      <c r="GY64" s="9"/>
      <c r="GZ64" s="9"/>
      <c r="HA64" s="9"/>
      <c r="HB64" s="9"/>
      <c r="HC64" s="9"/>
      <c r="HD64" s="9"/>
      <c r="HE64" s="9"/>
      <c r="HF64" s="9"/>
      <c r="HG64" s="9"/>
      <c r="HH64" s="9"/>
      <c r="HI64" s="9"/>
      <c r="HJ64" s="9"/>
      <c r="HK64" s="9"/>
      <c r="HL64" s="9"/>
      <c r="HM64" s="9"/>
      <c r="HN64" s="9"/>
      <c r="HO64" s="9"/>
      <c r="HP64" s="9"/>
      <c r="HQ64" s="9"/>
      <c r="HR64" s="9"/>
      <c r="HS64" s="9"/>
      <c r="HT64" s="9"/>
      <c r="HU64" s="9"/>
      <c r="HV64" s="9"/>
      <c r="HW64" s="9"/>
      <c r="HX64" s="9"/>
      <c r="HY64" s="9"/>
      <c r="HZ64" s="9"/>
      <c r="IA64" s="9"/>
      <c r="IB64" s="9"/>
      <c r="IC64" s="9"/>
      <c r="ID64" s="9"/>
      <c r="IE64" s="9"/>
      <c r="IF64" s="9"/>
      <c r="IG64" s="9"/>
      <c r="IH64" s="9"/>
      <c r="II64" s="9"/>
      <c r="IJ64" s="9"/>
      <c r="IK64" s="9"/>
      <c r="IL64" s="9"/>
      <c r="IM64" s="9"/>
      <c r="IN64" s="9"/>
      <c r="IO64" s="9"/>
      <c r="IP64" s="9"/>
      <c r="IQ64" s="9"/>
      <c r="IR64" s="9"/>
      <c r="IS64" s="9"/>
      <c r="IT64" s="9"/>
      <c r="IU64" s="9"/>
      <c r="IV64" s="9"/>
      <c r="IW64" s="9"/>
      <c r="IX64" s="9"/>
      <c r="IY64" s="9"/>
      <c r="IZ64" s="9"/>
      <c r="JA64" s="9"/>
      <c r="JB64" s="9"/>
      <c r="JC64" s="9"/>
      <c r="JD64" s="9"/>
      <c r="JE64" s="9"/>
      <c r="JF64" s="9"/>
      <c r="JG64" s="9"/>
      <c r="JH64" s="9"/>
      <c r="JI64" s="9"/>
      <c r="JJ64" s="9"/>
      <c r="JK64" s="9"/>
      <c r="JL64" s="9"/>
      <c r="JM64" s="9"/>
      <c r="JN64" s="9"/>
      <c r="JO64" s="9"/>
      <c r="JP64" s="9"/>
      <c r="JQ64" s="9"/>
      <c r="JR64" s="9"/>
      <c r="JS64" s="9"/>
      <c r="JT64" s="9"/>
      <c r="JU64" s="9"/>
      <c r="JV64" s="9"/>
      <c r="JW64" s="9"/>
      <c r="JX64" s="9"/>
      <c r="JY64" s="9"/>
      <c r="JZ64" s="9"/>
      <c r="KA64" s="9"/>
      <c r="KB64" s="9"/>
      <c r="KC64" s="9"/>
      <c r="KD64" s="9"/>
      <c r="KE64" s="9"/>
      <c r="KF64" s="9"/>
      <c r="KG64" s="9"/>
      <c r="KH64" s="9"/>
      <c r="KI64" s="9"/>
      <c r="KJ64" s="9"/>
      <c r="KK64" s="9"/>
      <c r="KL64" s="9"/>
      <c r="KM64" s="9"/>
      <c r="KN64" s="9"/>
      <c r="KO64" s="9"/>
      <c r="KP64" s="9"/>
      <c r="KQ64" s="9"/>
      <c r="KR64" s="9"/>
      <c r="KS64" s="9"/>
      <c r="KT64" s="9"/>
      <c r="KU64" s="9"/>
      <c r="KV64" s="9"/>
      <c r="KW64" s="9"/>
      <c r="KX64" s="9"/>
      <c r="KY64" s="9"/>
      <c r="KZ64" s="9"/>
      <c r="LA64" s="9"/>
      <c r="LB64" s="9"/>
      <c r="LC64" s="9"/>
      <c r="LD64" s="9"/>
      <c r="LE64" s="9"/>
      <c r="LF64" s="9"/>
      <c r="LG64" s="9"/>
      <c r="LH64" s="9"/>
      <c r="LI64" s="9"/>
      <c r="LJ64" s="9"/>
      <c r="LK64" s="9"/>
      <c r="LL64" s="9"/>
      <c r="LM64" s="9"/>
      <c r="LN64" s="9"/>
      <c r="LO64" s="9"/>
      <c r="LP64" s="9"/>
      <c r="LQ64" s="9"/>
      <c r="LR64" s="9"/>
      <c r="LS64" s="9"/>
      <c r="LT64" s="9"/>
      <c r="LU64" s="9"/>
      <c r="LV64" s="9"/>
      <c r="LW64" s="9"/>
      <c r="LX64" s="9"/>
      <c r="LY64" s="9"/>
      <c r="LZ64" s="9"/>
      <c r="MA64" s="9"/>
      <c r="MB64" s="9"/>
      <c r="MC64" s="9"/>
      <c r="MD64" s="9"/>
      <c r="ME64" s="9"/>
      <c r="MF64" s="9"/>
      <c r="MG64" s="9"/>
      <c r="MH64" s="9"/>
      <c r="MI64" s="9"/>
      <c r="MJ64" s="9"/>
      <c r="MK64" s="9"/>
    </row>
    <row r="65" spans="1:349" hidden="1" x14ac:dyDescent="0.25">
      <c r="A65" s="9"/>
      <c r="B65" s="9"/>
      <c r="C65" s="9"/>
      <c r="D65" s="9"/>
      <c r="E65" s="9"/>
      <c r="F65" s="9"/>
      <c r="G65" s="9"/>
      <c r="H65" s="9"/>
      <c r="I65" s="9"/>
      <c r="J65" s="9"/>
      <c r="K65" s="9"/>
      <c r="L65" s="9"/>
      <c r="M65" s="9"/>
      <c r="N65" s="9"/>
      <c r="O65" s="9"/>
      <c r="AG65" s="9"/>
      <c r="AH65" s="9"/>
      <c r="AI65" s="9"/>
      <c r="AJ65" s="9"/>
      <c r="AK65" s="9"/>
      <c r="AL65" s="9"/>
      <c r="AM65" s="9"/>
      <c r="AN65" s="9"/>
      <c r="AO65" s="9"/>
      <c r="AP65" s="9"/>
      <c r="AQ65" s="9"/>
      <c r="AR65" s="9"/>
      <c r="AS65" s="9"/>
      <c r="AT65" s="9"/>
      <c r="AU65" s="9"/>
      <c r="AV65" s="9"/>
      <c r="AW65" s="9"/>
      <c r="AX65" s="9"/>
      <c r="AY65" s="9"/>
      <c r="AZ65" s="9"/>
      <c r="BA65" s="9"/>
      <c r="BB65" s="9"/>
      <c r="BC65" s="9"/>
      <c r="BD65" s="9"/>
      <c r="BE65" s="9"/>
      <c r="BF65" s="9"/>
      <c r="BG65" s="9"/>
      <c r="BH65" s="9"/>
      <c r="BI65" s="9"/>
      <c r="BJ65" s="9"/>
      <c r="BK65" s="9"/>
      <c r="BL65" s="9"/>
      <c r="BM65" s="9"/>
      <c r="BN65" s="9"/>
      <c r="BO65" s="9"/>
      <c r="BP65" s="9"/>
      <c r="BQ65" s="9"/>
      <c r="BR65" s="9"/>
      <c r="BS65" s="9"/>
      <c r="BT65" s="9"/>
      <c r="BU65" s="9"/>
      <c r="BV65" s="9"/>
      <c r="BW65" s="9"/>
      <c r="BX65" s="9"/>
      <c r="BY65" s="9"/>
      <c r="BZ65" s="9"/>
      <c r="CA65" s="9"/>
      <c r="CB65" s="9"/>
      <c r="CC65" s="9"/>
      <c r="CD65" s="9"/>
      <c r="CE65" s="9"/>
      <c r="CF65" s="9"/>
      <c r="CG65" s="9"/>
      <c r="CH65" s="9"/>
      <c r="CI65" s="9"/>
      <c r="CJ65" s="9"/>
      <c r="CK65" s="9"/>
      <c r="CL65" s="9"/>
      <c r="CM65" s="9"/>
      <c r="CN65" s="9"/>
      <c r="CO65" s="9"/>
      <c r="CP65" s="9"/>
      <c r="CQ65" s="9"/>
      <c r="CR65" s="9"/>
      <c r="CS65" s="9"/>
      <c r="CT65" s="9"/>
      <c r="CU65" s="9"/>
      <c r="CV65" s="9"/>
      <c r="CW65" s="9"/>
      <c r="CX65" s="9"/>
      <c r="CY65" s="9"/>
      <c r="CZ65" s="9"/>
      <c r="DA65" s="9"/>
      <c r="DB65" s="9"/>
      <c r="DC65" s="9"/>
      <c r="DD65" s="9"/>
      <c r="DE65" s="9"/>
      <c r="DF65" s="9"/>
      <c r="DG65" s="9"/>
      <c r="DH65" s="9"/>
      <c r="DI65" s="9"/>
      <c r="DJ65" s="9"/>
      <c r="DK65" s="9"/>
      <c r="DL65" s="9"/>
      <c r="DM65" s="9"/>
      <c r="DN65" s="9"/>
      <c r="DO65" s="9"/>
      <c r="DP65" s="9"/>
      <c r="DQ65" s="9"/>
      <c r="DR65" s="9"/>
      <c r="DS65" s="9"/>
      <c r="DT65" s="9"/>
      <c r="DU65" s="9"/>
      <c r="DV65" s="9"/>
      <c r="DW65" s="9"/>
      <c r="DX65" s="9"/>
      <c r="DY65" s="9"/>
      <c r="DZ65" s="9"/>
      <c r="EA65" s="9"/>
      <c r="EB65" s="9"/>
      <c r="EC65" s="9"/>
      <c r="ED65" s="9"/>
      <c r="EE65" s="9"/>
      <c r="EF65" s="9"/>
      <c r="EG65" s="9"/>
      <c r="EH65" s="9"/>
      <c r="EI65" s="9"/>
      <c r="EJ65" s="9"/>
      <c r="EK65" s="9"/>
      <c r="EL65" s="9"/>
      <c r="EM65" s="9"/>
      <c r="EN65" s="9"/>
      <c r="EO65" s="9"/>
      <c r="EP65" s="9"/>
      <c r="EQ65" s="9"/>
      <c r="ER65" s="9"/>
      <c r="ES65" s="9"/>
      <c r="ET65" s="9"/>
      <c r="EU65" s="9"/>
      <c r="EV65" s="9"/>
      <c r="EW65" s="9"/>
      <c r="EX65" s="9"/>
      <c r="EY65" s="9"/>
      <c r="EZ65" s="9"/>
      <c r="FA65" s="9"/>
      <c r="FB65" s="9"/>
      <c r="FC65" s="9"/>
      <c r="FD65" s="9"/>
      <c r="FE65" s="9"/>
      <c r="FF65" s="9"/>
      <c r="FG65" s="9"/>
      <c r="FH65" s="9"/>
      <c r="FI65" s="9"/>
      <c r="FJ65" s="9"/>
      <c r="FK65" s="9"/>
      <c r="FL65" s="9"/>
      <c r="FM65" s="9"/>
      <c r="FN65" s="9"/>
      <c r="FO65" s="9"/>
      <c r="FP65" s="9"/>
      <c r="FQ65" s="9"/>
      <c r="FR65" s="9"/>
      <c r="FS65" s="9"/>
      <c r="FT65" s="9"/>
      <c r="FU65" s="9"/>
      <c r="FV65" s="9"/>
      <c r="FW65" s="9"/>
      <c r="FX65" s="9"/>
      <c r="FY65" s="9"/>
      <c r="FZ65" s="9"/>
      <c r="GA65" s="9"/>
      <c r="GB65" s="9"/>
      <c r="GC65" s="9"/>
      <c r="GD65" s="9"/>
      <c r="GE65" s="9"/>
      <c r="GF65" s="9"/>
      <c r="GG65" s="9"/>
      <c r="GH65" s="9"/>
      <c r="GI65" s="9"/>
      <c r="GJ65" s="9"/>
      <c r="GK65" s="9"/>
      <c r="GL65" s="9"/>
      <c r="GM65" s="9"/>
      <c r="GN65" s="9"/>
      <c r="GO65" s="9"/>
      <c r="GP65" s="9"/>
      <c r="GQ65" s="9"/>
      <c r="GR65" s="9"/>
      <c r="GS65" s="9"/>
      <c r="GT65" s="9"/>
      <c r="GU65" s="9"/>
      <c r="GV65" s="9"/>
      <c r="GW65" s="9"/>
      <c r="GX65" s="9"/>
      <c r="GY65" s="9"/>
      <c r="GZ65" s="9"/>
      <c r="HA65" s="9"/>
      <c r="HB65" s="9"/>
      <c r="HC65" s="9"/>
      <c r="HD65" s="9"/>
      <c r="HE65" s="9"/>
      <c r="HF65" s="9"/>
      <c r="HG65" s="9"/>
      <c r="HH65" s="9"/>
      <c r="HI65" s="9"/>
      <c r="HJ65" s="9"/>
      <c r="HK65" s="9"/>
      <c r="HL65" s="9"/>
      <c r="HM65" s="9"/>
      <c r="HN65" s="9"/>
      <c r="HO65" s="9"/>
      <c r="HP65" s="9"/>
      <c r="HQ65" s="9"/>
      <c r="HR65" s="9"/>
      <c r="HS65" s="9"/>
      <c r="HT65" s="9"/>
      <c r="HU65" s="9"/>
      <c r="HV65" s="9"/>
      <c r="HW65" s="9"/>
      <c r="HX65" s="9"/>
      <c r="HY65" s="9"/>
      <c r="HZ65" s="9"/>
      <c r="IA65" s="9"/>
      <c r="IB65" s="9"/>
      <c r="IC65" s="9"/>
      <c r="ID65" s="9"/>
      <c r="IE65" s="9"/>
      <c r="IF65" s="9"/>
      <c r="IG65" s="9"/>
      <c r="IH65" s="9"/>
      <c r="II65" s="9"/>
      <c r="IJ65" s="9"/>
      <c r="IK65" s="9"/>
      <c r="IL65" s="9"/>
      <c r="IM65" s="9"/>
      <c r="IN65" s="9"/>
      <c r="IO65" s="9"/>
      <c r="IP65" s="9"/>
      <c r="IQ65" s="9"/>
      <c r="IR65" s="9"/>
      <c r="IS65" s="9"/>
      <c r="IT65" s="9"/>
      <c r="IU65" s="9"/>
      <c r="IV65" s="9"/>
      <c r="IW65" s="9"/>
      <c r="IX65" s="9"/>
      <c r="IY65" s="9"/>
      <c r="IZ65" s="9"/>
      <c r="JA65" s="9"/>
      <c r="JB65" s="9"/>
      <c r="JC65" s="9"/>
      <c r="JD65" s="9"/>
      <c r="JE65" s="9"/>
      <c r="JF65" s="9"/>
      <c r="JG65" s="9"/>
      <c r="JH65" s="9"/>
      <c r="JI65" s="9"/>
      <c r="JJ65" s="9"/>
      <c r="JK65" s="9"/>
      <c r="JL65" s="9"/>
      <c r="JM65" s="9"/>
      <c r="JN65" s="9"/>
      <c r="JO65" s="9"/>
      <c r="JP65" s="9"/>
      <c r="JQ65" s="9"/>
      <c r="JR65" s="9"/>
      <c r="JS65" s="9"/>
      <c r="JT65" s="9"/>
      <c r="JU65" s="9"/>
      <c r="JV65" s="9"/>
      <c r="JW65" s="9"/>
      <c r="JX65" s="9"/>
      <c r="JY65" s="9"/>
      <c r="JZ65" s="9"/>
      <c r="KA65" s="9"/>
      <c r="KB65" s="9"/>
      <c r="KC65" s="9"/>
      <c r="KD65" s="9"/>
      <c r="KE65" s="9"/>
      <c r="KF65" s="9"/>
      <c r="KG65" s="9"/>
      <c r="KH65" s="9"/>
      <c r="KI65" s="9"/>
      <c r="KJ65" s="9"/>
      <c r="KK65" s="9"/>
      <c r="KL65" s="9"/>
      <c r="KM65" s="9"/>
      <c r="KN65" s="9"/>
      <c r="KO65" s="9"/>
      <c r="KP65" s="9"/>
      <c r="KQ65" s="9"/>
      <c r="KR65" s="9"/>
      <c r="KS65" s="9"/>
      <c r="KT65" s="9"/>
      <c r="KU65" s="9"/>
      <c r="KV65" s="9"/>
      <c r="KW65" s="9"/>
      <c r="KX65" s="9"/>
      <c r="KY65" s="9"/>
      <c r="KZ65" s="9"/>
      <c r="LA65" s="9"/>
      <c r="LB65" s="9"/>
      <c r="LC65" s="9"/>
      <c r="LD65" s="9"/>
      <c r="LE65" s="9"/>
      <c r="LF65" s="9"/>
      <c r="LG65" s="9"/>
      <c r="LH65" s="9"/>
      <c r="LI65" s="9"/>
      <c r="LJ65" s="9"/>
      <c r="LK65" s="9"/>
      <c r="LL65" s="9"/>
      <c r="LM65" s="9"/>
      <c r="LN65" s="9"/>
      <c r="LO65" s="9"/>
      <c r="LP65" s="9"/>
      <c r="LQ65" s="9"/>
      <c r="LR65" s="9"/>
      <c r="LS65" s="9"/>
      <c r="LT65" s="9"/>
      <c r="LU65" s="9"/>
      <c r="LV65" s="9"/>
      <c r="LW65" s="9"/>
      <c r="LX65" s="9"/>
      <c r="LY65" s="9"/>
      <c r="LZ65" s="9"/>
      <c r="MA65" s="9"/>
      <c r="MB65" s="9"/>
      <c r="MC65" s="9"/>
      <c r="MD65" s="9"/>
      <c r="ME65" s="9"/>
      <c r="MF65" s="9"/>
      <c r="MG65" s="9"/>
      <c r="MH65" s="9"/>
      <c r="MI65" s="9"/>
      <c r="MJ65" s="9"/>
      <c r="MK65" s="9"/>
    </row>
    <row r="66" spans="1:349" hidden="1" x14ac:dyDescent="0.25">
      <c r="A66" s="9"/>
      <c r="B66" s="9"/>
      <c r="C66" s="9"/>
      <c r="D66" s="9"/>
      <c r="E66" s="9"/>
      <c r="F66" s="9"/>
      <c r="G66" s="9"/>
      <c r="H66" s="9"/>
      <c r="I66" s="9"/>
      <c r="J66" s="9"/>
      <c r="K66" s="9"/>
      <c r="L66" s="9"/>
      <c r="M66" s="9"/>
      <c r="N66" s="9"/>
      <c r="O66" s="9"/>
      <c r="AG66" s="9"/>
      <c r="AH66" s="9"/>
      <c r="AI66" s="9"/>
      <c r="AJ66" s="9"/>
      <c r="AK66" s="9"/>
      <c r="AL66" s="9"/>
      <c r="AM66" s="9"/>
      <c r="AN66" s="9"/>
      <c r="AO66" s="9"/>
      <c r="AP66" s="9"/>
      <c r="AQ66" s="9"/>
      <c r="AR66" s="9"/>
      <c r="AS66" s="9"/>
      <c r="AT66" s="9"/>
      <c r="AU66" s="9"/>
      <c r="AV66" s="9"/>
      <c r="AW66" s="9"/>
      <c r="AX66" s="9"/>
      <c r="AY66" s="9"/>
      <c r="AZ66" s="9"/>
      <c r="BA66" s="9"/>
      <c r="BB66" s="9"/>
      <c r="BC66" s="9"/>
      <c r="BD66" s="9"/>
      <c r="BE66" s="9"/>
      <c r="BF66" s="9"/>
      <c r="BG66" s="9"/>
      <c r="BH66" s="9"/>
      <c r="BI66" s="9"/>
      <c r="BJ66" s="9"/>
      <c r="BK66" s="9"/>
      <c r="BL66" s="9"/>
      <c r="BM66" s="9"/>
      <c r="BN66" s="9"/>
      <c r="BO66" s="9"/>
      <c r="BP66" s="9"/>
      <c r="BQ66" s="9"/>
      <c r="BR66" s="9"/>
      <c r="BS66" s="9"/>
      <c r="BT66" s="9"/>
      <c r="BU66" s="9"/>
      <c r="BV66" s="9"/>
      <c r="BW66" s="9"/>
      <c r="BX66" s="9"/>
      <c r="BY66" s="9"/>
      <c r="BZ66" s="9"/>
      <c r="CA66" s="9"/>
      <c r="CB66" s="9"/>
      <c r="CC66" s="9"/>
      <c r="CD66" s="9"/>
      <c r="CE66" s="9"/>
      <c r="CF66" s="9"/>
      <c r="CG66" s="9"/>
      <c r="CH66" s="9"/>
      <c r="CI66" s="9"/>
      <c r="CJ66" s="9"/>
      <c r="CK66" s="9"/>
      <c r="CL66" s="9"/>
      <c r="CM66" s="9"/>
      <c r="CN66" s="9"/>
      <c r="CO66" s="9"/>
      <c r="CP66" s="9"/>
      <c r="CQ66" s="9"/>
      <c r="CR66" s="9"/>
      <c r="CS66" s="9"/>
      <c r="CT66" s="9"/>
      <c r="CU66" s="9"/>
      <c r="CV66" s="9"/>
      <c r="CW66" s="9"/>
      <c r="CX66" s="9"/>
      <c r="CY66" s="9"/>
      <c r="CZ66" s="9"/>
      <c r="DA66" s="9"/>
      <c r="DB66" s="9"/>
      <c r="DC66" s="9"/>
      <c r="DD66" s="9"/>
      <c r="DE66" s="9"/>
      <c r="DF66" s="9"/>
      <c r="DG66" s="9"/>
      <c r="DH66" s="9"/>
      <c r="DI66" s="9"/>
      <c r="DJ66" s="9"/>
      <c r="DK66" s="9"/>
      <c r="DL66" s="9"/>
      <c r="DM66" s="9"/>
      <c r="DN66" s="9"/>
      <c r="DO66" s="9"/>
      <c r="DP66" s="9"/>
      <c r="DQ66" s="9"/>
      <c r="DR66" s="9"/>
      <c r="DS66" s="9"/>
      <c r="DT66" s="9"/>
      <c r="DU66" s="9"/>
      <c r="DV66" s="9"/>
      <c r="DW66" s="9"/>
      <c r="DX66" s="9"/>
      <c r="DY66" s="9"/>
      <c r="DZ66" s="9"/>
      <c r="EA66" s="9"/>
      <c r="EB66" s="9"/>
      <c r="EC66" s="9"/>
      <c r="ED66" s="9"/>
      <c r="EE66" s="9"/>
      <c r="EF66" s="9"/>
      <c r="EG66" s="9"/>
      <c r="EH66" s="9"/>
      <c r="EI66" s="9"/>
      <c r="EJ66" s="9"/>
      <c r="EK66" s="9"/>
      <c r="EL66" s="9"/>
      <c r="EM66" s="9"/>
      <c r="EN66" s="9"/>
      <c r="EO66" s="9"/>
      <c r="EP66" s="9"/>
      <c r="EQ66" s="9"/>
      <c r="ER66" s="9"/>
      <c r="ES66" s="9"/>
      <c r="ET66" s="9"/>
      <c r="EU66" s="9"/>
      <c r="EV66" s="9"/>
      <c r="EW66" s="9"/>
      <c r="EX66" s="9"/>
      <c r="EY66" s="9"/>
      <c r="EZ66" s="9"/>
      <c r="FA66" s="9"/>
      <c r="FB66" s="9"/>
      <c r="FC66" s="9"/>
      <c r="FD66" s="9"/>
      <c r="FE66" s="9"/>
      <c r="FF66" s="9"/>
      <c r="FG66" s="9"/>
      <c r="FH66" s="9"/>
      <c r="FI66" s="9"/>
      <c r="FJ66" s="9"/>
      <c r="FK66" s="9"/>
      <c r="FL66" s="9"/>
      <c r="FM66" s="9"/>
      <c r="FN66" s="9"/>
      <c r="FO66" s="9"/>
      <c r="FP66" s="9"/>
      <c r="FQ66" s="9"/>
      <c r="FR66" s="9"/>
      <c r="FS66" s="9"/>
      <c r="FT66" s="9"/>
      <c r="FU66" s="9"/>
      <c r="FV66" s="9"/>
      <c r="FW66" s="9"/>
      <c r="FX66" s="9"/>
      <c r="FY66" s="9"/>
      <c r="FZ66" s="9"/>
      <c r="GA66" s="9"/>
      <c r="GB66" s="9"/>
      <c r="GC66" s="9"/>
      <c r="GD66" s="9"/>
      <c r="GE66" s="9"/>
      <c r="GF66" s="9"/>
      <c r="GG66" s="9"/>
      <c r="GH66" s="9"/>
      <c r="GI66" s="9"/>
      <c r="GJ66" s="9"/>
      <c r="GK66" s="9"/>
      <c r="GL66" s="9"/>
      <c r="GM66" s="9"/>
      <c r="GN66" s="9"/>
      <c r="GO66" s="9"/>
      <c r="GP66" s="9"/>
      <c r="GQ66" s="9"/>
      <c r="GR66" s="9"/>
      <c r="GS66" s="9"/>
      <c r="GT66" s="9"/>
      <c r="GU66" s="9"/>
      <c r="GV66" s="9"/>
      <c r="GW66" s="9"/>
      <c r="GX66" s="9"/>
      <c r="GY66" s="9"/>
      <c r="GZ66" s="9"/>
      <c r="HA66" s="9"/>
      <c r="HB66" s="9"/>
      <c r="HC66" s="9"/>
      <c r="HD66" s="9"/>
      <c r="HE66" s="9"/>
      <c r="HF66" s="9"/>
      <c r="HG66" s="9"/>
      <c r="HH66" s="9"/>
      <c r="HI66" s="9"/>
      <c r="HJ66" s="9"/>
      <c r="HK66" s="9"/>
      <c r="HL66" s="9"/>
      <c r="HM66" s="9"/>
      <c r="HN66" s="9"/>
      <c r="HO66" s="9"/>
      <c r="HP66" s="9"/>
      <c r="HQ66" s="9"/>
      <c r="HR66" s="9"/>
      <c r="HS66" s="9"/>
      <c r="HT66" s="9"/>
      <c r="HU66" s="9"/>
      <c r="HV66" s="9"/>
      <c r="HW66" s="9"/>
      <c r="HX66" s="9"/>
      <c r="HY66" s="9"/>
      <c r="HZ66" s="9"/>
      <c r="IA66" s="9"/>
      <c r="IB66" s="9"/>
      <c r="IC66" s="9"/>
      <c r="ID66" s="9"/>
      <c r="IE66" s="9"/>
      <c r="IF66" s="9"/>
      <c r="IG66" s="9"/>
      <c r="IH66" s="9"/>
      <c r="II66" s="9"/>
      <c r="IJ66" s="9"/>
      <c r="IK66" s="9"/>
      <c r="IL66" s="9"/>
      <c r="IM66" s="9"/>
      <c r="IN66" s="9"/>
      <c r="IO66" s="9"/>
      <c r="IP66" s="9"/>
      <c r="IQ66" s="9"/>
      <c r="IR66" s="9"/>
      <c r="IS66" s="9"/>
      <c r="IT66" s="9"/>
      <c r="IU66" s="9"/>
      <c r="IV66" s="9"/>
      <c r="IW66" s="9"/>
      <c r="IX66" s="9"/>
      <c r="IY66" s="9"/>
      <c r="IZ66" s="9"/>
      <c r="JA66" s="9"/>
      <c r="JB66" s="9"/>
      <c r="JC66" s="9"/>
      <c r="JD66" s="9"/>
      <c r="JE66" s="9"/>
      <c r="JF66" s="9"/>
      <c r="JG66" s="9"/>
      <c r="JH66" s="9"/>
      <c r="JI66" s="9"/>
      <c r="JJ66" s="9"/>
      <c r="JK66" s="9"/>
      <c r="JL66" s="9"/>
      <c r="JM66" s="9"/>
      <c r="JN66" s="9"/>
      <c r="JO66" s="9"/>
      <c r="JP66" s="9"/>
      <c r="JQ66" s="9"/>
      <c r="JR66" s="9"/>
      <c r="JS66" s="9"/>
      <c r="JT66" s="9"/>
      <c r="JU66" s="9"/>
      <c r="JV66" s="9"/>
      <c r="JW66" s="9"/>
      <c r="JX66" s="9"/>
      <c r="JY66" s="9"/>
      <c r="JZ66" s="9"/>
      <c r="KA66" s="9"/>
      <c r="KB66" s="9"/>
      <c r="KC66" s="9"/>
      <c r="KD66" s="9"/>
      <c r="KE66" s="9"/>
      <c r="KF66" s="9"/>
      <c r="KG66" s="9"/>
      <c r="KH66" s="9"/>
      <c r="KI66" s="9"/>
      <c r="KJ66" s="9"/>
      <c r="KK66" s="9"/>
      <c r="KL66" s="9"/>
      <c r="KM66" s="9"/>
      <c r="KN66" s="9"/>
      <c r="KO66" s="9"/>
      <c r="KP66" s="9"/>
      <c r="KQ66" s="9"/>
      <c r="KR66" s="9"/>
      <c r="KS66" s="9"/>
      <c r="KT66" s="9"/>
      <c r="KU66" s="9"/>
      <c r="KV66" s="9"/>
      <c r="KW66" s="9"/>
      <c r="KX66" s="9"/>
      <c r="KY66" s="9"/>
      <c r="KZ66" s="9"/>
      <c r="LA66" s="9"/>
      <c r="LB66" s="9"/>
      <c r="LC66" s="9"/>
      <c r="LD66" s="9"/>
      <c r="LE66" s="9"/>
      <c r="LF66" s="9"/>
      <c r="LG66" s="9"/>
      <c r="LH66" s="9"/>
      <c r="LI66" s="9"/>
      <c r="LJ66" s="9"/>
      <c r="LK66" s="9"/>
      <c r="LL66" s="9"/>
      <c r="LM66" s="9"/>
      <c r="LN66" s="9"/>
      <c r="LO66" s="9"/>
      <c r="LP66" s="9"/>
      <c r="LQ66" s="9"/>
      <c r="LR66" s="9"/>
      <c r="LS66" s="9"/>
      <c r="LT66" s="9"/>
      <c r="LU66" s="9"/>
      <c r="LV66" s="9"/>
      <c r="LW66" s="9"/>
      <c r="LX66" s="9"/>
      <c r="LY66" s="9"/>
      <c r="LZ66" s="9"/>
      <c r="MA66" s="9"/>
      <c r="MB66" s="9"/>
      <c r="MC66" s="9"/>
      <c r="MD66" s="9"/>
      <c r="ME66" s="9"/>
      <c r="MF66" s="9"/>
      <c r="MG66" s="9"/>
      <c r="MH66" s="9"/>
      <c r="MI66" s="9"/>
      <c r="MJ66" s="9"/>
      <c r="MK66" s="9"/>
    </row>
    <row r="67" spans="1:349" hidden="1" x14ac:dyDescent="0.25">
      <c r="A67" s="9"/>
      <c r="B67" s="9"/>
      <c r="C67" s="9"/>
      <c r="D67" s="9"/>
      <c r="E67" s="9"/>
      <c r="F67" s="9"/>
      <c r="G67" s="9"/>
      <c r="H67" s="9"/>
      <c r="I67" s="9"/>
      <c r="J67" s="9"/>
      <c r="K67" s="9"/>
      <c r="L67" s="9"/>
      <c r="M67" s="9"/>
      <c r="N67" s="9"/>
      <c r="O67" s="9"/>
      <c r="AG67" s="9"/>
      <c r="AH67" s="9"/>
      <c r="AI67" s="9"/>
      <c r="AJ67" s="9"/>
      <c r="AK67" s="9"/>
      <c r="AL67" s="9"/>
      <c r="AM67" s="9"/>
      <c r="AN67" s="9"/>
      <c r="AO67" s="9"/>
      <c r="AP67" s="9"/>
      <c r="AQ67" s="9"/>
      <c r="AR67" s="9"/>
      <c r="AS67" s="9"/>
      <c r="AT67" s="9"/>
      <c r="AU67" s="9"/>
      <c r="AV67" s="9"/>
      <c r="AW67" s="9"/>
      <c r="AX67" s="9"/>
      <c r="AY67" s="9"/>
      <c r="AZ67" s="9"/>
      <c r="BA67" s="9"/>
      <c r="BB67" s="9"/>
      <c r="BC67" s="9"/>
      <c r="BD67" s="9"/>
      <c r="BE67" s="9"/>
      <c r="BF67" s="9"/>
      <c r="BG67" s="9"/>
      <c r="BH67" s="9"/>
      <c r="BI67" s="9"/>
      <c r="BJ67" s="9"/>
      <c r="BK67" s="9"/>
      <c r="BL67" s="9"/>
      <c r="BM67" s="9"/>
      <c r="BN67" s="9"/>
      <c r="BO67" s="9"/>
      <c r="BP67" s="9"/>
      <c r="BQ67" s="9"/>
      <c r="BR67" s="9"/>
      <c r="BS67" s="9"/>
      <c r="BT67" s="9"/>
      <c r="BU67" s="9"/>
      <c r="BV67" s="9"/>
      <c r="BW67" s="9"/>
      <c r="BX67" s="9"/>
      <c r="BY67" s="9"/>
      <c r="BZ67" s="9"/>
      <c r="CA67" s="9"/>
      <c r="CB67" s="9"/>
      <c r="CC67" s="9"/>
      <c r="CD67" s="9"/>
      <c r="CE67" s="9"/>
      <c r="CF67" s="9"/>
      <c r="CG67" s="9"/>
      <c r="CH67" s="9"/>
      <c r="CI67" s="9"/>
      <c r="CJ67" s="9"/>
      <c r="CK67" s="9"/>
      <c r="CL67" s="9"/>
      <c r="CM67" s="9"/>
      <c r="CN67" s="9"/>
      <c r="CO67" s="9"/>
      <c r="CP67" s="9"/>
      <c r="CQ67" s="9"/>
      <c r="CR67" s="9"/>
      <c r="CS67" s="9"/>
      <c r="CT67" s="9"/>
      <c r="CU67" s="9"/>
      <c r="CV67" s="9"/>
      <c r="CW67" s="9"/>
      <c r="CX67" s="9"/>
      <c r="CY67" s="9"/>
      <c r="CZ67" s="9"/>
      <c r="DA67" s="9"/>
      <c r="DB67" s="9"/>
      <c r="DC67" s="9"/>
      <c r="DD67" s="9"/>
      <c r="DE67" s="9"/>
      <c r="DF67" s="9"/>
      <c r="DG67" s="9"/>
      <c r="DH67" s="9"/>
      <c r="DI67" s="9"/>
      <c r="DJ67" s="9"/>
      <c r="DK67" s="9"/>
      <c r="DL67" s="9"/>
      <c r="DM67" s="9"/>
      <c r="DN67" s="9"/>
      <c r="DO67" s="9"/>
      <c r="DP67" s="9"/>
      <c r="DQ67" s="9"/>
      <c r="DR67" s="9"/>
      <c r="DS67" s="9"/>
      <c r="DT67" s="9"/>
      <c r="DU67" s="9"/>
      <c r="DV67" s="9"/>
      <c r="DW67" s="9"/>
      <c r="DX67" s="9"/>
      <c r="DY67" s="9"/>
      <c r="DZ67" s="9"/>
      <c r="EA67" s="9"/>
      <c r="EB67" s="9"/>
      <c r="EC67" s="9"/>
      <c r="ED67" s="9"/>
      <c r="EE67" s="9"/>
      <c r="EF67" s="9"/>
      <c r="EG67" s="9"/>
      <c r="EH67" s="9"/>
      <c r="EI67" s="9"/>
      <c r="EJ67" s="9"/>
      <c r="EK67" s="9"/>
      <c r="EL67" s="9"/>
      <c r="EM67" s="9"/>
      <c r="EN67" s="9"/>
      <c r="EO67" s="9"/>
      <c r="EP67" s="9"/>
      <c r="EQ67" s="9"/>
      <c r="ER67" s="9"/>
      <c r="ES67" s="9"/>
      <c r="ET67" s="9"/>
      <c r="EU67" s="9"/>
      <c r="EV67" s="9"/>
      <c r="EW67" s="9"/>
      <c r="EX67" s="9"/>
      <c r="EY67" s="9"/>
      <c r="EZ67" s="9"/>
      <c r="FA67" s="9"/>
      <c r="FB67" s="9"/>
      <c r="FC67" s="9"/>
      <c r="FD67" s="9"/>
      <c r="FE67" s="9"/>
      <c r="FF67" s="9"/>
      <c r="FG67" s="9"/>
      <c r="FH67" s="9"/>
      <c r="FI67" s="9"/>
      <c r="FJ67" s="9"/>
      <c r="FK67" s="9"/>
      <c r="FL67" s="9"/>
      <c r="FM67" s="9"/>
      <c r="FN67" s="9"/>
      <c r="FO67" s="9"/>
      <c r="FP67" s="9"/>
      <c r="FQ67" s="9"/>
      <c r="FR67" s="9"/>
      <c r="FS67" s="9"/>
      <c r="FT67" s="9"/>
      <c r="FU67" s="9"/>
      <c r="FV67" s="9"/>
      <c r="FW67" s="9"/>
      <c r="FX67" s="9"/>
      <c r="FY67" s="9"/>
      <c r="FZ67" s="9"/>
      <c r="GA67" s="9"/>
      <c r="GB67" s="9"/>
      <c r="GC67" s="9"/>
      <c r="GD67" s="9"/>
      <c r="GE67" s="9"/>
      <c r="GF67" s="9"/>
      <c r="GG67" s="9"/>
      <c r="GH67" s="9"/>
      <c r="GI67" s="9"/>
      <c r="GJ67" s="9"/>
      <c r="GK67" s="9"/>
      <c r="GL67" s="9"/>
      <c r="GM67" s="9"/>
      <c r="GN67" s="9"/>
      <c r="GO67" s="9"/>
      <c r="GP67" s="9"/>
      <c r="GQ67" s="9"/>
      <c r="GR67" s="9"/>
      <c r="GS67" s="9"/>
      <c r="GT67" s="9"/>
      <c r="GU67" s="9"/>
      <c r="GV67" s="9"/>
      <c r="GW67" s="9"/>
      <c r="GX67" s="9"/>
      <c r="GY67" s="9"/>
      <c r="GZ67" s="9"/>
      <c r="HA67" s="9"/>
      <c r="HB67" s="9"/>
      <c r="HC67" s="9"/>
      <c r="HD67" s="9"/>
      <c r="HE67" s="9"/>
      <c r="HF67" s="9"/>
      <c r="HG67" s="9"/>
      <c r="HH67" s="9"/>
      <c r="HI67" s="9"/>
      <c r="HJ67" s="9"/>
      <c r="HK67" s="9"/>
      <c r="HL67" s="9"/>
      <c r="HM67" s="9"/>
      <c r="HN67" s="9"/>
      <c r="HO67" s="9"/>
      <c r="HP67" s="9"/>
      <c r="HQ67" s="9"/>
      <c r="HR67" s="9"/>
      <c r="HS67" s="9"/>
      <c r="HT67" s="9"/>
      <c r="HU67" s="9"/>
      <c r="HV67" s="9"/>
      <c r="HW67" s="9"/>
      <c r="HX67" s="9"/>
      <c r="HY67" s="9"/>
      <c r="HZ67" s="9"/>
      <c r="IA67" s="9"/>
      <c r="IB67" s="9"/>
      <c r="IC67" s="9"/>
      <c r="ID67" s="9"/>
      <c r="IE67" s="9"/>
      <c r="IF67" s="9"/>
      <c r="IG67" s="9"/>
      <c r="IH67" s="9"/>
      <c r="II67" s="9"/>
      <c r="IJ67" s="9"/>
      <c r="IK67" s="9"/>
      <c r="IL67" s="9"/>
      <c r="IM67" s="9"/>
      <c r="IN67" s="9"/>
      <c r="IO67" s="9"/>
      <c r="IP67" s="9"/>
      <c r="IQ67" s="9"/>
      <c r="IR67" s="9"/>
      <c r="IS67" s="9"/>
      <c r="IT67" s="9"/>
      <c r="IU67" s="9"/>
      <c r="IV67" s="9"/>
      <c r="IW67" s="9"/>
      <c r="IX67" s="9"/>
      <c r="IY67" s="9"/>
      <c r="IZ67" s="9"/>
      <c r="JA67" s="9"/>
      <c r="JB67" s="9"/>
      <c r="JC67" s="9"/>
      <c r="JD67" s="9"/>
      <c r="JE67" s="9"/>
      <c r="JF67" s="9"/>
      <c r="JG67" s="9"/>
      <c r="JH67" s="9"/>
      <c r="JI67" s="9"/>
      <c r="JJ67" s="9"/>
      <c r="JK67" s="9"/>
      <c r="JL67" s="9"/>
      <c r="JM67" s="9"/>
      <c r="JN67" s="9"/>
      <c r="JO67" s="9"/>
      <c r="JP67" s="9"/>
      <c r="JQ67" s="9"/>
      <c r="JR67" s="9"/>
      <c r="JS67" s="9"/>
      <c r="JT67" s="9"/>
      <c r="JU67" s="9"/>
      <c r="JV67" s="9"/>
      <c r="JW67" s="9"/>
      <c r="JX67" s="9"/>
      <c r="JY67" s="9"/>
      <c r="JZ67" s="9"/>
      <c r="KA67" s="9"/>
      <c r="KB67" s="9"/>
      <c r="KC67" s="9"/>
      <c r="KD67" s="9"/>
      <c r="KE67" s="9"/>
      <c r="KF67" s="9"/>
      <c r="KG67" s="9"/>
      <c r="KH67" s="9"/>
      <c r="KI67" s="9"/>
      <c r="KJ67" s="9"/>
      <c r="KK67" s="9"/>
      <c r="KL67" s="9"/>
      <c r="KM67" s="9"/>
      <c r="KN67" s="9"/>
      <c r="KO67" s="9"/>
      <c r="KP67" s="9"/>
      <c r="KQ67" s="9"/>
      <c r="KR67" s="9"/>
      <c r="KS67" s="9"/>
      <c r="KT67" s="9"/>
      <c r="KU67" s="9"/>
      <c r="KV67" s="9"/>
      <c r="KW67" s="9"/>
      <c r="KX67" s="9"/>
      <c r="KY67" s="9"/>
      <c r="KZ67" s="9"/>
      <c r="LA67" s="9"/>
      <c r="LB67" s="9"/>
      <c r="LC67" s="9"/>
      <c r="LD67" s="9"/>
      <c r="LE67" s="9"/>
      <c r="LF67" s="9"/>
      <c r="LG67" s="9"/>
      <c r="LH67" s="9"/>
      <c r="LI67" s="9"/>
      <c r="LJ67" s="9"/>
      <c r="LK67" s="9"/>
      <c r="LL67" s="9"/>
      <c r="LM67" s="9"/>
      <c r="LN67" s="9"/>
      <c r="LO67" s="9"/>
      <c r="LP67" s="9"/>
      <c r="LQ67" s="9"/>
      <c r="LR67" s="9"/>
      <c r="LS67" s="9"/>
      <c r="LT67" s="9"/>
      <c r="LU67" s="9"/>
      <c r="LV67" s="9"/>
      <c r="LW67" s="9"/>
      <c r="LX67" s="9"/>
      <c r="LY67" s="9"/>
      <c r="LZ67" s="9"/>
      <c r="MA67" s="9"/>
      <c r="MB67" s="9"/>
      <c r="MC67" s="9"/>
      <c r="MD67" s="9"/>
      <c r="ME67" s="9"/>
      <c r="MF67" s="9"/>
      <c r="MG67" s="9"/>
      <c r="MH67" s="9"/>
      <c r="MI67" s="9"/>
      <c r="MJ67" s="9"/>
      <c r="MK67" s="9"/>
    </row>
    <row r="68" spans="1:349" hidden="1" x14ac:dyDescent="0.25">
      <c r="A68" s="9"/>
      <c r="B68" s="9"/>
      <c r="C68" s="9"/>
      <c r="D68" s="9"/>
      <c r="E68" s="9"/>
      <c r="F68" s="9"/>
      <c r="G68" s="9"/>
      <c r="H68" s="9"/>
      <c r="I68" s="9"/>
      <c r="J68" s="9"/>
      <c r="K68" s="9"/>
      <c r="L68" s="9"/>
      <c r="M68" s="9"/>
      <c r="N68" s="9"/>
      <c r="O68" s="9"/>
      <c r="AG68" s="9"/>
      <c r="AH68" s="9"/>
      <c r="AI68" s="9"/>
      <c r="AJ68" s="9"/>
      <c r="AK68" s="9"/>
      <c r="AL68" s="9"/>
      <c r="AM68" s="9"/>
      <c r="AN68" s="9"/>
      <c r="AO68" s="9"/>
      <c r="AP68" s="9"/>
      <c r="AQ68" s="9"/>
      <c r="AR68" s="9"/>
      <c r="AS68" s="9"/>
      <c r="AT68" s="9"/>
      <c r="AU68" s="9"/>
      <c r="AV68" s="9"/>
      <c r="AW68" s="9"/>
      <c r="AX68" s="9"/>
      <c r="AY68" s="9"/>
      <c r="AZ68" s="9"/>
      <c r="BA68" s="9"/>
      <c r="BB68" s="9"/>
      <c r="BC68" s="9"/>
      <c r="BD68" s="9"/>
      <c r="BE68" s="9"/>
      <c r="BF68" s="9"/>
      <c r="BG68" s="9"/>
      <c r="BH68" s="9"/>
      <c r="BI68" s="9"/>
      <c r="BJ68" s="9"/>
      <c r="BK68" s="9"/>
      <c r="BL68" s="9"/>
      <c r="BM68" s="9"/>
      <c r="BN68" s="9"/>
      <c r="BO68" s="9"/>
      <c r="BP68" s="9"/>
      <c r="BQ68" s="9"/>
      <c r="BR68" s="9"/>
      <c r="BS68" s="9"/>
      <c r="BT68" s="9"/>
      <c r="BU68" s="9"/>
      <c r="BV68" s="9"/>
      <c r="BW68" s="9"/>
      <c r="BX68" s="9"/>
      <c r="BY68" s="9"/>
      <c r="BZ68" s="9"/>
      <c r="CA68" s="9"/>
      <c r="CB68" s="9"/>
      <c r="CC68" s="9"/>
      <c r="CD68" s="9"/>
      <c r="CE68" s="9"/>
      <c r="CF68" s="9"/>
      <c r="CG68" s="9"/>
      <c r="CH68" s="9"/>
      <c r="CI68" s="9"/>
      <c r="CJ68" s="9"/>
      <c r="CK68" s="9"/>
      <c r="CL68" s="9"/>
      <c r="CM68" s="9"/>
      <c r="CN68" s="9"/>
      <c r="CO68" s="9"/>
      <c r="CP68" s="9"/>
      <c r="CQ68" s="9"/>
      <c r="CR68" s="9"/>
      <c r="CS68" s="9"/>
      <c r="CT68" s="9"/>
      <c r="CU68" s="9"/>
      <c r="CV68" s="9"/>
      <c r="CW68" s="9"/>
      <c r="CX68" s="9"/>
      <c r="CY68" s="9"/>
      <c r="CZ68" s="9"/>
      <c r="DA68" s="9"/>
      <c r="DB68" s="9"/>
      <c r="DC68" s="9"/>
      <c r="DD68" s="9"/>
      <c r="DE68" s="9"/>
      <c r="DF68" s="9"/>
      <c r="DG68" s="9"/>
      <c r="DH68" s="9"/>
      <c r="DI68" s="9"/>
      <c r="DJ68" s="9"/>
      <c r="DK68" s="9"/>
      <c r="DL68" s="9"/>
      <c r="DM68" s="9"/>
      <c r="DN68" s="9"/>
      <c r="DO68" s="9"/>
      <c r="DP68" s="9"/>
      <c r="DQ68" s="9"/>
      <c r="DR68" s="9"/>
      <c r="DS68" s="9"/>
      <c r="DT68" s="9"/>
      <c r="DU68" s="9"/>
      <c r="DV68" s="9"/>
      <c r="DW68" s="9"/>
      <c r="DX68" s="9"/>
      <c r="DY68" s="9"/>
      <c r="DZ68" s="9"/>
      <c r="EA68" s="9"/>
      <c r="EB68" s="9"/>
      <c r="EC68" s="9"/>
      <c r="ED68" s="9"/>
      <c r="EE68" s="9"/>
      <c r="EF68" s="9"/>
      <c r="EG68" s="9"/>
      <c r="EH68" s="9"/>
      <c r="EI68" s="9"/>
      <c r="EJ68" s="9"/>
      <c r="EK68" s="9"/>
      <c r="EL68" s="9"/>
      <c r="EM68" s="9"/>
      <c r="EN68" s="9"/>
      <c r="EO68" s="9"/>
      <c r="EP68" s="9"/>
      <c r="EQ68" s="9"/>
      <c r="ER68" s="9"/>
      <c r="ES68" s="9"/>
      <c r="ET68" s="9"/>
      <c r="EU68" s="9"/>
      <c r="EV68" s="9"/>
      <c r="EW68" s="9"/>
      <c r="EX68" s="9"/>
      <c r="EY68" s="9"/>
      <c r="EZ68" s="9"/>
      <c r="FA68" s="9"/>
      <c r="FB68" s="9"/>
      <c r="FC68" s="9"/>
      <c r="FD68" s="9"/>
      <c r="FE68" s="9"/>
      <c r="FF68" s="9"/>
      <c r="FG68" s="9"/>
      <c r="FH68" s="9"/>
      <c r="FI68" s="9"/>
      <c r="FJ68" s="9"/>
      <c r="FK68" s="9"/>
      <c r="FL68" s="9"/>
      <c r="FM68" s="9"/>
      <c r="FN68" s="9"/>
      <c r="FO68" s="9"/>
      <c r="FP68" s="9"/>
      <c r="FQ68" s="9"/>
      <c r="FR68" s="9"/>
      <c r="FS68" s="9"/>
      <c r="FT68" s="9"/>
      <c r="FU68" s="9"/>
      <c r="FV68" s="9"/>
      <c r="FW68" s="9"/>
      <c r="FX68" s="9"/>
      <c r="FY68" s="9"/>
      <c r="FZ68" s="9"/>
      <c r="GA68" s="9"/>
      <c r="GB68" s="9"/>
      <c r="GC68" s="9"/>
      <c r="GD68" s="9"/>
      <c r="GE68" s="9"/>
      <c r="GF68" s="9"/>
      <c r="GG68" s="9"/>
      <c r="GH68" s="9"/>
      <c r="GI68" s="9"/>
      <c r="GJ68" s="9"/>
      <c r="GK68" s="9"/>
      <c r="GL68" s="9"/>
      <c r="GM68" s="9"/>
      <c r="GN68" s="9"/>
      <c r="GO68" s="9"/>
      <c r="GP68" s="9"/>
      <c r="GQ68" s="9"/>
      <c r="GR68" s="9"/>
      <c r="GS68" s="9"/>
      <c r="GT68" s="9"/>
      <c r="GU68" s="9"/>
      <c r="GV68" s="9"/>
      <c r="GW68" s="9"/>
      <c r="GX68" s="9"/>
      <c r="GY68" s="9"/>
      <c r="GZ68" s="9"/>
      <c r="HA68" s="9"/>
      <c r="HB68" s="9"/>
      <c r="HC68" s="9"/>
      <c r="HD68" s="9"/>
      <c r="HE68" s="9"/>
      <c r="HF68" s="9"/>
      <c r="HG68" s="9"/>
      <c r="HH68" s="9"/>
      <c r="HI68" s="9"/>
      <c r="HJ68" s="9"/>
      <c r="HK68" s="9"/>
      <c r="HL68" s="9"/>
      <c r="HM68" s="9"/>
      <c r="HN68" s="9"/>
      <c r="HO68" s="9"/>
      <c r="HP68" s="9"/>
      <c r="HQ68" s="9"/>
      <c r="HR68" s="9"/>
      <c r="HS68" s="9"/>
      <c r="HT68" s="9"/>
      <c r="HU68" s="9"/>
      <c r="HV68" s="9"/>
      <c r="HW68" s="9"/>
      <c r="HX68" s="9"/>
      <c r="HY68" s="9"/>
      <c r="HZ68" s="9"/>
      <c r="IA68" s="9"/>
      <c r="IB68" s="9"/>
      <c r="IC68" s="9"/>
      <c r="ID68" s="9"/>
      <c r="IE68" s="9"/>
      <c r="IF68" s="9"/>
      <c r="IG68" s="9"/>
      <c r="IH68" s="9"/>
      <c r="II68" s="9"/>
      <c r="IJ68" s="9"/>
      <c r="IK68" s="9"/>
      <c r="IL68" s="9"/>
      <c r="IM68" s="9"/>
      <c r="IN68" s="9"/>
      <c r="IO68" s="9"/>
      <c r="IP68" s="9"/>
      <c r="IQ68" s="9"/>
      <c r="IR68" s="9"/>
      <c r="IS68" s="9"/>
      <c r="IT68" s="9"/>
      <c r="IU68" s="9"/>
      <c r="IV68" s="9"/>
      <c r="IW68" s="9"/>
      <c r="IX68" s="9"/>
      <c r="IY68" s="9"/>
      <c r="IZ68" s="9"/>
      <c r="JA68" s="9"/>
      <c r="JB68" s="9"/>
      <c r="JC68" s="9"/>
      <c r="JD68" s="9"/>
      <c r="JE68" s="9"/>
      <c r="JF68" s="9"/>
      <c r="JG68" s="9"/>
      <c r="JH68" s="9"/>
      <c r="JI68" s="9"/>
      <c r="JJ68" s="9"/>
      <c r="JK68" s="9"/>
      <c r="JL68" s="9"/>
      <c r="JM68" s="9"/>
      <c r="JN68" s="9"/>
      <c r="JO68" s="9"/>
      <c r="JP68" s="9"/>
      <c r="JQ68" s="9"/>
      <c r="JR68" s="9"/>
      <c r="JS68" s="9"/>
      <c r="JT68" s="9"/>
      <c r="JU68" s="9"/>
      <c r="JV68" s="9"/>
      <c r="JW68" s="9"/>
      <c r="JX68" s="9"/>
      <c r="JY68" s="9"/>
      <c r="JZ68" s="9"/>
      <c r="KA68" s="9"/>
      <c r="KB68" s="9"/>
      <c r="KC68" s="9"/>
      <c r="KD68" s="9"/>
      <c r="KE68" s="9"/>
      <c r="KF68" s="9"/>
      <c r="KG68" s="9"/>
      <c r="KH68" s="9"/>
      <c r="KI68" s="9"/>
      <c r="KJ68" s="9"/>
      <c r="KK68" s="9"/>
      <c r="KL68" s="9"/>
      <c r="KM68" s="9"/>
      <c r="KN68" s="9"/>
      <c r="KO68" s="9"/>
      <c r="KP68" s="9"/>
      <c r="KQ68" s="9"/>
      <c r="KR68" s="9"/>
      <c r="KS68" s="9"/>
      <c r="KT68" s="9"/>
      <c r="KU68" s="9"/>
      <c r="KV68" s="9"/>
      <c r="KW68" s="9"/>
      <c r="KX68" s="9"/>
      <c r="KY68" s="9"/>
      <c r="KZ68" s="9"/>
      <c r="LA68" s="9"/>
      <c r="LB68" s="9"/>
      <c r="LC68" s="9"/>
      <c r="LD68" s="9"/>
      <c r="LE68" s="9"/>
      <c r="LF68" s="9"/>
      <c r="LG68" s="9"/>
      <c r="LH68" s="9"/>
      <c r="LI68" s="9"/>
      <c r="LJ68" s="9"/>
      <c r="LK68" s="9"/>
      <c r="LL68" s="9"/>
      <c r="LM68" s="9"/>
      <c r="LN68" s="9"/>
      <c r="LO68" s="9"/>
      <c r="LP68" s="9"/>
      <c r="LQ68" s="9"/>
      <c r="LR68" s="9"/>
      <c r="LS68" s="9"/>
      <c r="LT68" s="9"/>
      <c r="LU68" s="9"/>
      <c r="LV68" s="9"/>
      <c r="LW68" s="9"/>
      <c r="LX68" s="9"/>
      <c r="LY68" s="9"/>
      <c r="LZ68" s="9"/>
      <c r="MA68" s="9"/>
      <c r="MB68" s="9"/>
      <c r="MC68" s="9"/>
      <c r="MD68" s="9"/>
      <c r="ME68" s="9"/>
      <c r="MF68" s="9"/>
      <c r="MG68" s="9"/>
      <c r="MH68" s="9"/>
      <c r="MI68" s="9"/>
      <c r="MJ68" s="9"/>
      <c r="MK68" s="9"/>
    </row>
    <row r="69" spans="1:349" hidden="1" x14ac:dyDescent="0.25">
      <c r="A69" s="9"/>
      <c r="B69" s="9"/>
      <c r="C69" s="9"/>
      <c r="D69" s="9"/>
      <c r="E69" s="9"/>
      <c r="F69" s="9"/>
      <c r="G69" s="9"/>
      <c r="H69" s="9"/>
      <c r="I69" s="9"/>
      <c r="J69" s="9"/>
      <c r="K69" s="9"/>
      <c r="L69" s="9"/>
      <c r="M69" s="9"/>
      <c r="N69" s="9"/>
      <c r="O69" s="9"/>
      <c r="AG69" s="9"/>
      <c r="AH69" s="9"/>
      <c r="AI69" s="9"/>
      <c r="AJ69" s="9"/>
      <c r="AK69" s="9"/>
      <c r="AL69" s="9"/>
      <c r="AM69" s="9"/>
      <c r="AN69" s="9"/>
      <c r="AO69" s="9"/>
      <c r="AP69" s="9"/>
      <c r="AQ69" s="9"/>
      <c r="AR69" s="9"/>
      <c r="AS69" s="9"/>
      <c r="AT69" s="9"/>
      <c r="AU69" s="9"/>
      <c r="AV69" s="9"/>
      <c r="AW69" s="9"/>
      <c r="AX69" s="9"/>
      <c r="AY69" s="9"/>
      <c r="AZ69" s="9"/>
      <c r="BA69" s="9"/>
      <c r="BB69" s="9"/>
      <c r="BC69" s="9"/>
      <c r="BD69" s="9"/>
      <c r="BE69" s="9"/>
      <c r="BF69" s="9"/>
      <c r="BG69" s="9"/>
      <c r="BH69" s="9"/>
      <c r="BI69" s="9"/>
      <c r="BJ69" s="9"/>
      <c r="BK69" s="9"/>
      <c r="BL69" s="9"/>
      <c r="BM69" s="9"/>
      <c r="BN69" s="9"/>
      <c r="BO69" s="9"/>
      <c r="BP69" s="9"/>
      <c r="BQ69" s="9"/>
      <c r="BR69" s="9"/>
      <c r="BS69" s="9"/>
      <c r="BT69" s="9"/>
      <c r="BU69" s="9"/>
      <c r="BV69" s="9"/>
      <c r="BW69" s="9"/>
      <c r="BX69" s="9"/>
      <c r="BY69" s="9"/>
      <c r="BZ69" s="9"/>
      <c r="CA69" s="9"/>
      <c r="CB69" s="9"/>
      <c r="CC69" s="9"/>
      <c r="CD69" s="9"/>
      <c r="CE69" s="9"/>
      <c r="CF69" s="9"/>
      <c r="CG69" s="9"/>
      <c r="CH69" s="9"/>
      <c r="CI69" s="9"/>
      <c r="CJ69" s="9"/>
      <c r="CK69" s="9"/>
      <c r="CL69" s="9"/>
      <c r="CM69" s="9"/>
      <c r="CN69" s="9"/>
      <c r="CO69" s="9"/>
      <c r="CP69" s="9"/>
      <c r="CQ69" s="9"/>
      <c r="CR69" s="9"/>
      <c r="CS69" s="9"/>
      <c r="CT69" s="9"/>
      <c r="CU69" s="9"/>
      <c r="CV69" s="9"/>
      <c r="CW69" s="9"/>
      <c r="CX69" s="9"/>
      <c r="CY69" s="9"/>
      <c r="CZ69" s="9"/>
      <c r="DA69" s="9"/>
      <c r="DB69" s="9"/>
      <c r="DC69" s="9"/>
      <c r="DD69" s="9"/>
      <c r="DE69" s="9"/>
      <c r="DF69" s="9"/>
      <c r="DG69" s="9"/>
      <c r="DH69" s="9"/>
      <c r="DI69" s="9"/>
      <c r="DJ69" s="9"/>
      <c r="DK69" s="9"/>
      <c r="DL69" s="9"/>
      <c r="DM69" s="9"/>
      <c r="DN69" s="9"/>
      <c r="DO69" s="9"/>
      <c r="DP69" s="9"/>
      <c r="DQ69" s="9"/>
      <c r="DR69" s="9"/>
      <c r="DS69" s="9"/>
      <c r="DT69" s="9"/>
      <c r="DU69" s="9"/>
      <c r="DV69" s="9"/>
      <c r="DW69" s="9"/>
      <c r="DX69" s="9"/>
      <c r="DY69" s="9"/>
      <c r="DZ69" s="9"/>
      <c r="EA69" s="9"/>
      <c r="EB69" s="9"/>
      <c r="EC69" s="9"/>
      <c r="ED69" s="9"/>
      <c r="EE69" s="9"/>
      <c r="EF69" s="9"/>
      <c r="EG69" s="9"/>
      <c r="EH69" s="9"/>
      <c r="EI69" s="9"/>
      <c r="EJ69" s="9"/>
      <c r="EK69" s="9"/>
      <c r="EL69" s="9"/>
      <c r="EM69" s="9"/>
      <c r="EN69" s="9"/>
      <c r="EO69" s="9"/>
      <c r="EP69" s="9"/>
      <c r="EQ69" s="9"/>
      <c r="ER69" s="9"/>
      <c r="ES69" s="9"/>
      <c r="ET69" s="9"/>
      <c r="EU69" s="9"/>
      <c r="EV69" s="9"/>
      <c r="EW69" s="9"/>
      <c r="EX69" s="9"/>
      <c r="EY69" s="9"/>
      <c r="EZ69" s="9"/>
      <c r="FA69" s="9"/>
      <c r="FB69" s="9"/>
      <c r="FC69" s="9"/>
      <c r="FD69" s="9"/>
      <c r="FE69" s="9"/>
      <c r="FF69" s="9"/>
      <c r="FG69" s="9"/>
      <c r="FH69" s="9"/>
      <c r="FI69" s="9"/>
      <c r="FJ69" s="9"/>
      <c r="FK69" s="9"/>
      <c r="FL69" s="9"/>
      <c r="FM69" s="9"/>
      <c r="FN69" s="9"/>
      <c r="FO69" s="9"/>
      <c r="FP69" s="9"/>
      <c r="FQ69" s="9"/>
      <c r="FR69" s="9"/>
      <c r="FS69" s="9"/>
      <c r="FT69" s="9"/>
      <c r="FU69" s="9"/>
      <c r="FV69" s="9"/>
      <c r="FW69" s="9"/>
      <c r="FX69" s="9"/>
      <c r="FY69" s="9"/>
      <c r="FZ69" s="9"/>
      <c r="GA69" s="9"/>
      <c r="GB69" s="9"/>
      <c r="GC69" s="9"/>
      <c r="GD69" s="9"/>
      <c r="GE69" s="9"/>
      <c r="GF69" s="9"/>
      <c r="GG69" s="9"/>
      <c r="GH69" s="9"/>
      <c r="GI69" s="9"/>
      <c r="GJ69" s="9"/>
      <c r="GK69" s="9"/>
      <c r="GL69" s="9"/>
      <c r="GM69" s="9"/>
      <c r="GN69" s="9"/>
      <c r="GO69" s="9"/>
      <c r="GP69" s="9"/>
      <c r="GQ69" s="9"/>
      <c r="GR69" s="9"/>
      <c r="GS69" s="9"/>
      <c r="GT69" s="9"/>
      <c r="GU69" s="9"/>
      <c r="GV69" s="9"/>
      <c r="GW69" s="9"/>
      <c r="GX69" s="9"/>
      <c r="GY69" s="9"/>
      <c r="GZ69" s="9"/>
      <c r="HA69" s="9"/>
      <c r="HB69" s="9"/>
      <c r="HC69" s="9"/>
      <c r="HD69" s="9"/>
      <c r="HE69" s="9"/>
      <c r="HF69" s="9"/>
      <c r="HG69" s="9"/>
      <c r="HH69" s="9"/>
      <c r="HI69" s="9"/>
      <c r="HJ69" s="9"/>
      <c r="HK69" s="9"/>
      <c r="HL69" s="9"/>
      <c r="HM69" s="9"/>
      <c r="HN69" s="9"/>
      <c r="HO69" s="9"/>
      <c r="HP69" s="9"/>
      <c r="HQ69" s="9"/>
      <c r="HR69" s="9"/>
      <c r="HS69" s="9"/>
      <c r="HT69" s="9"/>
      <c r="HU69" s="9"/>
      <c r="HV69" s="9"/>
      <c r="HW69" s="9"/>
      <c r="HX69" s="9"/>
      <c r="HY69" s="9"/>
      <c r="HZ69" s="9"/>
      <c r="IA69" s="9"/>
      <c r="IB69" s="9"/>
      <c r="IC69" s="9"/>
      <c r="ID69" s="9"/>
      <c r="IE69" s="9"/>
      <c r="IF69" s="9"/>
      <c r="IG69" s="9"/>
      <c r="IH69" s="9"/>
      <c r="II69" s="9"/>
      <c r="IJ69" s="9"/>
      <c r="IK69" s="9"/>
      <c r="IL69" s="9"/>
      <c r="IM69" s="9"/>
      <c r="IN69" s="9"/>
      <c r="IO69" s="9"/>
      <c r="IP69" s="9"/>
      <c r="IQ69" s="9"/>
      <c r="IR69" s="9"/>
      <c r="IS69" s="9"/>
      <c r="IT69" s="9"/>
      <c r="IU69" s="9"/>
      <c r="IV69" s="9"/>
      <c r="IW69" s="9"/>
      <c r="IX69" s="9"/>
      <c r="IY69" s="9"/>
      <c r="IZ69" s="9"/>
      <c r="JA69" s="9"/>
      <c r="JB69" s="9"/>
      <c r="JC69" s="9"/>
      <c r="JD69" s="9"/>
      <c r="JE69" s="9"/>
      <c r="JF69" s="9"/>
      <c r="JG69" s="9"/>
      <c r="JH69" s="9"/>
      <c r="JI69" s="9"/>
      <c r="JJ69" s="9"/>
      <c r="JK69" s="9"/>
      <c r="JL69" s="9"/>
      <c r="JM69" s="9"/>
      <c r="JN69" s="9"/>
      <c r="JO69" s="9"/>
      <c r="JP69" s="9"/>
      <c r="JQ69" s="9"/>
      <c r="JR69" s="9"/>
      <c r="JS69" s="9"/>
      <c r="JT69" s="9"/>
      <c r="JU69" s="9"/>
      <c r="JV69" s="9"/>
      <c r="JW69" s="9"/>
      <c r="JX69" s="9"/>
      <c r="JY69" s="9"/>
      <c r="JZ69" s="9"/>
      <c r="KA69" s="9"/>
      <c r="KB69" s="9"/>
      <c r="KC69" s="9"/>
      <c r="KD69" s="9"/>
      <c r="KE69" s="9"/>
      <c r="KF69" s="9"/>
      <c r="KG69" s="9"/>
      <c r="KH69" s="9"/>
      <c r="KI69" s="9"/>
      <c r="KJ69" s="9"/>
      <c r="KK69" s="9"/>
      <c r="KL69" s="9"/>
      <c r="KM69" s="9"/>
      <c r="KN69" s="9"/>
      <c r="KO69" s="9"/>
      <c r="KP69" s="9"/>
      <c r="KQ69" s="9"/>
      <c r="KR69" s="9"/>
      <c r="KS69" s="9"/>
      <c r="KT69" s="9"/>
      <c r="KU69" s="9"/>
      <c r="KV69" s="9"/>
      <c r="KW69" s="9"/>
      <c r="KX69" s="9"/>
      <c r="KY69" s="9"/>
      <c r="KZ69" s="9"/>
      <c r="LA69" s="9"/>
      <c r="LB69" s="9"/>
      <c r="LC69" s="9"/>
      <c r="LD69" s="9"/>
      <c r="LE69" s="9"/>
      <c r="LF69" s="9"/>
      <c r="LG69" s="9"/>
      <c r="LH69" s="9"/>
      <c r="LI69" s="9"/>
      <c r="LJ69" s="9"/>
      <c r="LK69" s="9"/>
      <c r="LL69" s="9"/>
      <c r="LM69" s="9"/>
      <c r="LN69" s="9"/>
      <c r="LO69" s="9"/>
      <c r="LP69" s="9"/>
      <c r="LQ69" s="9"/>
      <c r="LR69" s="9"/>
      <c r="LS69" s="9"/>
      <c r="LT69" s="9"/>
      <c r="LU69" s="9"/>
      <c r="LV69" s="9"/>
      <c r="LW69" s="9"/>
      <c r="LX69" s="9"/>
      <c r="LY69" s="9"/>
      <c r="LZ69" s="9"/>
      <c r="MA69" s="9"/>
      <c r="MB69" s="9"/>
      <c r="MC69" s="9"/>
      <c r="MD69" s="9"/>
      <c r="ME69" s="9"/>
      <c r="MF69" s="9"/>
      <c r="MG69" s="9"/>
      <c r="MH69" s="9"/>
      <c r="MI69" s="9"/>
      <c r="MJ69" s="9"/>
      <c r="MK69" s="9"/>
    </row>
    <row r="70" spans="1:349" hidden="1" x14ac:dyDescent="0.25">
      <c r="A70" s="9"/>
      <c r="B70" s="9"/>
      <c r="C70" s="9"/>
      <c r="D70" s="9"/>
      <c r="E70" s="9"/>
      <c r="F70" s="9"/>
      <c r="G70" s="9"/>
      <c r="H70" s="9"/>
      <c r="I70" s="9"/>
      <c r="J70" s="9"/>
      <c r="K70" s="9"/>
      <c r="L70" s="9"/>
      <c r="M70" s="9"/>
      <c r="N70" s="9"/>
      <c r="O70" s="9"/>
      <c r="AG70" s="9"/>
      <c r="AH70" s="9"/>
      <c r="AI70" s="9"/>
      <c r="AJ70" s="9"/>
      <c r="AK70" s="9"/>
      <c r="AL70" s="9"/>
      <c r="AM70" s="9"/>
      <c r="AN70" s="9"/>
      <c r="AO70" s="9"/>
      <c r="AP70" s="9"/>
      <c r="AQ70" s="9"/>
      <c r="AR70" s="9"/>
      <c r="AS70" s="9"/>
      <c r="AT70" s="9"/>
      <c r="AU70" s="9"/>
      <c r="AV70" s="9"/>
      <c r="AW70" s="9"/>
      <c r="AX70" s="9"/>
      <c r="AY70" s="9"/>
      <c r="AZ70" s="9"/>
      <c r="BA70" s="9"/>
      <c r="BB70" s="9"/>
      <c r="BC70" s="9"/>
      <c r="BD70" s="9"/>
      <c r="BE70" s="9"/>
      <c r="BF70" s="9"/>
      <c r="BG70" s="9"/>
      <c r="BH70" s="9"/>
      <c r="BI70" s="9"/>
      <c r="BJ70" s="9"/>
      <c r="BK70" s="9"/>
      <c r="BL70" s="9"/>
      <c r="BM70" s="9"/>
      <c r="BN70" s="9"/>
      <c r="BO70" s="9"/>
      <c r="BP70" s="9"/>
      <c r="BQ70" s="9"/>
      <c r="BR70" s="9"/>
      <c r="BS70" s="9"/>
      <c r="BT70" s="9"/>
      <c r="BU70" s="9"/>
      <c r="BV70" s="9"/>
      <c r="BW70" s="9"/>
      <c r="BX70" s="9"/>
      <c r="BY70" s="9"/>
      <c r="BZ70" s="9"/>
      <c r="CA70" s="9"/>
      <c r="CB70" s="9"/>
      <c r="CC70" s="9"/>
      <c r="CD70" s="9"/>
      <c r="CE70" s="9"/>
      <c r="CF70" s="9"/>
      <c r="CG70" s="9"/>
      <c r="CH70" s="9"/>
      <c r="CI70" s="9"/>
      <c r="CJ70" s="9"/>
      <c r="CK70" s="9"/>
      <c r="CL70" s="9"/>
      <c r="CM70" s="9"/>
      <c r="CN70" s="9"/>
      <c r="CO70" s="9"/>
      <c r="CP70" s="9"/>
      <c r="CQ70" s="9"/>
      <c r="CR70" s="9"/>
      <c r="CS70" s="9"/>
      <c r="CT70" s="9"/>
      <c r="CU70" s="9"/>
      <c r="CV70" s="9"/>
      <c r="CW70" s="9"/>
      <c r="CX70" s="9"/>
      <c r="CY70" s="9"/>
      <c r="CZ70" s="9"/>
      <c r="DA70" s="9"/>
      <c r="DB70" s="9"/>
      <c r="DC70" s="9"/>
      <c r="DD70" s="9"/>
      <c r="DE70" s="9"/>
      <c r="DF70" s="9"/>
      <c r="DG70" s="9"/>
      <c r="DH70" s="9"/>
      <c r="DI70" s="9"/>
      <c r="DJ70" s="9"/>
      <c r="DK70" s="9"/>
      <c r="DL70" s="9"/>
      <c r="DM70" s="9"/>
      <c r="DN70" s="9"/>
      <c r="DO70" s="9"/>
      <c r="DP70" s="9"/>
      <c r="DQ70" s="9"/>
      <c r="DR70" s="9"/>
      <c r="DS70" s="9"/>
      <c r="DT70" s="9"/>
      <c r="DU70" s="9"/>
      <c r="DV70" s="9"/>
      <c r="DW70" s="9"/>
      <c r="DX70" s="9"/>
      <c r="DY70" s="9"/>
      <c r="DZ70" s="9"/>
      <c r="EA70" s="9"/>
      <c r="EB70" s="9"/>
      <c r="EC70" s="9"/>
      <c r="ED70" s="9"/>
      <c r="EE70" s="9"/>
      <c r="EF70" s="9"/>
      <c r="EG70" s="9"/>
      <c r="EH70" s="9"/>
      <c r="EI70" s="9"/>
      <c r="EJ70" s="9"/>
      <c r="EK70" s="9"/>
      <c r="EL70" s="9"/>
      <c r="EM70" s="9"/>
      <c r="EN70" s="9"/>
      <c r="EO70" s="9"/>
      <c r="EP70" s="9"/>
      <c r="EQ70" s="9"/>
      <c r="ER70" s="9"/>
      <c r="ES70" s="9"/>
      <c r="ET70" s="9"/>
      <c r="EU70" s="9"/>
      <c r="EV70" s="9"/>
      <c r="EW70" s="9"/>
      <c r="EX70" s="9"/>
      <c r="EY70" s="9"/>
      <c r="EZ70" s="9"/>
      <c r="FA70" s="9"/>
      <c r="FB70" s="9"/>
      <c r="FC70" s="9"/>
      <c r="FD70" s="9"/>
      <c r="FE70" s="9"/>
      <c r="FF70" s="9"/>
      <c r="FG70" s="9"/>
      <c r="FH70" s="9"/>
      <c r="FI70" s="9"/>
      <c r="FJ70" s="9"/>
      <c r="FK70" s="9"/>
      <c r="FL70" s="9"/>
      <c r="FM70" s="9"/>
      <c r="FN70" s="9"/>
      <c r="FO70" s="9"/>
      <c r="FP70" s="9"/>
      <c r="FQ70" s="9"/>
      <c r="FR70" s="9"/>
      <c r="FS70" s="9"/>
      <c r="FT70" s="9"/>
      <c r="FU70" s="9"/>
      <c r="FV70" s="9"/>
      <c r="FW70" s="9"/>
      <c r="FX70" s="9"/>
      <c r="FY70" s="9"/>
      <c r="FZ70" s="9"/>
      <c r="GA70" s="9"/>
      <c r="GB70" s="9"/>
      <c r="GC70" s="9"/>
      <c r="GD70" s="9"/>
      <c r="GE70" s="9"/>
      <c r="GF70" s="9"/>
      <c r="GG70" s="9"/>
      <c r="GH70" s="9"/>
      <c r="GI70" s="9"/>
      <c r="GJ70" s="9"/>
      <c r="GK70" s="9"/>
      <c r="GL70" s="9"/>
      <c r="GM70" s="9"/>
      <c r="GN70" s="9"/>
      <c r="GO70" s="9"/>
      <c r="GP70" s="9"/>
      <c r="GQ70" s="9"/>
      <c r="GR70" s="9"/>
      <c r="GS70" s="9"/>
      <c r="GT70" s="9"/>
      <c r="GU70" s="9"/>
      <c r="GV70" s="9"/>
      <c r="GW70" s="9"/>
      <c r="GX70" s="9"/>
      <c r="GY70" s="9"/>
      <c r="GZ70" s="9"/>
      <c r="HA70" s="9"/>
      <c r="HB70" s="9"/>
      <c r="HC70" s="9"/>
      <c r="HD70" s="9"/>
      <c r="HE70" s="9"/>
      <c r="HF70" s="9"/>
      <c r="HG70" s="9"/>
      <c r="HH70" s="9"/>
      <c r="HI70" s="9"/>
      <c r="HJ70" s="9"/>
      <c r="HK70" s="9"/>
      <c r="HL70" s="9"/>
      <c r="HM70" s="9"/>
      <c r="HN70" s="9"/>
      <c r="HO70" s="9"/>
      <c r="HP70" s="9"/>
      <c r="HQ70" s="9"/>
      <c r="HR70" s="9"/>
      <c r="HS70" s="9"/>
      <c r="HT70" s="9"/>
      <c r="HU70" s="9"/>
      <c r="HV70" s="9"/>
      <c r="HW70" s="9"/>
      <c r="HX70" s="9"/>
      <c r="HY70" s="9"/>
      <c r="HZ70" s="9"/>
      <c r="IA70" s="9"/>
      <c r="IB70" s="9"/>
      <c r="IC70" s="9"/>
      <c r="ID70" s="9"/>
      <c r="IE70" s="9"/>
      <c r="IF70" s="9"/>
      <c r="IG70" s="9"/>
      <c r="IH70" s="9"/>
      <c r="II70" s="9"/>
      <c r="IJ70" s="9"/>
      <c r="IK70" s="9"/>
      <c r="IL70" s="9"/>
      <c r="IM70" s="9"/>
      <c r="IN70" s="9"/>
      <c r="IO70" s="9"/>
      <c r="IP70" s="9"/>
      <c r="IQ70" s="9"/>
      <c r="IR70" s="9"/>
      <c r="IS70" s="9"/>
      <c r="IT70" s="9"/>
      <c r="IU70" s="9"/>
      <c r="IV70" s="9"/>
      <c r="IW70" s="9"/>
      <c r="IX70" s="9"/>
      <c r="IY70" s="9"/>
      <c r="IZ70" s="9"/>
      <c r="JA70" s="9"/>
      <c r="JB70" s="9"/>
      <c r="JC70" s="9"/>
      <c r="JD70" s="9"/>
      <c r="JE70" s="9"/>
      <c r="JF70" s="9"/>
      <c r="JG70" s="9"/>
      <c r="JH70" s="9"/>
      <c r="JI70" s="9"/>
      <c r="JJ70" s="9"/>
      <c r="JK70" s="9"/>
      <c r="JL70" s="9"/>
      <c r="JM70" s="9"/>
      <c r="JN70" s="9"/>
      <c r="JO70" s="9"/>
      <c r="JP70" s="9"/>
      <c r="JQ70" s="9"/>
      <c r="JR70" s="9"/>
      <c r="JS70" s="9"/>
      <c r="JT70" s="9"/>
      <c r="JU70" s="9"/>
      <c r="JV70" s="9"/>
      <c r="JW70" s="9"/>
      <c r="JX70" s="9"/>
      <c r="JY70" s="9"/>
      <c r="JZ70" s="9"/>
      <c r="KA70" s="9"/>
      <c r="KB70" s="9"/>
      <c r="KC70" s="9"/>
      <c r="KD70" s="9"/>
      <c r="KE70" s="9"/>
      <c r="KF70" s="9"/>
      <c r="KG70" s="9"/>
      <c r="KH70" s="9"/>
      <c r="KI70" s="9"/>
      <c r="KJ70" s="9"/>
      <c r="KK70" s="9"/>
      <c r="KL70" s="9"/>
      <c r="KM70" s="9"/>
      <c r="KN70" s="9"/>
      <c r="KO70" s="9"/>
      <c r="KP70" s="9"/>
      <c r="KQ70" s="9"/>
      <c r="KR70" s="9"/>
      <c r="KS70" s="9"/>
      <c r="KT70" s="9"/>
      <c r="KU70" s="9"/>
      <c r="KV70" s="9"/>
      <c r="KW70" s="9"/>
      <c r="KX70" s="9"/>
      <c r="KY70" s="9"/>
      <c r="KZ70" s="9"/>
      <c r="LA70" s="9"/>
      <c r="LB70" s="9"/>
      <c r="LC70" s="9"/>
      <c r="LD70" s="9"/>
      <c r="LE70" s="9"/>
      <c r="LF70" s="9"/>
      <c r="LG70" s="9"/>
      <c r="LH70" s="9"/>
      <c r="LI70" s="9"/>
      <c r="LJ70" s="9"/>
      <c r="LK70" s="9"/>
      <c r="LL70" s="9"/>
      <c r="LM70" s="9"/>
      <c r="LN70" s="9"/>
      <c r="LO70" s="9"/>
      <c r="LP70" s="9"/>
      <c r="LQ70" s="9"/>
      <c r="LR70" s="9"/>
      <c r="LS70" s="9"/>
      <c r="LT70" s="9"/>
      <c r="LU70" s="9"/>
      <c r="LV70" s="9"/>
      <c r="LW70" s="9"/>
      <c r="LX70" s="9"/>
      <c r="LY70" s="9"/>
      <c r="LZ70" s="9"/>
      <c r="MA70" s="9"/>
      <c r="MB70" s="9"/>
      <c r="MC70" s="9"/>
      <c r="MD70" s="9"/>
      <c r="ME70" s="9"/>
      <c r="MF70" s="9"/>
      <c r="MG70" s="9"/>
      <c r="MH70" s="9"/>
      <c r="MI70" s="9"/>
      <c r="MJ70" s="9"/>
      <c r="MK70" s="9"/>
    </row>
    <row r="71" spans="1:349" hidden="1" x14ac:dyDescent="0.25">
      <c r="A71" s="9"/>
      <c r="B71" s="9"/>
      <c r="C71" s="9"/>
      <c r="D71" s="9"/>
      <c r="E71" s="9"/>
      <c r="F71" s="9"/>
      <c r="G71" s="9"/>
      <c r="H71" s="9"/>
      <c r="I71" s="9"/>
      <c r="J71" s="9"/>
      <c r="K71" s="9"/>
      <c r="L71" s="9"/>
      <c r="M71" s="9"/>
      <c r="N71" s="9"/>
      <c r="O71" s="9"/>
      <c r="AG71" s="9"/>
      <c r="AH71" s="9"/>
      <c r="AI71" s="9"/>
      <c r="AJ71" s="9"/>
      <c r="AK71" s="9"/>
      <c r="AL71" s="9"/>
      <c r="AM71" s="9"/>
      <c r="AN71" s="9"/>
      <c r="AO71" s="9"/>
      <c r="AP71" s="9"/>
      <c r="AQ71" s="9"/>
      <c r="AR71" s="9"/>
      <c r="AS71" s="9"/>
      <c r="AT71" s="9"/>
      <c r="AU71" s="9"/>
      <c r="AV71" s="9"/>
      <c r="AW71" s="9"/>
      <c r="AX71" s="9"/>
      <c r="AY71" s="9"/>
      <c r="AZ71" s="9"/>
      <c r="BA71" s="9"/>
      <c r="BB71" s="9"/>
      <c r="BC71" s="9"/>
      <c r="BD71" s="9"/>
      <c r="BE71" s="9"/>
      <c r="BF71" s="9"/>
      <c r="BG71" s="9"/>
      <c r="BH71" s="9"/>
      <c r="BI71" s="9"/>
      <c r="BJ71" s="9"/>
      <c r="BK71" s="9"/>
      <c r="BL71" s="9"/>
      <c r="BM71" s="9"/>
      <c r="BN71" s="9"/>
      <c r="BO71" s="9"/>
      <c r="BP71" s="9"/>
      <c r="BQ71" s="9"/>
      <c r="BR71" s="9"/>
      <c r="BS71" s="9"/>
      <c r="BT71" s="9"/>
      <c r="BU71" s="9"/>
      <c r="BV71" s="9"/>
      <c r="BW71" s="9"/>
      <c r="BX71" s="9"/>
      <c r="BY71" s="9"/>
      <c r="BZ71" s="9"/>
      <c r="CA71" s="9"/>
      <c r="CB71" s="9"/>
      <c r="CC71" s="9"/>
      <c r="CD71" s="9"/>
      <c r="CE71" s="9"/>
      <c r="CF71" s="9"/>
      <c r="CG71" s="9"/>
      <c r="CH71" s="9"/>
      <c r="CI71" s="9"/>
      <c r="CJ71" s="9"/>
      <c r="CK71" s="9"/>
      <c r="CL71" s="9"/>
      <c r="CM71" s="9"/>
      <c r="CN71" s="9"/>
      <c r="CO71" s="9"/>
      <c r="CP71" s="9"/>
      <c r="CQ71" s="9"/>
      <c r="CR71" s="9"/>
      <c r="CS71" s="9"/>
      <c r="CT71" s="9"/>
      <c r="CU71" s="9"/>
      <c r="CV71" s="9"/>
      <c r="CW71" s="9"/>
      <c r="CX71" s="9"/>
      <c r="CY71" s="9"/>
      <c r="CZ71" s="9"/>
      <c r="DA71" s="9"/>
      <c r="DB71" s="9"/>
      <c r="DC71" s="9"/>
      <c r="DD71" s="9"/>
      <c r="DE71" s="9"/>
      <c r="DF71" s="9"/>
      <c r="DG71" s="9"/>
      <c r="DH71" s="9"/>
      <c r="DI71" s="9"/>
      <c r="DJ71" s="9"/>
      <c r="DK71" s="9"/>
      <c r="DL71" s="9"/>
      <c r="DM71" s="9"/>
      <c r="DN71" s="9"/>
      <c r="DO71" s="9"/>
      <c r="DP71" s="9"/>
      <c r="DQ71" s="9"/>
      <c r="DR71" s="9"/>
      <c r="DS71" s="9"/>
      <c r="DT71" s="9"/>
      <c r="DU71" s="9"/>
      <c r="DV71" s="9"/>
      <c r="DW71" s="9"/>
      <c r="DX71" s="9"/>
      <c r="DY71" s="9"/>
      <c r="DZ71" s="9"/>
      <c r="EA71" s="9"/>
      <c r="EB71" s="9"/>
      <c r="EC71" s="9"/>
      <c r="ED71" s="9"/>
      <c r="EE71" s="9"/>
      <c r="EF71" s="9"/>
      <c r="EG71" s="9"/>
      <c r="EH71" s="9"/>
      <c r="EI71" s="9"/>
      <c r="EJ71" s="9"/>
      <c r="EK71" s="9"/>
      <c r="EL71" s="9"/>
      <c r="EM71" s="9"/>
      <c r="EN71" s="9"/>
      <c r="EO71" s="9"/>
      <c r="EP71" s="9"/>
      <c r="EQ71" s="9"/>
      <c r="ER71" s="9"/>
      <c r="ES71" s="9"/>
      <c r="ET71" s="9"/>
      <c r="EU71" s="9"/>
      <c r="EV71" s="9"/>
      <c r="EW71" s="9"/>
      <c r="EX71" s="9"/>
      <c r="EY71" s="9"/>
      <c r="EZ71" s="9"/>
      <c r="FA71" s="9"/>
      <c r="FB71" s="9"/>
      <c r="FC71" s="9"/>
      <c r="FD71" s="9"/>
      <c r="FE71" s="9"/>
      <c r="FF71" s="9"/>
      <c r="FG71" s="9"/>
      <c r="FH71" s="9"/>
      <c r="FI71" s="9"/>
      <c r="FJ71" s="9"/>
      <c r="FK71" s="9"/>
      <c r="FL71" s="9"/>
      <c r="FM71" s="9"/>
      <c r="FN71" s="9"/>
      <c r="FO71" s="9"/>
      <c r="FP71" s="9"/>
      <c r="FQ71" s="9"/>
      <c r="FR71" s="9"/>
      <c r="FS71" s="9"/>
      <c r="FT71" s="9"/>
      <c r="FU71" s="9"/>
      <c r="FV71" s="9"/>
      <c r="FW71" s="9"/>
      <c r="FX71" s="9"/>
      <c r="FY71" s="9"/>
      <c r="FZ71" s="9"/>
      <c r="GA71" s="9"/>
      <c r="GB71" s="9"/>
      <c r="GC71" s="9"/>
      <c r="GD71" s="9"/>
      <c r="GE71" s="9"/>
      <c r="GF71" s="9"/>
      <c r="GG71" s="9"/>
      <c r="GH71" s="9"/>
      <c r="GI71" s="9"/>
      <c r="GJ71" s="9"/>
      <c r="GK71" s="9"/>
      <c r="GL71" s="9"/>
      <c r="GM71" s="9"/>
      <c r="GN71" s="9"/>
      <c r="GO71" s="9"/>
      <c r="GP71" s="9"/>
      <c r="GQ71" s="9"/>
      <c r="GR71" s="9"/>
      <c r="GS71" s="9"/>
      <c r="GT71" s="9"/>
      <c r="GU71" s="9"/>
      <c r="GV71" s="9"/>
      <c r="GW71" s="9"/>
      <c r="GX71" s="9"/>
      <c r="GY71" s="9"/>
      <c r="GZ71" s="9"/>
      <c r="HA71" s="9"/>
      <c r="HB71" s="9"/>
      <c r="HC71" s="9"/>
      <c r="HD71" s="9"/>
      <c r="HE71" s="9"/>
      <c r="HF71" s="9"/>
      <c r="HG71" s="9"/>
      <c r="HH71" s="9"/>
      <c r="HI71" s="9"/>
      <c r="HJ71" s="9"/>
      <c r="HK71" s="9"/>
      <c r="HL71" s="9"/>
      <c r="HM71" s="9"/>
      <c r="HN71" s="9"/>
      <c r="HO71" s="9"/>
      <c r="HP71" s="9"/>
      <c r="HQ71" s="9"/>
      <c r="HR71" s="9"/>
      <c r="HS71" s="9"/>
      <c r="HT71" s="9"/>
      <c r="HU71" s="9"/>
      <c r="HV71" s="9"/>
      <c r="HW71" s="9"/>
      <c r="HX71" s="9"/>
      <c r="HY71" s="9"/>
      <c r="HZ71" s="9"/>
      <c r="IA71" s="9"/>
      <c r="IB71" s="9"/>
      <c r="IC71" s="9"/>
      <c r="ID71" s="9"/>
      <c r="IE71" s="9"/>
      <c r="IF71" s="9"/>
      <c r="IG71" s="9"/>
      <c r="IH71" s="9"/>
      <c r="II71" s="9"/>
      <c r="IJ71" s="9"/>
      <c r="IK71" s="9"/>
      <c r="IL71" s="9"/>
      <c r="IM71" s="9"/>
      <c r="IN71" s="9"/>
      <c r="IO71" s="9"/>
      <c r="IP71" s="9"/>
      <c r="IQ71" s="9"/>
      <c r="IR71" s="9"/>
      <c r="IS71" s="9"/>
      <c r="IT71" s="9"/>
      <c r="IU71" s="9"/>
      <c r="IV71" s="9"/>
      <c r="IW71" s="9"/>
      <c r="IX71" s="9"/>
      <c r="IY71" s="9"/>
      <c r="IZ71" s="9"/>
      <c r="JA71" s="9"/>
      <c r="JB71" s="9"/>
      <c r="JC71" s="9"/>
      <c r="JD71" s="9"/>
      <c r="JE71" s="9"/>
      <c r="JF71" s="9"/>
      <c r="JG71" s="9"/>
      <c r="JH71" s="9"/>
      <c r="JI71" s="9"/>
      <c r="JJ71" s="9"/>
      <c r="JK71" s="9"/>
      <c r="JL71" s="9"/>
      <c r="JM71" s="9"/>
      <c r="JN71" s="9"/>
      <c r="JO71" s="9"/>
      <c r="JP71" s="9"/>
      <c r="JQ71" s="9"/>
      <c r="JR71" s="9"/>
      <c r="JS71" s="9"/>
      <c r="JT71" s="9"/>
      <c r="JU71" s="9"/>
      <c r="JV71" s="9"/>
      <c r="JW71" s="9"/>
      <c r="JX71" s="9"/>
      <c r="JY71" s="9"/>
      <c r="JZ71" s="9"/>
      <c r="KA71" s="9"/>
      <c r="KB71" s="9"/>
      <c r="KC71" s="9"/>
      <c r="KD71" s="9"/>
      <c r="KE71" s="9"/>
      <c r="KF71" s="9"/>
      <c r="KG71" s="9"/>
      <c r="KH71" s="9"/>
      <c r="KI71" s="9"/>
      <c r="KJ71" s="9"/>
      <c r="KK71" s="9"/>
      <c r="KL71" s="9"/>
      <c r="KM71" s="9"/>
      <c r="KN71" s="9"/>
      <c r="KO71" s="9"/>
      <c r="KP71" s="9"/>
      <c r="KQ71" s="9"/>
      <c r="KR71" s="9"/>
      <c r="KS71" s="9"/>
      <c r="KT71" s="9"/>
      <c r="KU71" s="9"/>
      <c r="KV71" s="9"/>
      <c r="KW71" s="9"/>
      <c r="KX71" s="9"/>
      <c r="KY71" s="9"/>
      <c r="KZ71" s="9"/>
      <c r="LA71" s="9"/>
      <c r="LB71" s="9"/>
      <c r="LC71" s="9"/>
      <c r="LD71" s="9"/>
      <c r="LE71" s="9"/>
      <c r="LF71" s="9"/>
      <c r="LG71" s="9"/>
      <c r="LH71" s="9"/>
      <c r="LI71" s="9"/>
      <c r="LJ71" s="9"/>
      <c r="LK71" s="9"/>
      <c r="LL71" s="9"/>
      <c r="LM71" s="9"/>
      <c r="LN71" s="9"/>
      <c r="LO71" s="9"/>
      <c r="LP71" s="9"/>
      <c r="LQ71" s="9"/>
      <c r="LR71" s="9"/>
      <c r="LS71" s="9"/>
      <c r="LT71" s="9"/>
      <c r="LU71" s="9"/>
      <c r="LV71" s="9"/>
      <c r="LW71" s="9"/>
      <c r="LX71" s="9"/>
      <c r="LY71" s="9"/>
      <c r="LZ71" s="9"/>
      <c r="MA71" s="9"/>
      <c r="MB71" s="9"/>
      <c r="MC71" s="9"/>
      <c r="MD71" s="9"/>
      <c r="ME71" s="9"/>
      <c r="MF71" s="9"/>
      <c r="MG71" s="9"/>
      <c r="MH71" s="9"/>
      <c r="MI71" s="9"/>
      <c r="MJ71" s="9"/>
      <c r="MK71" s="9"/>
    </row>
    <row r="72" spans="1:349" hidden="1" x14ac:dyDescent="0.25">
      <c r="A72" s="9"/>
      <c r="B72" s="9"/>
      <c r="C72" s="9"/>
      <c r="D72" s="9"/>
      <c r="E72" s="9"/>
      <c r="F72" s="9"/>
      <c r="G72" s="9"/>
      <c r="H72" s="9"/>
      <c r="I72" s="9"/>
      <c r="J72" s="9"/>
      <c r="K72" s="9"/>
      <c r="L72" s="9"/>
      <c r="M72" s="9"/>
      <c r="N72" s="9"/>
      <c r="O72" s="9"/>
      <c r="AG72" s="9"/>
      <c r="AH72" s="9"/>
      <c r="AI72" s="9"/>
      <c r="AJ72" s="9"/>
      <c r="AK72" s="9"/>
      <c r="AL72" s="9"/>
      <c r="AM72" s="9"/>
      <c r="AN72" s="9"/>
      <c r="AO72" s="9"/>
      <c r="AP72" s="9"/>
      <c r="AQ72" s="9"/>
      <c r="AR72" s="9"/>
      <c r="AS72" s="9"/>
      <c r="AT72" s="9"/>
      <c r="AU72" s="9"/>
      <c r="AV72" s="9"/>
      <c r="AW72" s="9"/>
      <c r="AX72" s="9"/>
      <c r="AY72" s="9"/>
      <c r="AZ72" s="9"/>
      <c r="BA72" s="9"/>
      <c r="BB72" s="9"/>
      <c r="BC72" s="9"/>
      <c r="BD72" s="9"/>
      <c r="BE72" s="9"/>
      <c r="BF72" s="9"/>
      <c r="BG72" s="9"/>
      <c r="BH72" s="9"/>
      <c r="BI72" s="9"/>
      <c r="BJ72" s="9"/>
      <c r="BK72" s="9"/>
      <c r="BL72" s="9"/>
      <c r="BM72" s="9"/>
      <c r="BN72" s="9"/>
      <c r="BO72" s="9"/>
      <c r="BP72" s="9"/>
      <c r="BQ72" s="9"/>
      <c r="BR72" s="9"/>
      <c r="BS72" s="9"/>
      <c r="BT72" s="9"/>
      <c r="BU72" s="9"/>
      <c r="BV72" s="9"/>
      <c r="BW72" s="9"/>
      <c r="BX72" s="9"/>
      <c r="BY72" s="9"/>
      <c r="BZ72" s="9"/>
      <c r="CA72" s="9"/>
      <c r="CB72" s="9"/>
      <c r="CC72" s="9"/>
      <c r="CD72" s="9"/>
      <c r="CE72" s="9"/>
      <c r="CF72" s="9"/>
      <c r="CG72" s="9"/>
      <c r="CH72" s="9"/>
      <c r="CI72" s="9"/>
      <c r="CJ72" s="9"/>
      <c r="CK72" s="9"/>
      <c r="CL72" s="9"/>
      <c r="CM72" s="9"/>
      <c r="CN72" s="9"/>
      <c r="CO72" s="9"/>
      <c r="CP72" s="9"/>
      <c r="CQ72" s="9"/>
      <c r="CR72" s="9"/>
      <c r="CS72" s="9"/>
      <c r="CT72" s="9"/>
      <c r="CU72" s="9"/>
      <c r="CV72" s="9"/>
      <c r="CW72" s="9"/>
      <c r="CX72" s="9"/>
      <c r="CY72" s="9"/>
      <c r="CZ72" s="9"/>
      <c r="DA72" s="9"/>
      <c r="DB72" s="9"/>
      <c r="DC72" s="9"/>
      <c r="DD72" s="9"/>
      <c r="DE72" s="9"/>
      <c r="DF72" s="9"/>
      <c r="DG72" s="9"/>
      <c r="DH72" s="9"/>
      <c r="DI72" s="9"/>
      <c r="DJ72" s="9"/>
      <c r="DK72" s="9"/>
      <c r="DL72" s="9"/>
      <c r="DM72" s="9"/>
      <c r="DN72" s="9"/>
      <c r="DO72" s="9"/>
      <c r="DP72" s="9"/>
      <c r="DQ72" s="9"/>
      <c r="DR72" s="9"/>
      <c r="DS72" s="9"/>
      <c r="DT72" s="9"/>
      <c r="DU72" s="9"/>
      <c r="DV72" s="9"/>
      <c r="DW72" s="9"/>
      <c r="DX72" s="9"/>
      <c r="DY72" s="9"/>
      <c r="DZ72" s="9"/>
      <c r="EA72" s="9"/>
      <c r="EB72" s="9"/>
      <c r="EC72" s="9"/>
      <c r="ED72" s="9"/>
      <c r="EE72" s="9"/>
      <c r="EF72" s="9"/>
      <c r="EG72" s="9"/>
      <c r="EH72" s="9"/>
      <c r="EI72" s="9"/>
      <c r="EJ72" s="9"/>
      <c r="EK72" s="9"/>
      <c r="EL72" s="9"/>
      <c r="EM72" s="9"/>
      <c r="EN72" s="9"/>
      <c r="EO72" s="9"/>
      <c r="EP72" s="9"/>
      <c r="EQ72" s="9"/>
      <c r="ER72" s="9"/>
      <c r="ES72" s="9"/>
      <c r="ET72" s="9"/>
      <c r="EU72" s="9"/>
      <c r="EV72" s="9"/>
      <c r="EW72" s="9"/>
      <c r="EX72" s="9"/>
      <c r="EY72" s="9"/>
      <c r="EZ72" s="9"/>
      <c r="FA72" s="9"/>
      <c r="FB72" s="9"/>
      <c r="FC72" s="9"/>
      <c r="FD72" s="9"/>
      <c r="FE72" s="9"/>
      <c r="FF72" s="9"/>
      <c r="FG72" s="9"/>
      <c r="FH72" s="9"/>
      <c r="FI72" s="9"/>
      <c r="FJ72" s="9"/>
      <c r="FK72" s="9"/>
      <c r="FL72" s="9"/>
      <c r="FM72" s="9"/>
      <c r="FN72" s="9"/>
      <c r="FO72" s="9"/>
      <c r="FP72" s="9"/>
      <c r="FQ72" s="9"/>
      <c r="FR72" s="9"/>
      <c r="FS72" s="9"/>
      <c r="FT72" s="9"/>
      <c r="FU72" s="9"/>
      <c r="FV72" s="9"/>
      <c r="FW72" s="9"/>
      <c r="FX72" s="9"/>
      <c r="FY72" s="9"/>
      <c r="FZ72" s="9"/>
      <c r="GA72" s="9"/>
      <c r="GB72" s="9"/>
      <c r="GC72" s="9"/>
      <c r="GD72" s="9"/>
      <c r="GE72" s="9"/>
      <c r="GF72" s="9"/>
      <c r="GG72" s="9"/>
      <c r="GH72" s="9"/>
      <c r="GI72" s="9"/>
      <c r="GJ72" s="9"/>
      <c r="GK72" s="9"/>
      <c r="GL72" s="9"/>
      <c r="GM72" s="9"/>
      <c r="GN72" s="9"/>
      <c r="GO72" s="9"/>
      <c r="GP72" s="9"/>
      <c r="GQ72" s="9"/>
      <c r="GR72" s="9"/>
      <c r="GS72" s="9"/>
      <c r="GT72" s="9"/>
      <c r="GU72" s="9"/>
      <c r="GV72" s="9"/>
      <c r="GW72" s="9"/>
      <c r="GX72" s="9"/>
      <c r="GY72" s="9"/>
      <c r="GZ72" s="9"/>
      <c r="HA72" s="9"/>
      <c r="HB72" s="9"/>
      <c r="HC72" s="9"/>
      <c r="HD72" s="9"/>
      <c r="HE72" s="9"/>
      <c r="HF72" s="9"/>
      <c r="HG72" s="9"/>
      <c r="HH72" s="9"/>
      <c r="HI72" s="9"/>
      <c r="HJ72" s="9"/>
      <c r="HK72" s="9"/>
      <c r="HL72" s="9"/>
      <c r="HM72" s="9"/>
      <c r="HN72" s="9"/>
      <c r="HO72" s="9"/>
      <c r="HP72" s="9"/>
      <c r="HQ72" s="9"/>
      <c r="HR72" s="9"/>
      <c r="HS72" s="9"/>
      <c r="HT72" s="9"/>
      <c r="HU72" s="9"/>
      <c r="HV72" s="9"/>
      <c r="HW72" s="9"/>
      <c r="HX72" s="9"/>
      <c r="HY72" s="9"/>
      <c r="HZ72" s="9"/>
      <c r="IA72" s="9"/>
      <c r="IB72" s="9"/>
      <c r="IC72" s="9"/>
      <c r="ID72" s="9"/>
      <c r="IE72" s="9"/>
      <c r="IF72" s="9"/>
      <c r="IG72" s="9"/>
      <c r="IH72" s="9"/>
      <c r="II72" s="9"/>
      <c r="IJ72" s="9"/>
      <c r="IK72" s="9"/>
      <c r="IL72" s="9"/>
      <c r="IM72" s="9"/>
      <c r="IN72" s="9"/>
      <c r="IO72" s="9"/>
      <c r="IP72" s="9"/>
      <c r="IQ72" s="9"/>
      <c r="IR72" s="9"/>
      <c r="IS72" s="9"/>
      <c r="IT72" s="9"/>
      <c r="IU72" s="9"/>
      <c r="IV72" s="9"/>
      <c r="IW72" s="9"/>
      <c r="IX72" s="9"/>
      <c r="IY72" s="9"/>
      <c r="IZ72" s="9"/>
      <c r="JA72" s="9"/>
      <c r="JB72" s="9"/>
      <c r="JC72" s="9"/>
      <c r="JD72" s="9"/>
      <c r="JE72" s="9"/>
      <c r="JF72" s="9"/>
      <c r="JG72" s="9"/>
      <c r="JH72" s="9"/>
      <c r="JI72" s="9"/>
      <c r="JJ72" s="9"/>
      <c r="JK72" s="9"/>
      <c r="JL72" s="9"/>
      <c r="JM72" s="9"/>
      <c r="JN72" s="9"/>
      <c r="JO72" s="9"/>
      <c r="JP72" s="9"/>
      <c r="JQ72" s="9"/>
      <c r="JR72" s="9"/>
      <c r="JS72" s="9"/>
      <c r="JT72" s="9"/>
      <c r="JU72" s="9"/>
      <c r="JV72" s="9"/>
      <c r="JW72" s="9"/>
      <c r="JX72" s="9"/>
      <c r="JY72" s="9"/>
      <c r="JZ72" s="9"/>
      <c r="KA72" s="9"/>
      <c r="KB72" s="9"/>
      <c r="KC72" s="9"/>
      <c r="KD72" s="9"/>
      <c r="KE72" s="9"/>
      <c r="KF72" s="9"/>
      <c r="KG72" s="9"/>
      <c r="KH72" s="9"/>
      <c r="KI72" s="9"/>
      <c r="KJ72" s="9"/>
      <c r="KK72" s="9"/>
      <c r="KL72" s="9"/>
      <c r="KM72" s="9"/>
      <c r="KN72" s="9"/>
      <c r="KO72" s="9"/>
      <c r="KP72" s="9"/>
      <c r="KQ72" s="9"/>
      <c r="KR72" s="9"/>
      <c r="KS72" s="9"/>
      <c r="KT72" s="9"/>
      <c r="KU72" s="9"/>
      <c r="KV72" s="9"/>
      <c r="KW72" s="9"/>
      <c r="KX72" s="9"/>
      <c r="KY72" s="9"/>
      <c r="KZ72" s="9"/>
      <c r="LA72" s="9"/>
      <c r="LB72" s="9"/>
      <c r="LC72" s="9"/>
      <c r="LD72" s="9"/>
      <c r="LE72" s="9"/>
      <c r="LF72" s="9"/>
      <c r="LG72" s="9"/>
      <c r="LH72" s="9"/>
      <c r="LI72" s="9"/>
      <c r="LJ72" s="9"/>
      <c r="LK72" s="9"/>
      <c r="LL72" s="9"/>
      <c r="LM72" s="9"/>
      <c r="LN72" s="9"/>
      <c r="LO72" s="9"/>
      <c r="LP72" s="9"/>
      <c r="LQ72" s="9"/>
      <c r="LR72" s="9"/>
      <c r="LS72" s="9"/>
      <c r="LT72" s="9"/>
      <c r="LU72" s="9"/>
      <c r="LV72" s="9"/>
      <c r="LW72" s="9"/>
      <c r="LX72" s="9"/>
      <c r="LY72" s="9"/>
      <c r="LZ72" s="9"/>
      <c r="MA72" s="9"/>
      <c r="MB72" s="9"/>
      <c r="MC72" s="9"/>
      <c r="MD72" s="9"/>
      <c r="ME72" s="9"/>
      <c r="MF72" s="9"/>
      <c r="MG72" s="9"/>
      <c r="MH72" s="9"/>
      <c r="MI72" s="9"/>
      <c r="MJ72" s="9"/>
      <c r="MK72" s="9"/>
    </row>
    <row r="73" spans="1:349" hidden="1" x14ac:dyDescent="0.25">
      <c r="A73" s="9"/>
      <c r="B73" s="9"/>
      <c r="C73" s="9"/>
      <c r="D73" s="9"/>
      <c r="E73" s="9"/>
      <c r="F73" s="9"/>
      <c r="G73" s="9"/>
      <c r="H73" s="9"/>
      <c r="I73" s="9"/>
      <c r="J73" s="9"/>
      <c r="K73" s="9"/>
      <c r="L73" s="9"/>
      <c r="M73" s="9"/>
      <c r="N73" s="9"/>
      <c r="O73" s="9"/>
      <c r="AG73" s="9"/>
      <c r="AH73" s="9"/>
      <c r="AI73" s="9"/>
      <c r="AJ73" s="9"/>
      <c r="AK73" s="9"/>
      <c r="AL73" s="9"/>
      <c r="AM73" s="9"/>
      <c r="AN73" s="9"/>
      <c r="AO73" s="9"/>
      <c r="AP73" s="9"/>
      <c r="AQ73" s="9"/>
      <c r="AR73" s="9"/>
      <c r="AS73" s="9"/>
      <c r="AT73" s="9"/>
      <c r="AU73" s="9"/>
      <c r="AV73" s="9"/>
      <c r="AW73" s="9"/>
      <c r="AX73" s="9"/>
      <c r="AY73" s="9"/>
      <c r="AZ73" s="9"/>
      <c r="BA73" s="9"/>
      <c r="BB73" s="9"/>
      <c r="BC73" s="9"/>
      <c r="BD73" s="9"/>
      <c r="BE73" s="9"/>
      <c r="BF73" s="9"/>
      <c r="BG73" s="9"/>
      <c r="BH73" s="9"/>
      <c r="BI73" s="9"/>
      <c r="BJ73" s="9"/>
      <c r="BK73" s="9"/>
      <c r="BL73" s="9"/>
      <c r="BM73" s="9"/>
      <c r="BN73" s="9"/>
      <c r="BO73" s="9"/>
      <c r="BP73" s="9"/>
      <c r="BQ73" s="9"/>
      <c r="BR73" s="9"/>
      <c r="BS73" s="9"/>
      <c r="BT73" s="9"/>
      <c r="BU73" s="9"/>
      <c r="BV73" s="9"/>
      <c r="BW73" s="9"/>
      <c r="BX73" s="9"/>
      <c r="BY73" s="9"/>
      <c r="BZ73" s="9"/>
      <c r="CA73" s="9"/>
      <c r="CB73" s="9"/>
      <c r="CC73" s="9"/>
      <c r="CD73" s="9"/>
      <c r="CE73" s="9"/>
      <c r="CF73" s="9"/>
      <c r="CG73" s="9"/>
      <c r="CH73" s="9"/>
      <c r="CI73" s="9"/>
      <c r="CJ73" s="9"/>
      <c r="CK73" s="9"/>
      <c r="CL73" s="9"/>
      <c r="CM73" s="9"/>
      <c r="CN73" s="9"/>
      <c r="CO73" s="9"/>
      <c r="CP73" s="9"/>
      <c r="CQ73" s="9"/>
      <c r="CR73" s="9"/>
      <c r="CS73" s="9"/>
      <c r="CT73" s="9"/>
      <c r="CU73" s="9"/>
      <c r="CV73" s="9"/>
      <c r="CW73" s="9"/>
      <c r="CX73" s="9"/>
      <c r="CY73" s="9"/>
      <c r="CZ73" s="9"/>
      <c r="DA73" s="9"/>
      <c r="DB73" s="9"/>
      <c r="DC73" s="9"/>
      <c r="DD73" s="9"/>
      <c r="DE73" s="9"/>
      <c r="DF73" s="9"/>
      <c r="DG73" s="9"/>
      <c r="DH73" s="9"/>
      <c r="DI73" s="9"/>
      <c r="DJ73" s="9"/>
      <c r="DK73" s="9"/>
      <c r="DL73" s="9"/>
      <c r="DM73" s="9"/>
      <c r="DN73" s="9"/>
      <c r="DO73" s="9"/>
      <c r="DP73" s="9"/>
      <c r="DQ73" s="9"/>
      <c r="DR73" s="9"/>
      <c r="DS73" s="9"/>
      <c r="DT73" s="9"/>
      <c r="DU73" s="9"/>
      <c r="DV73" s="9"/>
      <c r="DW73" s="9"/>
      <c r="DX73" s="9"/>
      <c r="DY73" s="9"/>
      <c r="DZ73" s="9"/>
      <c r="EA73" s="9"/>
      <c r="EB73" s="9"/>
      <c r="EC73" s="9"/>
      <c r="ED73" s="9"/>
      <c r="EE73" s="9"/>
      <c r="EF73" s="9"/>
      <c r="EG73" s="9"/>
      <c r="EH73" s="9"/>
      <c r="EI73" s="9"/>
      <c r="EJ73" s="9"/>
      <c r="EK73" s="9"/>
      <c r="EL73" s="9"/>
      <c r="EM73" s="9"/>
      <c r="EN73" s="9"/>
      <c r="EO73" s="9"/>
      <c r="EP73" s="9"/>
      <c r="EQ73" s="9"/>
      <c r="ER73" s="9"/>
      <c r="ES73" s="9"/>
      <c r="ET73" s="9"/>
      <c r="EU73" s="9"/>
      <c r="EV73" s="9"/>
      <c r="EW73" s="9"/>
      <c r="EX73" s="9"/>
      <c r="EY73" s="9"/>
      <c r="EZ73" s="9"/>
      <c r="FA73" s="9"/>
      <c r="FB73" s="9"/>
      <c r="FC73" s="9"/>
      <c r="FD73" s="9"/>
      <c r="FE73" s="9"/>
      <c r="FF73" s="9"/>
      <c r="FG73" s="9"/>
      <c r="FH73" s="9"/>
      <c r="FI73" s="9"/>
      <c r="FJ73" s="9"/>
      <c r="FK73" s="9"/>
      <c r="FL73" s="9"/>
      <c r="FM73" s="9"/>
      <c r="FN73" s="9"/>
      <c r="FO73" s="9"/>
      <c r="FP73" s="9"/>
      <c r="FQ73" s="9"/>
      <c r="FR73" s="9"/>
      <c r="FS73" s="9"/>
      <c r="FT73" s="9"/>
      <c r="FU73" s="9"/>
      <c r="FV73" s="9"/>
      <c r="FW73" s="9"/>
      <c r="FX73" s="9"/>
      <c r="FY73" s="9"/>
      <c r="FZ73" s="9"/>
      <c r="GA73" s="9"/>
      <c r="GB73" s="9"/>
      <c r="GC73" s="9"/>
      <c r="GD73" s="9"/>
      <c r="GE73" s="9"/>
      <c r="GF73" s="9"/>
      <c r="GG73" s="9"/>
      <c r="GH73" s="9"/>
      <c r="GI73" s="9"/>
      <c r="GJ73" s="9"/>
      <c r="GK73" s="9"/>
      <c r="GL73" s="9"/>
      <c r="GM73" s="9"/>
      <c r="GN73" s="9"/>
      <c r="GO73" s="9"/>
      <c r="GP73" s="9"/>
      <c r="GQ73" s="9"/>
      <c r="GR73" s="9"/>
      <c r="GS73" s="9"/>
      <c r="GT73" s="9"/>
      <c r="GU73" s="9"/>
      <c r="GV73" s="9"/>
      <c r="GW73" s="9"/>
      <c r="GX73" s="9"/>
      <c r="GY73" s="9"/>
      <c r="GZ73" s="9"/>
      <c r="HA73" s="9"/>
      <c r="HB73" s="9"/>
      <c r="HC73" s="9"/>
      <c r="HD73" s="9"/>
      <c r="HE73" s="9"/>
      <c r="HF73" s="9"/>
      <c r="HG73" s="9"/>
      <c r="HH73" s="9"/>
      <c r="HI73" s="9"/>
      <c r="HJ73" s="9"/>
      <c r="HK73" s="9"/>
      <c r="HL73" s="9"/>
      <c r="HM73" s="9"/>
      <c r="HN73" s="9"/>
      <c r="HO73" s="9"/>
      <c r="HP73" s="9"/>
      <c r="HQ73" s="9"/>
      <c r="HR73" s="9"/>
      <c r="HS73" s="9"/>
      <c r="HT73" s="9"/>
      <c r="HU73" s="9"/>
      <c r="HV73" s="9"/>
      <c r="HW73" s="9"/>
      <c r="HX73" s="9"/>
      <c r="HY73" s="9"/>
      <c r="HZ73" s="9"/>
      <c r="IA73" s="9"/>
      <c r="IB73" s="9"/>
      <c r="IC73" s="9"/>
      <c r="ID73" s="9"/>
      <c r="IE73" s="9"/>
      <c r="IF73" s="9"/>
      <c r="IG73" s="9"/>
      <c r="IH73" s="9"/>
      <c r="II73" s="9"/>
      <c r="IJ73" s="9"/>
      <c r="IK73" s="9"/>
      <c r="IL73" s="9"/>
      <c r="IM73" s="9"/>
      <c r="IN73" s="9"/>
      <c r="IO73" s="9"/>
      <c r="IP73" s="9"/>
      <c r="IQ73" s="9"/>
      <c r="IR73" s="9"/>
      <c r="IS73" s="9"/>
      <c r="IT73" s="9"/>
      <c r="IU73" s="9"/>
      <c r="IV73" s="9"/>
      <c r="IW73" s="9"/>
      <c r="IX73" s="9"/>
      <c r="IY73" s="9"/>
      <c r="IZ73" s="9"/>
      <c r="JA73" s="9"/>
      <c r="JB73" s="9"/>
      <c r="JC73" s="9"/>
      <c r="JD73" s="9"/>
      <c r="JE73" s="9"/>
      <c r="JF73" s="9"/>
      <c r="JG73" s="9"/>
      <c r="JH73" s="9"/>
      <c r="JI73" s="9"/>
      <c r="JJ73" s="9"/>
      <c r="JK73" s="9"/>
      <c r="JL73" s="9"/>
      <c r="JM73" s="9"/>
      <c r="JN73" s="9"/>
      <c r="JO73" s="9"/>
      <c r="JP73" s="9"/>
      <c r="JQ73" s="9"/>
      <c r="JR73" s="9"/>
      <c r="JS73" s="9"/>
      <c r="JT73" s="9"/>
      <c r="JU73" s="9"/>
      <c r="JV73" s="9"/>
      <c r="JW73" s="9"/>
      <c r="JX73" s="9"/>
      <c r="JY73" s="9"/>
      <c r="JZ73" s="9"/>
      <c r="KA73" s="9"/>
      <c r="KB73" s="9"/>
      <c r="KC73" s="9"/>
      <c r="KD73" s="9"/>
      <c r="KE73" s="9"/>
      <c r="KF73" s="9"/>
      <c r="KG73" s="9"/>
      <c r="KH73" s="9"/>
      <c r="KI73" s="9"/>
      <c r="KJ73" s="9"/>
      <c r="KK73" s="9"/>
      <c r="KL73" s="9"/>
      <c r="KM73" s="9"/>
      <c r="KN73" s="9"/>
      <c r="KO73" s="9"/>
      <c r="KP73" s="9"/>
      <c r="KQ73" s="9"/>
      <c r="KR73" s="9"/>
      <c r="KS73" s="9"/>
      <c r="KT73" s="9"/>
      <c r="KU73" s="9"/>
      <c r="KV73" s="9"/>
      <c r="KW73" s="9"/>
      <c r="KX73" s="9"/>
      <c r="KY73" s="9"/>
      <c r="KZ73" s="9"/>
      <c r="LA73" s="9"/>
      <c r="LB73" s="9"/>
      <c r="LC73" s="9"/>
      <c r="LD73" s="9"/>
      <c r="LE73" s="9"/>
      <c r="LF73" s="9"/>
      <c r="LG73" s="9"/>
      <c r="LH73" s="9"/>
      <c r="LI73" s="9"/>
      <c r="LJ73" s="9"/>
      <c r="LK73" s="9"/>
      <c r="LL73" s="9"/>
      <c r="LM73" s="9"/>
      <c r="LN73" s="9"/>
      <c r="LO73" s="9"/>
      <c r="LP73" s="9"/>
      <c r="LQ73" s="9"/>
      <c r="LR73" s="9"/>
      <c r="LS73" s="9"/>
      <c r="LT73" s="9"/>
      <c r="LU73" s="9"/>
      <c r="LV73" s="9"/>
      <c r="LW73" s="9"/>
      <c r="LX73" s="9"/>
      <c r="LY73" s="9"/>
      <c r="LZ73" s="9"/>
      <c r="MA73" s="9"/>
      <c r="MB73" s="9"/>
      <c r="MC73" s="9"/>
      <c r="MD73" s="9"/>
      <c r="ME73" s="9"/>
      <c r="MF73" s="9"/>
      <c r="MG73" s="9"/>
      <c r="MH73" s="9"/>
      <c r="MI73" s="9"/>
      <c r="MJ73" s="9"/>
      <c r="MK73" s="9"/>
    </row>
    <row r="74" spans="1:349" hidden="1" x14ac:dyDescent="0.25">
      <c r="A74" s="9"/>
      <c r="B74" s="9"/>
      <c r="C74" s="9"/>
      <c r="D74" s="9"/>
      <c r="E74" s="9"/>
      <c r="F74" s="9"/>
      <c r="G74" s="9"/>
      <c r="H74" s="9"/>
      <c r="I74" s="9"/>
      <c r="J74" s="9"/>
      <c r="K74" s="9"/>
      <c r="L74" s="9"/>
      <c r="M74" s="9"/>
      <c r="N74" s="9"/>
      <c r="O74" s="9"/>
      <c r="AG74" s="9"/>
      <c r="AH74" s="9"/>
      <c r="AI74" s="9"/>
      <c r="AJ74" s="9"/>
      <c r="AK74" s="9"/>
      <c r="AL74" s="9"/>
      <c r="AM74" s="9"/>
      <c r="AN74" s="9"/>
      <c r="AO74" s="9"/>
      <c r="AP74" s="9"/>
      <c r="AQ74" s="9"/>
      <c r="AR74" s="9"/>
      <c r="AS74" s="9"/>
      <c r="AT74" s="9"/>
      <c r="AU74" s="9"/>
      <c r="AV74" s="9"/>
      <c r="AW74" s="9"/>
      <c r="AX74" s="9"/>
      <c r="AY74" s="9"/>
      <c r="AZ74" s="9"/>
      <c r="BA74" s="9"/>
      <c r="BB74" s="9"/>
      <c r="BC74" s="9"/>
      <c r="BD74" s="9"/>
      <c r="BE74" s="9"/>
      <c r="BF74" s="9"/>
      <c r="BG74" s="9"/>
      <c r="BH74" s="9"/>
      <c r="BI74" s="9"/>
      <c r="BJ74" s="9"/>
      <c r="BK74" s="9"/>
      <c r="BL74" s="9"/>
      <c r="BM74" s="9"/>
      <c r="BN74" s="9"/>
      <c r="BO74" s="9"/>
      <c r="BP74" s="9"/>
      <c r="BQ74" s="9"/>
      <c r="BR74" s="9"/>
      <c r="BS74" s="9"/>
      <c r="BT74" s="9"/>
      <c r="BU74" s="9"/>
      <c r="BV74" s="9"/>
      <c r="BW74" s="9"/>
      <c r="BX74" s="9"/>
      <c r="BY74" s="9"/>
      <c r="BZ74" s="9"/>
      <c r="CA74" s="9"/>
      <c r="CB74" s="9"/>
      <c r="CC74" s="9"/>
      <c r="CD74" s="9"/>
      <c r="CE74" s="9"/>
      <c r="CF74" s="9"/>
      <c r="CG74" s="9"/>
      <c r="CH74" s="9"/>
      <c r="CI74" s="9"/>
      <c r="CJ74" s="9"/>
      <c r="CK74" s="9"/>
      <c r="CL74" s="9"/>
      <c r="CM74" s="9"/>
      <c r="CN74" s="9"/>
      <c r="CO74" s="9"/>
      <c r="CP74" s="9"/>
      <c r="CQ74" s="9"/>
      <c r="CR74" s="9"/>
      <c r="CS74" s="9"/>
      <c r="CT74" s="9"/>
      <c r="CU74" s="9"/>
      <c r="CV74" s="9"/>
      <c r="CW74" s="9"/>
      <c r="CX74" s="9"/>
      <c r="CY74" s="9"/>
      <c r="CZ74" s="9"/>
      <c r="DA74" s="9"/>
      <c r="DB74" s="9"/>
      <c r="DC74" s="9"/>
      <c r="DD74" s="9"/>
      <c r="DE74" s="9"/>
      <c r="DF74" s="9"/>
      <c r="DG74" s="9"/>
      <c r="DH74" s="9"/>
      <c r="DI74" s="9"/>
      <c r="DJ74" s="9"/>
      <c r="DK74" s="9"/>
      <c r="DL74" s="9"/>
      <c r="DM74" s="9"/>
      <c r="DN74" s="9"/>
      <c r="DO74" s="9"/>
      <c r="DP74" s="9"/>
      <c r="DQ74" s="9"/>
      <c r="DR74" s="9"/>
      <c r="DS74" s="9"/>
      <c r="DT74" s="9"/>
      <c r="DU74" s="9"/>
      <c r="DV74" s="9"/>
      <c r="DW74" s="9"/>
      <c r="DX74" s="9"/>
      <c r="DY74" s="9"/>
      <c r="DZ74" s="9"/>
      <c r="EA74" s="9"/>
      <c r="EB74" s="9"/>
      <c r="EC74" s="9"/>
      <c r="ED74" s="9"/>
      <c r="EE74" s="9"/>
      <c r="EF74" s="9"/>
      <c r="EG74" s="9"/>
      <c r="EH74" s="9"/>
      <c r="EI74" s="9"/>
      <c r="EJ74" s="9"/>
      <c r="EK74" s="9"/>
      <c r="EL74" s="9"/>
      <c r="EM74" s="9"/>
      <c r="EN74" s="9"/>
      <c r="EO74" s="9"/>
      <c r="EP74" s="9"/>
      <c r="EQ74" s="9"/>
      <c r="ER74" s="9"/>
      <c r="ES74" s="9"/>
      <c r="ET74" s="9"/>
      <c r="EU74" s="9"/>
      <c r="EV74" s="9"/>
      <c r="EW74" s="9"/>
      <c r="EX74" s="9"/>
      <c r="EY74" s="9"/>
      <c r="EZ74" s="9"/>
      <c r="FA74" s="9"/>
      <c r="FB74" s="9"/>
      <c r="FC74" s="9"/>
      <c r="FD74" s="9"/>
      <c r="FE74" s="9"/>
      <c r="FF74" s="9"/>
      <c r="FG74" s="9"/>
      <c r="FH74" s="9"/>
      <c r="FI74" s="9"/>
      <c r="FJ74" s="9"/>
      <c r="FK74" s="9"/>
      <c r="FL74" s="9"/>
      <c r="FM74" s="9"/>
      <c r="FN74" s="9"/>
      <c r="FO74" s="9"/>
      <c r="FP74" s="9"/>
      <c r="FQ74" s="9"/>
      <c r="FR74" s="9"/>
      <c r="FS74" s="9"/>
      <c r="FT74" s="9"/>
      <c r="FU74" s="9"/>
      <c r="FV74" s="9"/>
      <c r="FW74" s="9"/>
      <c r="FX74" s="9"/>
      <c r="FY74" s="9"/>
      <c r="FZ74" s="9"/>
      <c r="GA74" s="9"/>
      <c r="GB74" s="9"/>
      <c r="GC74" s="9"/>
      <c r="GD74" s="9"/>
      <c r="GE74" s="9"/>
      <c r="GF74" s="9"/>
      <c r="GG74" s="9"/>
      <c r="GH74" s="9"/>
      <c r="GI74" s="9"/>
      <c r="GJ74" s="9"/>
      <c r="GK74" s="9"/>
      <c r="GL74" s="9"/>
      <c r="GM74" s="9"/>
      <c r="GN74" s="9"/>
      <c r="GO74" s="9"/>
      <c r="GP74" s="9"/>
      <c r="GQ74" s="9"/>
      <c r="GR74" s="9"/>
      <c r="GS74" s="9"/>
      <c r="GT74" s="9"/>
      <c r="GU74" s="9"/>
      <c r="GV74" s="9"/>
      <c r="GW74" s="9"/>
      <c r="GX74" s="9"/>
      <c r="GY74" s="9"/>
      <c r="GZ74" s="9"/>
      <c r="HA74" s="9"/>
      <c r="HB74" s="9"/>
      <c r="HC74" s="9"/>
      <c r="HD74" s="9"/>
      <c r="HE74" s="9"/>
      <c r="HF74" s="9"/>
      <c r="HG74" s="9"/>
      <c r="HH74" s="9"/>
      <c r="HI74" s="9"/>
      <c r="HJ74" s="9"/>
      <c r="HK74" s="9"/>
      <c r="HL74" s="9"/>
      <c r="HM74" s="9"/>
      <c r="HN74" s="9"/>
      <c r="HO74" s="9"/>
      <c r="HP74" s="9"/>
      <c r="HQ74" s="9"/>
      <c r="HR74" s="9"/>
      <c r="HS74" s="9"/>
      <c r="HT74" s="9"/>
      <c r="HU74" s="9"/>
      <c r="HV74" s="9"/>
      <c r="HW74" s="9"/>
      <c r="HX74" s="9"/>
      <c r="HY74" s="9"/>
      <c r="HZ74" s="9"/>
      <c r="IA74" s="9"/>
      <c r="IB74" s="9"/>
      <c r="IC74" s="9"/>
      <c r="ID74" s="9"/>
      <c r="IE74" s="9"/>
      <c r="IF74" s="9"/>
      <c r="IG74" s="9"/>
      <c r="IH74" s="9"/>
      <c r="II74" s="9"/>
      <c r="IJ74" s="9"/>
      <c r="IK74" s="9"/>
      <c r="IL74" s="9"/>
      <c r="IM74" s="9"/>
      <c r="IN74" s="9"/>
      <c r="IO74" s="9"/>
      <c r="IP74" s="9"/>
      <c r="IQ74" s="9"/>
      <c r="IR74" s="9"/>
      <c r="IS74" s="9"/>
      <c r="IT74" s="9"/>
      <c r="IU74" s="9"/>
      <c r="IV74" s="9"/>
      <c r="IW74" s="9"/>
      <c r="IX74" s="9"/>
      <c r="IY74" s="9"/>
      <c r="IZ74" s="9"/>
      <c r="JA74" s="9"/>
      <c r="JB74" s="9"/>
      <c r="JC74" s="9"/>
      <c r="JD74" s="9"/>
      <c r="JE74" s="9"/>
      <c r="JF74" s="9"/>
      <c r="JG74" s="9"/>
      <c r="JH74" s="9"/>
      <c r="JI74" s="9"/>
      <c r="JJ74" s="9"/>
      <c r="JK74" s="9"/>
      <c r="JL74" s="9"/>
      <c r="JM74" s="9"/>
      <c r="JN74" s="9"/>
      <c r="JO74" s="9"/>
      <c r="JP74" s="9"/>
      <c r="JQ74" s="9"/>
      <c r="JR74" s="9"/>
      <c r="JS74" s="9"/>
      <c r="JT74" s="9"/>
      <c r="JU74" s="9"/>
      <c r="JV74" s="9"/>
      <c r="JW74" s="9"/>
      <c r="JX74" s="9"/>
      <c r="JY74" s="9"/>
      <c r="JZ74" s="9"/>
      <c r="KA74" s="9"/>
      <c r="KB74" s="9"/>
      <c r="KC74" s="9"/>
      <c r="KD74" s="9"/>
      <c r="KE74" s="9"/>
      <c r="KF74" s="9"/>
      <c r="KG74" s="9"/>
      <c r="KH74" s="9"/>
      <c r="KI74" s="9"/>
      <c r="KJ74" s="9"/>
      <c r="KK74" s="9"/>
      <c r="KL74" s="9"/>
      <c r="KM74" s="9"/>
      <c r="KN74" s="9"/>
      <c r="KO74" s="9"/>
      <c r="KP74" s="9"/>
      <c r="KQ74" s="9"/>
      <c r="KR74" s="9"/>
      <c r="KS74" s="9"/>
      <c r="KT74" s="9"/>
      <c r="KU74" s="9"/>
      <c r="KV74" s="9"/>
      <c r="KW74" s="9"/>
      <c r="KX74" s="9"/>
      <c r="KY74" s="9"/>
      <c r="KZ74" s="9"/>
      <c r="LA74" s="9"/>
      <c r="LB74" s="9"/>
      <c r="LC74" s="9"/>
      <c r="LD74" s="9"/>
      <c r="LE74" s="9"/>
      <c r="LF74" s="9"/>
      <c r="LG74" s="9"/>
      <c r="LH74" s="9"/>
      <c r="LI74" s="9"/>
      <c r="LJ74" s="9"/>
      <c r="LK74" s="9"/>
      <c r="LL74" s="9"/>
      <c r="LM74" s="9"/>
      <c r="LN74" s="9"/>
      <c r="LO74" s="9"/>
      <c r="LP74" s="9"/>
      <c r="LQ74" s="9"/>
      <c r="LR74" s="9"/>
      <c r="LS74" s="9"/>
      <c r="LT74" s="9"/>
      <c r="LU74" s="9"/>
      <c r="LV74" s="9"/>
      <c r="LW74" s="9"/>
      <c r="LX74" s="9"/>
      <c r="LY74" s="9"/>
      <c r="LZ74" s="9"/>
      <c r="MA74" s="9"/>
      <c r="MB74" s="9"/>
      <c r="MC74" s="9"/>
      <c r="MD74" s="9"/>
      <c r="ME74" s="9"/>
      <c r="MF74" s="9"/>
      <c r="MG74" s="9"/>
      <c r="MH74" s="9"/>
      <c r="MI74" s="9"/>
      <c r="MJ74" s="9"/>
      <c r="MK74" s="9"/>
    </row>
    <row r="75" spans="1:349" hidden="1" x14ac:dyDescent="0.25">
      <c r="A75" s="9"/>
      <c r="B75" s="9"/>
      <c r="C75" s="9"/>
      <c r="D75" s="9"/>
      <c r="E75" s="9"/>
      <c r="F75" s="9"/>
      <c r="G75" s="9"/>
      <c r="H75" s="9"/>
      <c r="I75" s="9"/>
      <c r="J75" s="9"/>
      <c r="K75" s="9"/>
      <c r="L75" s="9"/>
      <c r="M75" s="9"/>
      <c r="N75" s="9"/>
      <c r="O75" s="9"/>
      <c r="AG75" s="9"/>
      <c r="AH75" s="9"/>
      <c r="AI75" s="9"/>
      <c r="AJ75" s="9"/>
      <c r="AK75" s="9"/>
      <c r="AL75" s="9"/>
      <c r="AM75" s="9"/>
      <c r="AN75" s="9"/>
      <c r="AO75" s="9"/>
      <c r="AP75" s="9"/>
      <c r="AQ75" s="9"/>
      <c r="AR75" s="9"/>
      <c r="AS75" s="9"/>
      <c r="AT75" s="9"/>
      <c r="AU75" s="9"/>
      <c r="AV75" s="9"/>
      <c r="AW75" s="9"/>
      <c r="AX75" s="9"/>
      <c r="AY75" s="9"/>
      <c r="AZ75" s="9"/>
      <c r="BA75" s="9"/>
      <c r="BB75" s="9"/>
      <c r="BC75" s="9"/>
      <c r="BD75" s="9"/>
      <c r="BE75" s="9"/>
      <c r="BF75" s="9"/>
      <c r="BG75" s="9"/>
      <c r="BH75" s="9"/>
      <c r="BI75" s="9"/>
      <c r="BJ75" s="9"/>
      <c r="BK75" s="9"/>
      <c r="BL75" s="9"/>
      <c r="BM75" s="9"/>
      <c r="BN75" s="9"/>
      <c r="BO75" s="9"/>
      <c r="BP75" s="9"/>
      <c r="BQ75" s="9"/>
      <c r="BR75" s="9"/>
      <c r="BS75" s="9"/>
      <c r="BT75" s="9"/>
      <c r="BU75" s="9"/>
      <c r="BV75" s="9"/>
      <c r="BW75" s="9"/>
      <c r="BX75" s="9"/>
      <c r="BY75" s="9"/>
      <c r="BZ75" s="9"/>
      <c r="CA75" s="9"/>
      <c r="CB75" s="9"/>
      <c r="CC75" s="9"/>
      <c r="CD75" s="9"/>
      <c r="CE75" s="9"/>
      <c r="CF75" s="9"/>
      <c r="CG75" s="9"/>
      <c r="CH75" s="9"/>
      <c r="CI75" s="9"/>
      <c r="CJ75" s="9"/>
      <c r="CK75" s="9"/>
      <c r="CL75" s="9"/>
      <c r="CM75" s="9"/>
      <c r="CN75" s="9"/>
      <c r="CO75" s="9"/>
      <c r="CP75" s="9"/>
      <c r="CQ75" s="9"/>
      <c r="CR75" s="9"/>
      <c r="CS75" s="9"/>
      <c r="CT75" s="9"/>
      <c r="CU75" s="9"/>
      <c r="CV75" s="9"/>
      <c r="CW75" s="9"/>
      <c r="CX75" s="9"/>
      <c r="CY75" s="9"/>
      <c r="CZ75" s="9"/>
      <c r="DA75" s="9"/>
      <c r="DB75" s="9"/>
      <c r="DC75" s="9"/>
      <c r="DD75" s="9"/>
      <c r="DE75" s="9"/>
      <c r="DF75" s="9"/>
      <c r="DG75" s="9"/>
      <c r="DH75" s="9"/>
      <c r="DI75" s="9"/>
      <c r="DJ75" s="9"/>
      <c r="DK75" s="9"/>
      <c r="DL75" s="9"/>
      <c r="DM75" s="9"/>
      <c r="DN75" s="9"/>
      <c r="DO75" s="9"/>
      <c r="DP75" s="9"/>
      <c r="DQ75" s="9"/>
      <c r="DR75" s="9"/>
      <c r="DS75" s="9"/>
      <c r="DT75" s="9"/>
      <c r="DU75" s="9"/>
      <c r="DV75" s="9"/>
      <c r="DW75" s="9"/>
      <c r="DX75" s="9"/>
      <c r="DY75" s="9"/>
      <c r="DZ75" s="9"/>
      <c r="EA75" s="9"/>
      <c r="EB75" s="9"/>
      <c r="EC75" s="9"/>
      <c r="ED75" s="9"/>
      <c r="EE75" s="9"/>
      <c r="EF75" s="9"/>
      <c r="EG75" s="9"/>
      <c r="EH75" s="9"/>
      <c r="EI75" s="9"/>
      <c r="EJ75" s="9"/>
      <c r="EK75" s="9"/>
      <c r="EL75" s="9"/>
      <c r="EM75" s="9"/>
      <c r="EN75" s="9"/>
      <c r="EO75" s="9"/>
      <c r="EP75" s="9"/>
      <c r="EQ75" s="9"/>
      <c r="ER75" s="9"/>
      <c r="ES75" s="9"/>
      <c r="ET75" s="9"/>
      <c r="EU75" s="9"/>
      <c r="EV75" s="9"/>
      <c r="EW75" s="9"/>
      <c r="EX75" s="9"/>
      <c r="EY75" s="9"/>
      <c r="EZ75" s="9"/>
      <c r="FA75" s="9"/>
      <c r="FB75" s="9"/>
      <c r="FC75" s="9"/>
      <c r="FD75" s="9"/>
      <c r="FE75" s="9"/>
      <c r="FF75" s="9"/>
      <c r="FG75" s="9"/>
      <c r="FH75" s="9"/>
      <c r="FI75" s="9"/>
      <c r="FJ75" s="9"/>
      <c r="FK75" s="9"/>
      <c r="FL75" s="9"/>
      <c r="FM75" s="9"/>
      <c r="FN75" s="9"/>
      <c r="FO75" s="9"/>
      <c r="FP75" s="9"/>
      <c r="FQ75" s="9"/>
      <c r="FR75" s="9"/>
      <c r="FS75" s="9"/>
      <c r="FT75" s="9"/>
      <c r="FU75" s="9"/>
      <c r="FV75" s="9"/>
      <c r="FW75" s="9"/>
      <c r="FX75" s="9"/>
      <c r="FY75" s="9"/>
      <c r="FZ75" s="9"/>
      <c r="GA75" s="9"/>
      <c r="GB75" s="9"/>
      <c r="GC75" s="9"/>
      <c r="GD75" s="9"/>
      <c r="GE75" s="9"/>
      <c r="GF75" s="9"/>
      <c r="GG75" s="9"/>
      <c r="GH75" s="9"/>
      <c r="GI75" s="9"/>
      <c r="GJ75" s="9"/>
      <c r="GK75" s="9"/>
      <c r="GL75" s="9"/>
      <c r="GM75" s="9"/>
      <c r="GN75" s="9"/>
      <c r="GO75" s="9"/>
      <c r="GP75" s="9"/>
      <c r="GQ75" s="9"/>
      <c r="GR75" s="9"/>
      <c r="GS75" s="9"/>
      <c r="GT75" s="9"/>
      <c r="GU75" s="9"/>
      <c r="GV75" s="9"/>
      <c r="GW75" s="9"/>
      <c r="GX75" s="9"/>
      <c r="GY75" s="9"/>
      <c r="GZ75" s="9"/>
      <c r="HA75" s="9"/>
      <c r="HB75" s="9"/>
      <c r="HC75" s="9"/>
      <c r="HD75" s="9"/>
      <c r="HE75" s="9"/>
      <c r="HF75" s="9"/>
      <c r="HG75" s="9"/>
      <c r="HH75" s="9"/>
      <c r="HI75" s="9"/>
      <c r="HJ75" s="9"/>
      <c r="HK75" s="9"/>
      <c r="HL75" s="9"/>
      <c r="HM75" s="9"/>
      <c r="HN75" s="9"/>
      <c r="HO75" s="9"/>
      <c r="HP75" s="9"/>
      <c r="HQ75" s="9"/>
      <c r="HR75" s="9"/>
      <c r="HS75" s="9"/>
      <c r="HT75" s="9"/>
      <c r="HU75" s="9"/>
      <c r="HV75" s="9"/>
      <c r="HW75" s="9"/>
      <c r="HX75" s="9"/>
      <c r="HY75" s="9"/>
      <c r="HZ75" s="9"/>
      <c r="IA75" s="9"/>
      <c r="IB75" s="9"/>
      <c r="IC75" s="9"/>
      <c r="ID75" s="9"/>
      <c r="IE75" s="9"/>
      <c r="IF75" s="9"/>
      <c r="IG75" s="9"/>
      <c r="IH75" s="9"/>
      <c r="II75" s="9"/>
      <c r="IJ75" s="9"/>
      <c r="IK75" s="9"/>
      <c r="IL75" s="9"/>
      <c r="IM75" s="9"/>
      <c r="IN75" s="9"/>
      <c r="IO75" s="9"/>
      <c r="IP75" s="9"/>
      <c r="IQ75" s="9"/>
      <c r="IR75" s="9"/>
      <c r="IS75" s="9"/>
      <c r="IT75" s="9"/>
      <c r="IU75" s="9"/>
      <c r="IV75" s="9"/>
      <c r="IW75" s="9"/>
      <c r="IX75" s="9"/>
      <c r="IY75" s="9"/>
      <c r="IZ75" s="9"/>
      <c r="JA75" s="9"/>
      <c r="JB75" s="9"/>
      <c r="JC75" s="9"/>
      <c r="JD75" s="9"/>
      <c r="JE75" s="9"/>
      <c r="JF75" s="9"/>
      <c r="JG75" s="9"/>
      <c r="JH75" s="9"/>
      <c r="JI75" s="9"/>
      <c r="JJ75" s="9"/>
      <c r="JK75" s="9"/>
      <c r="JL75" s="9"/>
      <c r="JM75" s="9"/>
      <c r="JN75" s="9"/>
      <c r="JO75" s="9"/>
      <c r="JP75" s="9"/>
      <c r="JQ75" s="9"/>
      <c r="JR75" s="9"/>
      <c r="JS75" s="9"/>
      <c r="JT75" s="9"/>
      <c r="JU75" s="9"/>
      <c r="JV75" s="9"/>
      <c r="JW75" s="9"/>
      <c r="JX75" s="9"/>
      <c r="JY75" s="9"/>
      <c r="JZ75" s="9"/>
      <c r="KA75" s="9"/>
      <c r="KB75" s="9"/>
      <c r="KC75" s="9"/>
      <c r="KD75" s="9"/>
      <c r="KE75" s="9"/>
      <c r="KF75" s="9"/>
      <c r="KG75" s="9"/>
      <c r="KH75" s="9"/>
      <c r="KI75" s="9"/>
      <c r="KJ75" s="9"/>
      <c r="KK75" s="9"/>
      <c r="KL75" s="9"/>
      <c r="KM75" s="9"/>
      <c r="KN75" s="9"/>
      <c r="KO75" s="9"/>
      <c r="KP75" s="9"/>
      <c r="KQ75" s="9"/>
      <c r="KR75" s="9"/>
      <c r="KS75" s="9"/>
      <c r="KT75" s="9"/>
      <c r="KU75" s="9"/>
      <c r="KV75" s="9"/>
      <c r="KW75" s="9"/>
      <c r="KX75" s="9"/>
      <c r="KY75" s="9"/>
      <c r="KZ75" s="9"/>
      <c r="LA75" s="9"/>
      <c r="LB75" s="9"/>
      <c r="LC75" s="9"/>
      <c r="LD75" s="9"/>
      <c r="LE75" s="9"/>
      <c r="LF75" s="9"/>
      <c r="LG75" s="9"/>
      <c r="LH75" s="9"/>
      <c r="LI75" s="9"/>
      <c r="LJ75" s="9"/>
      <c r="LK75" s="9"/>
      <c r="LL75" s="9"/>
      <c r="LM75" s="9"/>
      <c r="LN75" s="9"/>
      <c r="LO75" s="9"/>
      <c r="LP75" s="9"/>
      <c r="LQ75" s="9"/>
      <c r="LR75" s="9"/>
      <c r="LS75" s="9"/>
      <c r="LT75" s="9"/>
      <c r="LU75" s="9"/>
      <c r="LV75" s="9"/>
      <c r="LW75" s="9"/>
      <c r="LX75" s="9"/>
      <c r="LY75" s="9"/>
      <c r="LZ75" s="9"/>
      <c r="MA75" s="9"/>
      <c r="MB75" s="9"/>
      <c r="MC75" s="9"/>
      <c r="MD75" s="9"/>
      <c r="ME75" s="9"/>
      <c r="MF75" s="9"/>
      <c r="MG75" s="9"/>
      <c r="MH75" s="9"/>
      <c r="MI75" s="9"/>
      <c r="MJ75" s="9"/>
      <c r="MK75" s="9"/>
    </row>
    <row r="76" spans="1:349" hidden="1" x14ac:dyDescent="0.25">
      <c r="A76" s="9"/>
      <c r="B76" s="9"/>
      <c r="C76" s="9"/>
      <c r="D76" s="9"/>
      <c r="E76" s="9"/>
      <c r="F76" s="9"/>
      <c r="G76" s="9"/>
      <c r="H76" s="9"/>
      <c r="I76" s="9"/>
      <c r="J76" s="9"/>
      <c r="K76" s="9"/>
      <c r="L76" s="9"/>
      <c r="M76" s="9"/>
      <c r="N76" s="9"/>
      <c r="O76" s="9"/>
      <c r="AG76" s="9"/>
      <c r="AH76" s="9"/>
      <c r="AI76" s="9"/>
      <c r="AJ76" s="9"/>
      <c r="AK76" s="9"/>
      <c r="AL76" s="9"/>
      <c r="AM76" s="9"/>
      <c r="AN76" s="9"/>
      <c r="AO76" s="9"/>
      <c r="AP76" s="9"/>
      <c r="AQ76" s="9"/>
      <c r="AR76" s="9"/>
      <c r="AS76" s="9"/>
      <c r="AT76" s="9"/>
      <c r="AU76" s="9"/>
      <c r="AV76" s="9"/>
      <c r="AW76" s="9"/>
      <c r="AX76" s="9"/>
      <c r="AY76" s="9"/>
      <c r="AZ76" s="9"/>
      <c r="BA76" s="9"/>
      <c r="BB76" s="9"/>
      <c r="BC76" s="9"/>
      <c r="BD76" s="9"/>
      <c r="BE76" s="9"/>
      <c r="BF76" s="9"/>
      <c r="BG76" s="9"/>
      <c r="BH76" s="9"/>
      <c r="BI76" s="9"/>
      <c r="BJ76" s="9"/>
      <c r="BK76" s="9"/>
      <c r="BL76" s="9"/>
      <c r="BM76" s="9"/>
      <c r="BN76" s="9"/>
      <c r="BO76" s="9"/>
      <c r="BP76" s="9"/>
      <c r="BQ76" s="9"/>
      <c r="BR76" s="9"/>
      <c r="BS76" s="9"/>
      <c r="BT76" s="9"/>
      <c r="BU76" s="9"/>
      <c r="BV76" s="9"/>
      <c r="BW76" s="9"/>
      <c r="BX76" s="9"/>
      <c r="BY76" s="9"/>
      <c r="BZ76" s="9"/>
      <c r="CA76" s="9"/>
      <c r="CB76" s="9"/>
      <c r="CC76" s="9"/>
      <c r="CD76" s="9"/>
      <c r="CE76" s="9"/>
      <c r="CF76" s="9"/>
      <c r="CG76" s="9"/>
      <c r="CH76" s="9"/>
      <c r="CI76" s="9"/>
      <c r="CJ76" s="9"/>
      <c r="CK76" s="9"/>
      <c r="CL76" s="9"/>
      <c r="CM76" s="9"/>
      <c r="CN76" s="9"/>
      <c r="CO76" s="9"/>
      <c r="CP76" s="9"/>
      <c r="CQ76" s="9"/>
      <c r="CR76" s="9"/>
      <c r="CS76" s="9"/>
      <c r="CT76" s="9"/>
      <c r="CU76" s="9"/>
      <c r="CV76" s="9"/>
      <c r="CW76" s="9"/>
      <c r="CX76" s="9"/>
      <c r="CY76" s="9"/>
      <c r="CZ76" s="9"/>
      <c r="DA76" s="9"/>
      <c r="DB76" s="9"/>
      <c r="DC76" s="9"/>
      <c r="DD76" s="9"/>
      <c r="DE76" s="9"/>
      <c r="DF76" s="9"/>
      <c r="DG76" s="9"/>
      <c r="DH76" s="9"/>
      <c r="DI76" s="9"/>
      <c r="DJ76" s="9"/>
      <c r="DK76" s="9"/>
      <c r="DL76" s="9"/>
      <c r="DM76" s="9"/>
      <c r="DN76" s="9"/>
      <c r="DO76" s="9"/>
      <c r="DP76" s="9"/>
      <c r="DQ76" s="9"/>
      <c r="DR76" s="9"/>
      <c r="DS76" s="9"/>
      <c r="DT76" s="9"/>
      <c r="DU76" s="9"/>
      <c r="DV76" s="9"/>
      <c r="DW76" s="9"/>
      <c r="DX76" s="9"/>
      <c r="DY76" s="9"/>
      <c r="DZ76" s="9"/>
      <c r="EA76" s="9"/>
      <c r="EB76" s="9"/>
      <c r="EC76" s="9"/>
      <c r="ED76" s="9"/>
      <c r="EE76" s="9"/>
      <c r="EF76" s="9"/>
      <c r="EG76" s="9"/>
      <c r="EH76" s="9"/>
      <c r="EI76" s="9"/>
      <c r="EJ76" s="9"/>
      <c r="EK76" s="9"/>
      <c r="EL76" s="9"/>
      <c r="EM76" s="9"/>
      <c r="EN76" s="9"/>
      <c r="EO76" s="9"/>
      <c r="EP76" s="9"/>
      <c r="EQ76" s="9"/>
      <c r="ER76" s="9"/>
      <c r="ES76" s="9"/>
      <c r="ET76" s="9"/>
      <c r="EU76" s="9"/>
      <c r="EV76" s="9"/>
      <c r="EW76" s="9"/>
      <c r="EX76" s="9"/>
      <c r="EY76" s="9"/>
      <c r="EZ76" s="9"/>
      <c r="FA76" s="9"/>
      <c r="FB76" s="9"/>
      <c r="FC76" s="9"/>
      <c r="FD76" s="9"/>
      <c r="FE76" s="9"/>
      <c r="FF76" s="9"/>
      <c r="FG76" s="9"/>
      <c r="FH76" s="9"/>
      <c r="FI76" s="9"/>
      <c r="FJ76" s="9"/>
      <c r="FK76" s="9"/>
      <c r="FL76" s="9"/>
      <c r="FM76" s="9"/>
      <c r="FN76" s="9"/>
      <c r="FO76" s="9"/>
      <c r="FP76" s="9"/>
      <c r="FQ76" s="9"/>
      <c r="FR76" s="9"/>
      <c r="FS76" s="9"/>
      <c r="FT76" s="9"/>
      <c r="FU76" s="9"/>
      <c r="FV76" s="9"/>
      <c r="FW76" s="9"/>
      <c r="FX76" s="9"/>
      <c r="FY76" s="9"/>
      <c r="FZ76" s="9"/>
      <c r="GA76" s="9"/>
      <c r="GB76" s="9"/>
      <c r="GC76" s="9"/>
      <c r="GD76" s="9"/>
      <c r="GE76" s="9"/>
      <c r="GF76" s="9"/>
      <c r="GG76" s="9"/>
      <c r="GH76" s="9"/>
      <c r="GI76" s="9"/>
      <c r="GJ76" s="9"/>
      <c r="GK76" s="9"/>
      <c r="GL76" s="9"/>
      <c r="GM76" s="9"/>
      <c r="GN76" s="9"/>
      <c r="GO76" s="9"/>
      <c r="GP76" s="9"/>
      <c r="GQ76" s="9"/>
      <c r="GR76" s="9"/>
      <c r="GS76" s="9"/>
      <c r="GT76" s="9"/>
      <c r="GU76" s="9"/>
      <c r="GV76" s="9"/>
      <c r="GW76" s="9"/>
      <c r="GX76" s="9"/>
      <c r="GY76" s="9"/>
      <c r="GZ76" s="9"/>
      <c r="HA76" s="9"/>
      <c r="HB76" s="9"/>
      <c r="HC76" s="9"/>
      <c r="HD76" s="9"/>
      <c r="HE76" s="9"/>
      <c r="HF76" s="9"/>
      <c r="HG76" s="9"/>
      <c r="HH76" s="9"/>
      <c r="HI76" s="9"/>
      <c r="HJ76" s="9"/>
      <c r="HK76" s="9"/>
      <c r="HL76" s="9"/>
      <c r="HM76" s="9"/>
      <c r="HN76" s="9"/>
      <c r="HO76" s="9"/>
      <c r="HP76" s="9"/>
      <c r="HQ76" s="9"/>
      <c r="HR76" s="9"/>
      <c r="HS76" s="9"/>
      <c r="HT76" s="9"/>
      <c r="HU76" s="9"/>
      <c r="HV76" s="9"/>
      <c r="HW76" s="9"/>
      <c r="HX76" s="9"/>
      <c r="HY76" s="9"/>
      <c r="HZ76" s="9"/>
      <c r="IA76" s="9"/>
      <c r="IB76" s="9"/>
      <c r="IC76" s="9"/>
      <c r="ID76" s="9"/>
      <c r="IE76" s="9"/>
      <c r="IF76" s="9"/>
      <c r="IG76" s="9"/>
      <c r="IH76" s="9"/>
      <c r="II76" s="9"/>
      <c r="IJ76" s="9"/>
      <c r="IK76" s="9"/>
      <c r="IL76" s="9"/>
      <c r="IM76" s="9"/>
      <c r="IN76" s="9"/>
      <c r="IO76" s="9"/>
      <c r="IP76" s="9"/>
      <c r="IQ76" s="9"/>
      <c r="IR76" s="9"/>
      <c r="IS76" s="9"/>
      <c r="IT76" s="9"/>
      <c r="IU76" s="9"/>
      <c r="IV76" s="9"/>
      <c r="IW76" s="9"/>
      <c r="IX76" s="9"/>
      <c r="IY76" s="9"/>
      <c r="IZ76" s="9"/>
      <c r="JA76" s="9"/>
      <c r="JB76" s="9"/>
      <c r="JC76" s="9"/>
      <c r="JD76" s="9"/>
      <c r="JE76" s="9"/>
      <c r="JF76" s="9"/>
      <c r="JG76" s="9"/>
      <c r="JH76" s="9"/>
      <c r="JI76" s="9"/>
      <c r="JJ76" s="9"/>
      <c r="JK76" s="9"/>
      <c r="JL76" s="9"/>
      <c r="JM76" s="9"/>
      <c r="JN76" s="9"/>
      <c r="JO76" s="9"/>
      <c r="JP76" s="9"/>
      <c r="JQ76" s="9"/>
      <c r="JR76" s="9"/>
      <c r="JS76" s="9"/>
      <c r="JT76" s="9"/>
      <c r="JU76" s="9"/>
      <c r="JV76" s="9"/>
      <c r="JW76" s="9"/>
      <c r="JX76" s="9"/>
      <c r="JY76" s="9"/>
      <c r="JZ76" s="9"/>
      <c r="KA76" s="9"/>
      <c r="KB76" s="9"/>
      <c r="KC76" s="9"/>
      <c r="KD76" s="9"/>
      <c r="KE76" s="9"/>
      <c r="KF76" s="9"/>
      <c r="KG76" s="9"/>
      <c r="KH76" s="9"/>
      <c r="KI76" s="9"/>
      <c r="KJ76" s="9"/>
      <c r="KK76" s="9"/>
      <c r="KL76" s="9"/>
      <c r="KM76" s="9"/>
      <c r="KN76" s="9"/>
      <c r="KO76" s="9"/>
      <c r="KP76" s="9"/>
      <c r="KQ76" s="9"/>
      <c r="KR76" s="9"/>
      <c r="KS76" s="9"/>
      <c r="KT76" s="9"/>
      <c r="KU76" s="9"/>
      <c r="KV76" s="9"/>
      <c r="KW76" s="9"/>
      <c r="KX76" s="9"/>
      <c r="KY76" s="9"/>
      <c r="KZ76" s="9"/>
      <c r="LA76" s="9"/>
      <c r="LB76" s="9"/>
      <c r="LC76" s="9"/>
      <c r="LD76" s="9"/>
      <c r="LE76" s="9"/>
      <c r="LF76" s="9"/>
      <c r="LG76" s="9"/>
      <c r="LH76" s="9"/>
      <c r="LI76" s="9"/>
      <c r="LJ76" s="9"/>
      <c r="LK76" s="9"/>
      <c r="LL76" s="9"/>
      <c r="LM76" s="9"/>
      <c r="LN76" s="9"/>
      <c r="LO76" s="9"/>
      <c r="LP76" s="9"/>
      <c r="LQ76" s="9"/>
      <c r="LR76" s="9"/>
      <c r="LS76" s="9"/>
      <c r="LT76" s="9"/>
      <c r="LU76" s="9"/>
      <c r="LV76" s="9"/>
      <c r="LW76" s="9"/>
      <c r="LX76" s="9"/>
      <c r="LY76" s="9"/>
      <c r="LZ76" s="9"/>
      <c r="MA76" s="9"/>
      <c r="MB76" s="9"/>
      <c r="MC76" s="9"/>
      <c r="MD76" s="9"/>
      <c r="ME76" s="9"/>
      <c r="MF76" s="9"/>
      <c r="MG76" s="9"/>
      <c r="MH76" s="9"/>
      <c r="MI76" s="9"/>
      <c r="MJ76" s="9"/>
      <c r="MK76" s="9"/>
    </row>
    <row r="77" spans="1:349" hidden="1" x14ac:dyDescent="0.25">
      <c r="A77" s="9"/>
      <c r="B77" s="9"/>
      <c r="C77" s="9"/>
      <c r="D77" s="9"/>
      <c r="E77" s="9"/>
      <c r="F77" s="9"/>
      <c r="G77" s="9"/>
      <c r="H77" s="9"/>
      <c r="I77" s="9"/>
      <c r="J77" s="9"/>
      <c r="K77" s="9"/>
      <c r="L77" s="9"/>
      <c r="M77" s="9"/>
      <c r="N77" s="9"/>
      <c r="O77" s="9"/>
      <c r="AG77" s="9"/>
      <c r="AH77" s="9"/>
      <c r="AI77" s="9"/>
      <c r="AJ77" s="9"/>
      <c r="AK77" s="9"/>
      <c r="AL77" s="9"/>
      <c r="AM77" s="9"/>
      <c r="AN77" s="9"/>
      <c r="AO77" s="9"/>
      <c r="AP77" s="9"/>
      <c r="AQ77" s="9"/>
      <c r="AR77" s="9"/>
      <c r="AS77" s="9"/>
      <c r="AT77" s="9"/>
      <c r="AU77" s="9"/>
      <c r="AV77" s="9"/>
      <c r="AW77" s="9"/>
      <c r="AX77" s="9"/>
      <c r="AY77" s="9"/>
      <c r="AZ77" s="9"/>
      <c r="BA77" s="9"/>
      <c r="BB77" s="9"/>
      <c r="BC77" s="9"/>
      <c r="BD77" s="9"/>
      <c r="BE77" s="9"/>
      <c r="BF77" s="9"/>
      <c r="BG77" s="9"/>
      <c r="BH77" s="9"/>
      <c r="BI77" s="9"/>
      <c r="BJ77" s="9"/>
      <c r="BK77" s="9"/>
      <c r="BL77" s="9"/>
      <c r="BM77" s="9"/>
      <c r="BN77" s="9"/>
      <c r="BO77" s="9"/>
      <c r="BP77" s="9"/>
      <c r="BQ77" s="9"/>
      <c r="BR77" s="9"/>
      <c r="BS77" s="9"/>
      <c r="BT77" s="9"/>
      <c r="BU77" s="9"/>
      <c r="BV77" s="9"/>
      <c r="BW77" s="9"/>
      <c r="BX77" s="9"/>
      <c r="BY77" s="9"/>
      <c r="BZ77" s="9"/>
      <c r="CA77" s="9"/>
      <c r="CB77" s="9"/>
      <c r="CC77" s="9"/>
      <c r="CD77" s="9"/>
      <c r="CE77" s="9"/>
      <c r="CF77" s="9"/>
      <c r="CG77" s="9"/>
      <c r="CH77" s="9"/>
      <c r="CI77" s="9"/>
      <c r="CJ77" s="9"/>
      <c r="CK77" s="9"/>
      <c r="CL77" s="9"/>
      <c r="CM77" s="9"/>
      <c r="CN77" s="9"/>
      <c r="CO77" s="9"/>
      <c r="CP77" s="9"/>
      <c r="CQ77" s="9"/>
      <c r="CR77" s="9"/>
      <c r="CS77" s="9"/>
      <c r="CT77" s="9"/>
      <c r="CU77" s="9"/>
      <c r="CV77" s="9"/>
      <c r="CW77" s="9"/>
      <c r="CX77" s="9"/>
      <c r="CY77" s="9"/>
      <c r="CZ77" s="9"/>
      <c r="DA77" s="9"/>
      <c r="DB77" s="9"/>
      <c r="DC77" s="9"/>
      <c r="DD77" s="9"/>
      <c r="DE77" s="9"/>
      <c r="DF77" s="9"/>
      <c r="DG77" s="9"/>
      <c r="DH77" s="9"/>
      <c r="DI77" s="9"/>
      <c r="DJ77" s="9"/>
      <c r="DK77" s="9"/>
      <c r="DL77" s="9"/>
      <c r="DM77" s="9"/>
      <c r="DN77" s="9"/>
      <c r="DO77" s="9"/>
      <c r="DP77" s="9"/>
      <c r="DQ77" s="9"/>
      <c r="DR77" s="9"/>
      <c r="DS77" s="9"/>
      <c r="DT77" s="9"/>
      <c r="DU77" s="9"/>
      <c r="DV77" s="9"/>
      <c r="DW77" s="9"/>
      <c r="DX77" s="9"/>
      <c r="DY77" s="9"/>
      <c r="DZ77" s="9"/>
      <c r="EA77" s="9"/>
      <c r="EB77" s="9"/>
      <c r="EC77" s="9"/>
      <c r="ED77" s="9"/>
      <c r="EE77" s="9"/>
      <c r="EF77" s="9"/>
      <c r="EG77" s="9"/>
      <c r="EH77" s="9"/>
      <c r="EI77" s="9"/>
      <c r="EJ77" s="9"/>
      <c r="EK77" s="9"/>
      <c r="EL77" s="9"/>
      <c r="EM77" s="9"/>
      <c r="EN77" s="9"/>
      <c r="EO77" s="9"/>
      <c r="EP77" s="9"/>
      <c r="EQ77" s="9"/>
      <c r="ER77" s="9"/>
      <c r="ES77" s="9"/>
      <c r="ET77" s="9"/>
      <c r="EU77" s="9"/>
      <c r="EV77" s="9"/>
      <c r="EW77" s="9"/>
      <c r="EX77" s="9"/>
      <c r="EY77" s="9"/>
      <c r="EZ77" s="9"/>
      <c r="FA77" s="9"/>
      <c r="FB77" s="9"/>
      <c r="FC77" s="9"/>
      <c r="FD77" s="9"/>
      <c r="FE77" s="9"/>
      <c r="FF77" s="9"/>
      <c r="FG77" s="9"/>
      <c r="FH77" s="9"/>
      <c r="FI77" s="9"/>
      <c r="FJ77" s="9"/>
      <c r="FK77" s="9"/>
      <c r="FL77" s="9"/>
      <c r="FM77" s="9"/>
      <c r="FN77" s="9"/>
      <c r="FO77" s="9"/>
      <c r="FP77" s="9"/>
      <c r="FQ77" s="9"/>
      <c r="FR77" s="9"/>
      <c r="FS77" s="9"/>
      <c r="FT77" s="9"/>
      <c r="FU77" s="9"/>
      <c r="FV77" s="9"/>
      <c r="FW77" s="9"/>
      <c r="FX77" s="9"/>
      <c r="FY77" s="9"/>
      <c r="FZ77" s="9"/>
      <c r="GA77" s="9"/>
      <c r="GB77" s="9"/>
      <c r="GC77" s="9"/>
      <c r="GD77" s="9"/>
      <c r="GE77" s="9"/>
      <c r="GF77" s="9"/>
      <c r="GG77" s="9"/>
      <c r="GH77" s="9"/>
      <c r="GI77" s="9"/>
      <c r="GJ77" s="9"/>
      <c r="GK77" s="9"/>
      <c r="GL77" s="9"/>
      <c r="GM77" s="9"/>
      <c r="GN77" s="9"/>
      <c r="GO77" s="9"/>
      <c r="GP77" s="9"/>
      <c r="GQ77" s="9"/>
      <c r="GR77" s="9"/>
      <c r="GS77" s="9"/>
      <c r="GT77" s="9"/>
      <c r="GU77" s="9"/>
      <c r="GV77" s="9"/>
      <c r="GW77" s="9"/>
      <c r="GX77" s="9"/>
      <c r="GY77" s="9"/>
      <c r="GZ77" s="9"/>
      <c r="HA77" s="9"/>
      <c r="HB77" s="9"/>
      <c r="HC77" s="9"/>
      <c r="HD77" s="9"/>
      <c r="HE77" s="9"/>
      <c r="HF77" s="9"/>
      <c r="HG77" s="9"/>
      <c r="HH77" s="9"/>
      <c r="HI77" s="9"/>
      <c r="HJ77" s="9"/>
      <c r="HK77" s="9"/>
      <c r="HL77" s="9"/>
      <c r="HM77" s="9"/>
      <c r="HN77" s="9"/>
      <c r="HO77" s="9"/>
      <c r="HP77" s="9"/>
      <c r="HQ77" s="9"/>
      <c r="HR77" s="9"/>
      <c r="HS77" s="9"/>
      <c r="HT77" s="9"/>
      <c r="HU77" s="9"/>
      <c r="HV77" s="9"/>
      <c r="HW77" s="9"/>
      <c r="HX77" s="9"/>
      <c r="HY77" s="9"/>
      <c r="HZ77" s="9"/>
      <c r="IA77" s="9"/>
      <c r="IB77" s="9"/>
      <c r="IC77" s="9"/>
      <c r="ID77" s="9"/>
      <c r="IE77" s="9"/>
      <c r="IF77" s="9"/>
      <c r="IG77" s="9"/>
      <c r="IH77" s="9"/>
      <c r="II77" s="9"/>
      <c r="IJ77" s="9"/>
      <c r="IK77" s="9"/>
      <c r="IL77" s="9"/>
      <c r="IM77" s="9"/>
      <c r="IN77" s="9"/>
      <c r="IO77" s="9"/>
      <c r="IP77" s="9"/>
      <c r="IQ77" s="9"/>
      <c r="IR77" s="9"/>
      <c r="IS77" s="9"/>
      <c r="IT77" s="9"/>
      <c r="IU77" s="9"/>
      <c r="IV77" s="9"/>
      <c r="IW77" s="9"/>
      <c r="IX77" s="9"/>
      <c r="IY77" s="9"/>
      <c r="IZ77" s="9"/>
      <c r="JA77" s="9"/>
      <c r="JB77" s="9"/>
      <c r="JC77" s="9"/>
      <c r="JD77" s="9"/>
      <c r="JE77" s="9"/>
      <c r="JF77" s="9"/>
      <c r="JG77" s="9"/>
      <c r="JH77" s="9"/>
      <c r="JI77" s="9"/>
      <c r="JJ77" s="9"/>
      <c r="JK77" s="9"/>
      <c r="JL77" s="9"/>
      <c r="JM77" s="9"/>
      <c r="JN77" s="9"/>
      <c r="JO77" s="9"/>
      <c r="JP77" s="9"/>
      <c r="JQ77" s="9"/>
      <c r="JR77" s="9"/>
      <c r="JS77" s="9"/>
      <c r="JT77" s="9"/>
      <c r="JU77" s="9"/>
      <c r="JV77" s="9"/>
      <c r="JW77" s="9"/>
      <c r="JX77" s="9"/>
      <c r="JY77" s="9"/>
      <c r="JZ77" s="9"/>
      <c r="KA77" s="9"/>
      <c r="KB77" s="9"/>
      <c r="KC77" s="9"/>
      <c r="KD77" s="9"/>
      <c r="KE77" s="9"/>
      <c r="KF77" s="9"/>
      <c r="KG77" s="9"/>
      <c r="KH77" s="9"/>
      <c r="KI77" s="9"/>
      <c r="KJ77" s="9"/>
      <c r="KK77" s="9"/>
      <c r="KL77" s="9"/>
      <c r="KM77" s="9"/>
      <c r="KN77" s="9"/>
      <c r="KO77" s="9"/>
      <c r="KP77" s="9"/>
      <c r="KQ77" s="9"/>
      <c r="KR77" s="9"/>
      <c r="KS77" s="9"/>
      <c r="KT77" s="9"/>
      <c r="KU77" s="9"/>
      <c r="KV77" s="9"/>
      <c r="KW77" s="9"/>
      <c r="KX77" s="9"/>
      <c r="KY77" s="9"/>
      <c r="KZ77" s="9"/>
      <c r="LA77" s="9"/>
      <c r="LB77" s="9"/>
      <c r="LC77" s="9"/>
      <c r="LD77" s="9"/>
      <c r="LE77" s="9"/>
      <c r="LF77" s="9"/>
      <c r="LG77" s="9"/>
      <c r="LH77" s="9"/>
      <c r="LI77" s="9"/>
      <c r="LJ77" s="9"/>
      <c r="LK77" s="9"/>
      <c r="LL77" s="9"/>
      <c r="LM77" s="9"/>
      <c r="LN77" s="9"/>
      <c r="LO77" s="9"/>
      <c r="LP77" s="9"/>
      <c r="LQ77" s="9"/>
      <c r="LR77" s="9"/>
      <c r="LS77" s="9"/>
      <c r="LT77" s="9"/>
      <c r="LU77" s="9"/>
      <c r="LV77" s="9"/>
      <c r="LW77" s="9"/>
      <c r="LX77" s="9"/>
      <c r="LY77" s="9"/>
      <c r="LZ77" s="9"/>
      <c r="MA77" s="9"/>
      <c r="MB77" s="9"/>
      <c r="MC77" s="9"/>
      <c r="MD77" s="9"/>
      <c r="ME77" s="9"/>
      <c r="MF77" s="9"/>
      <c r="MG77" s="9"/>
      <c r="MH77" s="9"/>
      <c r="MI77" s="9"/>
      <c r="MJ77" s="9"/>
      <c r="MK77" s="9"/>
    </row>
    <row r="78" spans="1:349" hidden="1" x14ac:dyDescent="0.25">
      <c r="A78" s="9"/>
      <c r="B78" s="9"/>
      <c r="C78" s="9"/>
      <c r="D78" s="9"/>
      <c r="E78" s="9"/>
      <c r="F78" s="9"/>
      <c r="G78" s="9"/>
      <c r="H78" s="9"/>
      <c r="I78" s="9"/>
      <c r="J78" s="9"/>
      <c r="K78" s="9"/>
      <c r="L78" s="9"/>
      <c r="M78" s="9"/>
      <c r="N78" s="9"/>
      <c r="O78" s="9"/>
      <c r="AG78" s="9"/>
      <c r="AH78" s="9"/>
      <c r="AI78" s="9"/>
      <c r="AJ78" s="9"/>
      <c r="AK78" s="9"/>
      <c r="AL78" s="9"/>
      <c r="AM78" s="9"/>
      <c r="AN78" s="9"/>
      <c r="AO78" s="9"/>
      <c r="AP78" s="9"/>
      <c r="AQ78" s="9"/>
      <c r="AR78" s="9"/>
      <c r="AS78" s="9"/>
      <c r="AT78" s="9"/>
      <c r="AU78" s="9"/>
      <c r="AV78" s="9"/>
      <c r="AW78" s="9"/>
      <c r="AX78" s="9"/>
      <c r="AY78" s="9"/>
      <c r="AZ78" s="9"/>
      <c r="BA78" s="9"/>
      <c r="BB78" s="9"/>
      <c r="BC78" s="9"/>
      <c r="BD78" s="9"/>
      <c r="BE78" s="9"/>
      <c r="BF78" s="9"/>
      <c r="BG78" s="9"/>
      <c r="BH78" s="9"/>
      <c r="BI78" s="9"/>
      <c r="BJ78" s="9"/>
      <c r="BK78" s="9"/>
      <c r="BL78" s="9"/>
      <c r="BM78" s="9"/>
      <c r="BN78" s="9"/>
      <c r="BO78" s="9"/>
      <c r="BP78" s="9"/>
      <c r="BQ78" s="9"/>
      <c r="BR78" s="9"/>
      <c r="BS78" s="9"/>
      <c r="BT78" s="9"/>
      <c r="BU78" s="9"/>
      <c r="BV78" s="9"/>
      <c r="BW78" s="9"/>
      <c r="BX78" s="9"/>
      <c r="BY78" s="9"/>
      <c r="BZ78" s="9"/>
      <c r="CA78" s="9"/>
      <c r="CB78" s="9"/>
      <c r="CC78" s="9"/>
      <c r="CD78" s="9"/>
      <c r="CE78" s="9"/>
      <c r="CF78" s="9"/>
      <c r="CG78" s="9"/>
      <c r="CH78" s="9"/>
      <c r="CI78" s="9"/>
      <c r="CJ78" s="9"/>
      <c r="CK78" s="9"/>
      <c r="CL78" s="9"/>
      <c r="CM78" s="9"/>
      <c r="CN78" s="9"/>
      <c r="CO78" s="9"/>
      <c r="CP78" s="9"/>
      <c r="CQ78" s="9"/>
      <c r="CR78" s="9"/>
      <c r="CS78" s="9"/>
      <c r="CT78" s="9"/>
      <c r="CU78" s="9"/>
      <c r="CV78" s="9"/>
      <c r="CW78" s="9"/>
      <c r="CX78" s="9"/>
      <c r="CY78" s="9"/>
      <c r="CZ78" s="9"/>
      <c r="DA78" s="9"/>
      <c r="DB78" s="9"/>
      <c r="DC78" s="9"/>
      <c r="DD78" s="9"/>
      <c r="DE78" s="9"/>
      <c r="DF78" s="9"/>
      <c r="DG78" s="9"/>
      <c r="DH78" s="9"/>
      <c r="DI78" s="9"/>
      <c r="DJ78" s="9"/>
      <c r="DK78" s="9"/>
      <c r="DL78" s="9"/>
      <c r="DM78" s="9"/>
      <c r="DN78" s="9"/>
      <c r="DO78" s="9"/>
      <c r="DP78" s="9"/>
      <c r="DQ78" s="9"/>
      <c r="DR78" s="9"/>
      <c r="DS78" s="9"/>
      <c r="DT78" s="9"/>
      <c r="DU78" s="9"/>
      <c r="DV78" s="9"/>
      <c r="DW78" s="9"/>
      <c r="DX78" s="9"/>
      <c r="DY78" s="9"/>
      <c r="DZ78" s="9"/>
      <c r="EA78" s="9"/>
      <c r="EB78" s="9"/>
      <c r="EC78" s="9"/>
      <c r="ED78" s="9"/>
      <c r="EE78" s="9"/>
      <c r="EF78" s="9"/>
      <c r="EG78" s="9"/>
      <c r="EH78" s="9"/>
      <c r="EI78" s="9"/>
      <c r="EJ78" s="9"/>
      <c r="EK78" s="9"/>
      <c r="EL78" s="9"/>
      <c r="EM78" s="9"/>
      <c r="EN78" s="9"/>
      <c r="EO78" s="9"/>
      <c r="EP78" s="9"/>
      <c r="EQ78" s="9"/>
      <c r="ER78" s="9"/>
      <c r="ES78" s="9"/>
      <c r="ET78" s="9"/>
      <c r="EU78" s="9"/>
      <c r="EV78" s="9"/>
      <c r="EW78" s="9"/>
      <c r="EX78" s="9"/>
      <c r="EY78" s="9"/>
      <c r="EZ78" s="9"/>
      <c r="FA78" s="9"/>
      <c r="FB78" s="9"/>
      <c r="FC78" s="9"/>
      <c r="FD78" s="9"/>
      <c r="FE78" s="9"/>
      <c r="FF78" s="9"/>
      <c r="FG78" s="9"/>
      <c r="FH78" s="9"/>
      <c r="FI78" s="9"/>
      <c r="FJ78" s="9"/>
      <c r="FK78" s="9"/>
      <c r="FL78" s="9"/>
      <c r="FM78" s="9"/>
      <c r="FN78" s="9"/>
      <c r="FO78" s="9"/>
      <c r="FP78" s="9"/>
      <c r="FQ78" s="9"/>
      <c r="FR78" s="9"/>
      <c r="FS78" s="9"/>
      <c r="FT78" s="9"/>
      <c r="FU78" s="9"/>
      <c r="FV78" s="9"/>
      <c r="FW78" s="9"/>
      <c r="FX78" s="9"/>
      <c r="FY78" s="9"/>
      <c r="FZ78" s="9"/>
      <c r="GA78" s="9"/>
      <c r="GB78" s="9"/>
      <c r="GC78" s="9"/>
      <c r="GD78" s="9"/>
      <c r="GE78" s="9"/>
      <c r="GF78" s="9"/>
      <c r="GG78" s="9"/>
      <c r="GH78" s="9"/>
      <c r="GI78" s="9"/>
      <c r="GJ78" s="9"/>
      <c r="GK78" s="9"/>
      <c r="GL78" s="9"/>
      <c r="GM78" s="9"/>
      <c r="GN78" s="9"/>
      <c r="GO78" s="9"/>
      <c r="GP78" s="9"/>
      <c r="GQ78" s="9"/>
      <c r="GR78" s="9"/>
      <c r="GS78" s="9"/>
      <c r="GT78" s="9"/>
      <c r="GU78" s="9"/>
      <c r="GV78" s="9"/>
      <c r="GW78" s="9"/>
      <c r="GX78" s="9"/>
      <c r="GY78" s="9"/>
      <c r="GZ78" s="9"/>
      <c r="HA78" s="9"/>
      <c r="HB78" s="9"/>
      <c r="HC78" s="9"/>
      <c r="HD78" s="9"/>
      <c r="HE78" s="9"/>
      <c r="HF78" s="9"/>
      <c r="HG78" s="9"/>
      <c r="HH78" s="9"/>
      <c r="HI78" s="9"/>
      <c r="HJ78" s="9"/>
      <c r="HK78" s="9"/>
      <c r="HL78" s="9"/>
      <c r="HM78" s="9"/>
      <c r="HN78" s="9"/>
      <c r="HO78" s="9"/>
      <c r="HP78" s="9"/>
      <c r="HQ78" s="9"/>
      <c r="HR78" s="9"/>
      <c r="HS78" s="9"/>
      <c r="HT78" s="9"/>
      <c r="HU78" s="9"/>
      <c r="HV78" s="9"/>
      <c r="HW78" s="9"/>
      <c r="HX78" s="9"/>
      <c r="HY78" s="9"/>
      <c r="HZ78" s="9"/>
      <c r="IA78" s="9"/>
      <c r="IB78" s="9"/>
      <c r="IC78" s="9"/>
      <c r="ID78" s="9"/>
      <c r="IE78" s="9"/>
      <c r="IF78" s="9"/>
      <c r="IG78" s="9"/>
      <c r="IH78" s="9"/>
      <c r="II78" s="9"/>
      <c r="IJ78" s="9"/>
      <c r="IK78" s="9"/>
      <c r="IL78" s="9"/>
      <c r="IM78" s="9"/>
      <c r="IN78" s="9"/>
      <c r="IO78" s="9"/>
      <c r="IP78" s="9"/>
      <c r="IQ78" s="9"/>
      <c r="IR78" s="9"/>
      <c r="IS78" s="9"/>
      <c r="IT78" s="9"/>
      <c r="IU78" s="9"/>
      <c r="IV78" s="9"/>
      <c r="IW78" s="9"/>
      <c r="IX78" s="9"/>
      <c r="IY78" s="9"/>
      <c r="IZ78" s="9"/>
      <c r="JA78" s="9"/>
      <c r="JB78" s="9"/>
      <c r="JC78" s="9"/>
      <c r="JD78" s="9"/>
      <c r="JE78" s="9"/>
      <c r="JF78" s="9"/>
      <c r="JG78" s="9"/>
      <c r="JH78" s="9"/>
      <c r="JI78" s="9"/>
      <c r="JJ78" s="9"/>
      <c r="JK78" s="9"/>
      <c r="JL78" s="9"/>
      <c r="JM78" s="9"/>
      <c r="JN78" s="9"/>
      <c r="JO78" s="9"/>
      <c r="JP78" s="9"/>
      <c r="JQ78" s="9"/>
      <c r="JR78" s="9"/>
      <c r="JS78" s="9"/>
      <c r="JT78" s="9"/>
      <c r="JU78" s="9"/>
      <c r="JV78" s="9"/>
      <c r="JW78" s="9"/>
      <c r="JX78" s="9"/>
      <c r="JY78" s="9"/>
      <c r="JZ78" s="9"/>
      <c r="KA78" s="9"/>
      <c r="KB78" s="9"/>
      <c r="KC78" s="9"/>
      <c r="KD78" s="9"/>
      <c r="KE78" s="9"/>
      <c r="KF78" s="9"/>
      <c r="KG78" s="9"/>
      <c r="KH78" s="9"/>
      <c r="KI78" s="9"/>
      <c r="KJ78" s="9"/>
      <c r="KK78" s="9"/>
      <c r="KL78" s="9"/>
      <c r="KM78" s="9"/>
      <c r="KN78" s="9"/>
      <c r="KO78" s="9"/>
      <c r="KP78" s="9"/>
      <c r="KQ78" s="9"/>
      <c r="KR78" s="9"/>
      <c r="KS78" s="9"/>
      <c r="KT78" s="9"/>
      <c r="KU78" s="9"/>
      <c r="KV78" s="9"/>
      <c r="KW78" s="9"/>
      <c r="KX78" s="9"/>
      <c r="KY78" s="9"/>
      <c r="KZ78" s="9"/>
      <c r="LA78" s="9"/>
      <c r="LB78" s="9"/>
      <c r="LC78" s="9"/>
      <c r="LD78" s="9"/>
      <c r="LE78" s="9"/>
      <c r="LF78" s="9"/>
      <c r="LG78" s="9"/>
      <c r="LH78" s="9"/>
      <c r="LI78" s="9"/>
      <c r="LJ78" s="9"/>
      <c r="LK78" s="9"/>
      <c r="LL78" s="9"/>
      <c r="LM78" s="9"/>
      <c r="LN78" s="9"/>
      <c r="LO78" s="9"/>
      <c r="LP78" s="9"/>
      <c r="LQ78" s="9"/>
      <c r="LR78" s="9"/>
      <c r="LS78" s="9"/>
      <c r="LT78" s="9"/>
      <c r="LU78" s="9"/>
      <c r="LV78" s="9"/>
      <c r="LW78" s="9"/>
      <c r="LX78" s="9"/>
      <c r="LY78" s="9"/>
      <c r="LZ78" s="9"/>
      <c r="MA78" s="9"/>
      <c r="MB78" s="9"/>
      <c r="MC78" s="9"/>
      <c r="MD78" s="9"/>
      <c r="ME78" s="9"/>
      <c r="MF78" s="9"/>
      <c r="MG78" s="9"/>
      <c r="MH78" s="9"/>
      <c r="MI78" s="9"/>
      <c r="MJ78" s="9"/>
      <c r="MK78" s="9"/>
    </row>
    <row r="79" spans="1:349" hidden="1" x14ac:dyDescent="0.25">
      <c r="A79" s="9"/>
      <c r="B79" s="9"/>
      <c r="C79" s="9"/>
      <c r="D79" s="9"/>
      <c r="E79" s="9"/>
      <c r="F79" s="9"/>
      <c r="G79" s="9"/>
      <c r="H79" s="9"/>
      <c r="I79" s="9"/>
      <c r="J79" s="9"/>
      <c r="K79" s="9"/>
      <c r="L79" s="9"/>
      <c r="M79" s="9"/>
      <c r="N79" s="9"/>
      <c r="O79" s="9"/>
      <c r="AG79" s="9"/>
      <c r="AH79" s="9"/>
      <c r="AI79" s="9"/>
      <c r="AJ79" s="9"/>
      <c r="AK79" s="9"/>
      <c r="AL79" s="9"/>
      <c r="AM79" s="9"/>
      <c r="AN79" s="9"/>
      <c r="AO79" s="9"/>
      <c r="AP79" s="9"/>
      <c r="AQ79" s="9"/>
      <c r="AR79" s="9"/>
      <c r="AS79" s="9"/>
      <c r="AT79" s="9"/>
      <c r="AU79" s="9"/>
      <c r="AV79" s="9"/>
      <c r="AW79" s="9"/>
      <c r="AX79" s="9"/>
      <c r="AY79" s="9"/>
      <c r="AZ79" s="9"/>
      <c r="BA79" s="9"/>
      <c r="BB79" s="9"/>
      <c r="BC79" s="9"/>
      <c r="BD79" s="9"/>
      <c r="BE79" s="9"/>
      <c r="BF79" s="9"/>
      <c r="BG79" s="9"/>
      <c r="BH79" s="9"/>
      <c r="BI79" s="9"/>
      <c r="BJ79" s="9"/>
      <c r="BK79" s="9"/>
      <c r="BL79" s="9"/>
      <c r="BM79" s="9"/>
      <c r="BN79" s="9"/>
      <c r="BO79" s="9"/>
      <c r="BP79" s="9"/>
      <c r="BQ79" s="9"/>
      <c r="BR79" s="9"/>
      <c r="BS79" s="9"/>
      <c r="BT79" s="9"/>
      <c r="BU79" s="9"/>
      <c r="BV79" s="9"/>
      <c r="BW79" s="9"/>
      <c r="BX79" s="9"/>
      <c r="BY79" s="9"/>
      <c r="BZ79" s="9"/>
      <c r="CA79" s="9"/>
      <c r="CB79" s="9"/>
      <c r="CC79" s="9"/>
      <c r="CD79" s="9"/>
      <c r="CE79" s="9"/>
      <c r="CF79" s="9"/>
      <c r="CG79" s="9"/>
      <c r="CH79" s="9"/>
      <c r="CI79" s="9"/>
      <c r="CJ79" s="9"/>
      <c r="CK79" s="9"/>
      <c r="CL79" s="9"/>
      <c r="CM79" s="9"/>
      <c r="CN79" s="9"/>
      <c r="CO79" s="9"/>
      <c r="CP79" s="9"/>
      <c r="CQ79" s="9"/>
      <c r="CR79" s="9"/>
      <c r="CS79" s="9"/>
      <c r="CT79" s="9"/>
      <c r="CU79" s="9"/>
      <c r="CV79" s="9"/>
      <c r="CW79" s="9"/>
      <c r="CX79" s="9"/>
      <c r="CY79" s="9"/>
      <c r="CZ79" s="9"/>
      <c r="DA79" s="9"/>
      <c r="DB79" s="9"/>
      <c r="DC79" s="9"/>
      <c r="DD79" s="9"/>
      <c r="DE79" s="9"/>
      <c r="DF79" s="9"/>
      <c r="DG79" s="9"/>
      <c r="DH79" s="9"/>
      <c r="DI79" s="9"/>
      <c r="DJ79" s="9"/>
      <c r="DK79" s="9"/>
      <c r="DL79" s="9"/>
      <c r="DM79" s="9"/>
      <c r="DN79" s="9"/>
      <c r="DO79" s="9"/>
      <c r="DP79" s="9"/>
      <c r="DQ79" s="9"/>
      <c r="DR79" s="9"/>
      <c r="DS79" s="9"/>
      <c r="DT79" s="9"/>
      <c r="DU79" s="9"/>
      <c r="DV79" s="9"/>
      <c r="DW79" s="9"/>
      <c r="DX79" s="9"/>
      <c r="DY79" s="9"/>
      <c r="DZ79" s="9"/>
      <c r="EA79" s="9"/>
      <c r="EB79" s="9"/>
      <c r="EC79" s="9"/>
      <c r="ED79" s="9"/>
      <c r="EE79" s="9"/>
      <c r="EF79" s="9"/>
      <c r="EG79" s="9"/>
      <c r="EH79" s="9"/>
      <c r="EI79" s="9"/>
      <c r="EJ79" s="9"/>
      <c r="EK79" s="9"/>
      <c r="EL79" s="9"/>
      <c r="EM79" s="9"/>
      <c r="EN79" s="9"/>
      <c r="EO79" s="9"/>
      <c r="EP79" s="9"/>
      <c r="EQ79" s="9"/>
      <c r="ER79" s="9"/>
      <c r="ES79" s="9"/>
      <c r="ET79" s="9"/>
      <c r="EU79" s="9"/>
      <c r="EV79" s="9"/>
      <c r="EW79" s="9"/>
      <c r="EX79" s="9"/>
      <c r="EY79" s="9"/>
      <c r="EZ79" s="9"/>
      <c r="FA79" s="9"/>
      <c r="FB79" s="9"/>
      <c r="FC79" s="9"/>
      <c r="FD79" s="9"/>
      <c r="FE79" s="9"/>
      <c r="FF79" s="9"/>
      <c r="FG79" s="9"/>
      <c r="FH79" s="9"/>
      <c r="FI79" s="9"/>
      <c r="FJ79" s="9"/>
      <c r="FK79" s="9"/>
      <c r="FL79" s="9"/>
      <c r="FM79" s="9"/>
      <c r="FN79" s="9"/>
      <c r="FO79" s="9"/>
      <c r="FP79" s="9"/>
      <c r="FQ79" s="9"/>
      <c r="FR79" s="9"/>
      <c r="FS79" s="9"/>
      <c r="FT79" s="9"/>
      <c r="FU79" s="9"/>
      <c r="FV79" s="9"/>
      <c r="FW79" s="9"/>
      <c r="FX79" s="9"/>
      <c r="FY79" s="9"/>
      <c r="FZ79" s="9"/>
      <c r="GA79" s="9"/>
      <c r="GB79" s="9"/>
      <c r="GC79" s="9"/>
      <c r="GD79" s="9"/>
      <c r="GE79" s="9"/>
      <c r="GF79" s="9"/>
      <c r="GG79" s="9"/>
      <c r="GH79" s="9"/>
      <c r="GI79" s="9"/>
      <c r="GJ79" s="9"/>
      <c r="GK79" s="9"/>
      <c r="GL79" s="9"/>
      <c r="GM79" s="9"/>
      <c r="GN79" s="9"/>
      <c r="GO79" s="9"/>
      <c r="GP79" s="9"/>
      <c r="GQ79" s="9"/>
      <c r="GR79" s="9"/>
      <c r="GS79" s="9"/>
      <c r="GT79" s="9"/>
      <c r="GU79" s="9"/>
      <c r="GV79" s="9"/>
      <c r="GW79" s="9"/>
      <c r="GX79" s="9"/>
      <c r="GY79" s="9"/>
      <c r="GZ79" s="9"/>
      <c r="HA79" s="9"/>
      <c r="HB79" s="9"/>
      <c r="HC79" s="9"/>
      <c r="HD79" s="9"/>
      <c r="HE79" s="9"/>
      <c r="HF79" s="9"/>
      <c r="HG79" s="9"/>
      <c r="HH79" s="9"/>
      <c r="HI79" s="9"/>
      <c r="HJ79" s="9"/>
      <c r="HK79" s="9"/>
      <c r="HL79" s="9"/>
      <c r="HM79" s="9"/>
      <c r="HN79" s="9"/>
      <c r="HO79" s="9"/>
      <c r="HP79" s="9"/>
      <c r="HQ79" s="9"/>
      <c r="HR79" s="9"/>
      <c r="HS79" s="9"/>
      <c r="HT79" s="9"/>
      <c r="HU79" s="9"/>
      <c r="HV79" s="9"/>
      <c r="HW79" s="9"/>
      <c r="HX79" s="9"/>
      <c r="HY79" s="9"/>
      <c r="HZ79" s="9"/>
      <c r="IA79" s="9"/>
      <c r="IB79" s="9"/>
      <c r="IC79" s="9"/>
      <c r="ID79" s="9"/>
      <c r="IE79" s="9"/>
      <c r="IF79" s="9"/>
      <c r="IG79" s="9"/>
      <c r="IH79" s="9"/>
      <c r="II79" s="9"/>
      <c r="IJ79" s="9"/>
      <c r="IK79" s="9"/>
      <c r="IL79" s="9"/>
      <c r="IM79" s="9"/>
      <c r="IN79" s="9"/>
      <c r="IO79" s="9"/>
      <c r="IP79" s="9"/>
      <c r="IQ79" s="9"/>
      <c r="IR79" s="9"/>
      <c r="IS79" s="9"/>
      <c r="IT79" s="9"/>
      <c r="IU79" s="9"/>
      <c r="IV79" s="9"/>
      <c r="IW79" s="9"/>
      <c r="IX79" s="9"/>
      <c r="IY79" s="9"/>
      <c r="IZ79" s="9"/>
      <c r="JA79" s="9"/>
      <c r="JB79" s="9"/>
      <c r="JC79" s="9"/>
      <c r="JD79" s="9"/>
      <c r="JE79" s="9"/>
      <c r="JF79" s="9"/>
      <c r="JG79" s="9"/>
      <c r="JH79" s="9"/>
      <c r="JI79" s="9"/>
      <c r="JJ79" s="9"/>
      <c r="JK79" s="9"/>
      <c r="JL79" s="9"/>
      <c r="JM79" s="9"/>
      <c r="JN79" s="9"/>
      <c r="JO79" s="9"/>
      <c r="JP79" s="9"/>
      <c r="JQ79" s="9"/>
      <c r="JR79" s="9"/>
      <c r="JS79" s="9"/>
      <c r="JT79" s="9"/>
      <c r="JU79" s="9"/>
      <c r="JV79" s="9"/>
      <c r="JW79" s="9"/>
      <c r="JX79" s="9"/>
      <c r="JY79" s="9"/>
      <c r="JZ79" s="9"/>
      <c r="KA79" s="9"/>
      <c r="KB79" s="9"/>
      <c r="KC79" s="9"/>
      <c r="KD79" s="9"/>
      <c r="KE79" s="9"/>
      <c r="KF79" s="9"/>
      <c r="KG79" s="9"/>
      <c r="KH79" s="9"/>
      <c r="KI79" s="9"/>
      <c r="KJ79" s="9"/>
      <c r="KK79" s="9"/>
      <c r="KL79" s="9"/>
      <c r="KM79" s="9"/>
      <c r="KN79" s="9"/>
      <c r="KO79" s="9"/>
      <c r="KP79" s="9"/>
      <c r="KQ79" s="9"/>
      <c r="KR79" s="9"/>
      <c r="KS79" s="9"/>
      <c r="KT79" s="9"/>
      <c r="KU79" s="9"/>
      <c r="KV79" s="9"/>
      <c r="KW79" s="9"/>
      <c r="KX79" s="9"/>
      <c r="KY79" s="9"/>
      <c r="KZ79" s="9"/>
      <c r="LA79" s="9"/>
      <c r="LB79" s="9"/>
      <c r="LC79" s="9"/>
      <c r="LD79" s="9"/>
      <c r="LE79" s="9"/>
      <c r="LF79" s="9"/>
      <c r="LG79" s="9"/>
      <c r="LH79" s="9"/>
      <c r="LI79" s="9"/>
      <c r="LJ79" s="9"/>
      <c r="LK79" s="9"/>
      <c r="LL79" s="9"/>
      <c r="LM79" s="9"/>
      <c r="LN79" s="9"/>
      <c r="LO79" s="9"/>
      <c r="LP79" s="9"/>
      <c r="LQ79" s="9"/>
      <c r="LR79" s="9"/>
      <c r="LS79" s="9"/>
      <c r="LT79" s="9"/>
      <c r="LU79" s="9"/>
      <c r="LV79" s="9"/>
      <c r="LW79" s="9"/>
      <c r="LX79" s="9"/>
      <c r="LY79" s="9"/>
      <c r="LZ79" s="9"/>
      <c r="MA79" s="9"/>
      <c r="MB79" s="9"/>
      <c r="MC79" s="9"/>
      <c r="MD79" s="9"/>
      <c r="ME79" s="9"/>
      <c r="MF79" s="9"/>
      <c r="MG79" s="9"/>
      <c r="MH79" s="9"/>
      <c r="MI79" s="9"/>
      <c r="MJ79" s="9"/>
      <c r="MK79" s="9"/>
    </row>
    <row r="80" spans="1:349" hidden="1" x14ac:dyDescent="0.25">
      <c r="A80" s="9"/>
      <c r="B80" s="9"/>
      <c r="C80" s="9"/>
      <c r="D80" s="9"/>
      <c r="E80" s="9"/>
      <c r="F80" s="9"/>
      <c r="G80" s="9"/>
      <c r="H80" s="9"/>
      <c r="I80" s="9"/>
      <c r="J80" s="9"/>
      <c r="K80" s="9"/>
      <c r="L80" s="9"/>
      <c r="M80" s="9"/>
      <c r="N80" s="9"/>
      <c r="O80" s="9"/>
      <c r="AG80" s="9"/>
      <c r="AH80" s="9"/>
      <c r="AI80" s="9"/>
      <c r="AJ80" s="9"/>
      <c r="AK80" s="9"/>
      <c r="AL80" s="9"/>
      <c r="AM80" s="9"/>
      <c r="AN80" s="9"/>
      <c r="AO80" s="9"/>
      <c r="AP80" s="9"/>
      <c r="AQ80" s="9"/>
      <c r="AR80" s="9"/>
      <c r="AS80" s="9"/>
      <c r="AT80" s="9"/>
      <c r="AU80" s="9"/>
      <c r="AV80" s="9"/>
      <c r="AW80" s="9"/>
      <c r="AX80" s="9"/>
      <c r="AY80" s="9"/>
      <c r="AZ80" s="9"/>
      <c r="BA80" s="9"/>
      <c r="BB80" s="9"/>
      <c r="BC80" s="9"/>
      <c r="BD80" s="9"/>
      <c r="BE80" s="9"/>
      <c r="BF80" s="9"/>
      <c r="BG80" s="9"/>
      <c r="BH80" s="9"/>
      <c r="BI80" s="9"/>
      <c r="BJ80" s="9"/>
      <c r="BK80" s="9"/>
      <c r="BL80" s="9"/>
      <c r="BM80" s="9"/>
      <c r="BN80" s="9"/>
      <c r="BO80" s="9"/>
      <c r="BP80" s="9"/>
      <c r="BQ80" s="9"/>
      <c r="BR80" s="9"/>
      <c r="BS80" s="9"/>
      <c r="BT80" s="9"/>
      <c r="BU80" s="9"/>
      <c r="BV80" s="9"/>
      <c r="BW80" s="9"/>
      <c r="BX80" s="9"/>
      <c r="BY80" s="9"/>
      <c r="BZ80" s="9"/>
      <c r="CA80" s="9"/>
      <c r="CB80" s="9"/>
      <c r="CC80" s="9"/>
      <c r="CD80" s="9"/>
      <c r="CE80" s="9"/>
      <c r="CF80" s="9"/>
      <c r="CG80" s="9"/>
      <c r="CH80" s="9"/>
      <c r="CI80" s="9"/>
      <c r="CJ80" s="9"/>
      <c r="CK80" s="9"/>
      <c r="CL80" s="9"/>
      <c r="CM80" s="9"/>
      <c r="CN80" s="9"/>
      <c r="CO80" s="9"/>
      <c r="CP80" s="9"/>
      <c r="CQ80" s="9"/>
      <c r="CR80" s="9"/>
      <c r="CS80" s="9"/>
      <c r="CT80" s="9"/>
      <c r="CU80" s="9"/>
      <c r="CV80" s="9"/>
      <c r="CW80" s="9"/>
      <c r="CX80" s="9"/>
      <c r="CY80" s="9"/>
      <c r="CZ80" s="9"/>
      <c r="DA80" s="9"/>
      <c r="DB80" s="9"/>
      <c r="DC80" s="9"/>
      <c r="DD80" s="9"/>
      <c r="DE80" s="9"/>
      <c r="DF80" s="9"/>
      <c r="DG80" s="9"/>
      <c r="DH80" s="9"/>
      <c r="DI80" s="9"/>
      <c r="DJ80" s="9"/>
      <c r="DK80" s="9"/>
      <c r="DL80" s="9"/>
      <c r="DM80" s="9"/>
      <c r="DN80" s="9"/>
      <c r="DO80" s="9"/>
      <c r="DP80" s="9"/>
      <c r="DQ80" s="9"/>
      <c r="DR80" s="9"/>
      <c r="DS80" s="9"/>
      <c r="DT80" s="9"/>
      <c r="DU80" s="9"/>
      <c r="DV80" s="9"/>
      <c r="DW80" s="9"/>
      <c r="DX80" s="9"/>
      <c r="DY80" s="9"/>
      <c r="DZ80" s="9"/>
      <c r="EA80" s="9"/>
      <c r="EB80" s="9"/>
      <c r="EC80" s="9"/>
      <c r="ED80" s="9"/>
      <c r="EE80" s="9"/>
      <c r="EF80" s="9"/>
      <c r="EG80" s="9"/>
      <c r="EH80" s="9"/>
      <c r="EI80" s="9"/>
      <c r="EJ80" s="9"/>
      <c r="EK80" s="9"/>
      <c r="EL80" s="9"/>
      <c r="EM80" s="9"/>
      <c r="EN80" s="9"/>
      <c r="EO80" s="9"/>
      <c r="EP80" s="9"/>
      <c r="EQ80" s="9"/>
      <c r="ER80" s="9"/>
      <c r="ES80" s="9"/>
      <c r="ET80" s="9"/>
      <c r="EU80" s="9"/>
      <c r="EV80" s="9"/>
      <c r="EW80" s="9"/>
      <c r="EX80" s="9"/>
      <c r="EY80" s="9"/>
      <c r="EZ80" s="9"/>
      <c r="FA80" s="9"/>
      <c r="FB80" s="9"/>
      <c r="FC80" s="9"/>
      <c r="FD80" s="9"/>
      <c r="FE80" s="9"/>
      <c r="FF80" s="9"/>
      <c r="FG80" s="9"/>
      <c r="FH80" s="9"/>
      <c r="FI80" s="9"/>
      <c r="FJ80" s="9"/>
      <c r="FK80" s="9"/>
      <c r="FL80" s="9"/>
      <c r="FM80" s="9"/>
      <c r="FN80" s="9"/>
      <c r="FO80" s="9"/>
      <c r="FP80" s="9"/>
      <c r="FQ80" s="9"/>
      <c r="FR80" s="9"/>
      <c r="FS80" s="9"/>
      <c r="FT80" s="9"/>
      <c r="FU80" s="9"/>
      <c r="FV80" s="9"/>
      <c r="FW80" s="9"/>
      <c r="FX80" s="9"/>
      <c r="FY80" s="9"/>
      <c r="FZ80" s="9"/>
      <c r="GA80" s="9"/>
      <c r="GB80" s="9"/>
      <c r="GC80" s="9"/>
      <c r="GD80" s="9"/>
      <c r="GE80" s="9"/>
      <c r="GF80" s="9"/>
      <c r="GG80" s="9"/>
      <c r="GH80" s="9"/>
      <c r="GI80" s="9"/>
      <c r="GJ80" s="9"/>
      <c r="GK80" s="9"/>
      <c r="GL80" s="9"/>
      <c r="GM80" s="9"/>
      <c r="GN80" s="9"/>
      <c r="GO80" s="9"/>
      <c r="GP80" s="9"/>
      <c r="GQ80" s="9"/>
      <c r="GR80" s="9"/>
      <c r="GS80" s="9"/>
      <c r="GT80" s="9"/>
      <c r="GU80" s="9"/>
      <c r="GV80" s="9"/>
      <c r="GW80" s="9"/>
      <c r="GX80" s="9"/>
      <c r="GY80" s="9"/>
      <c r="GZ80" s="9"/>
      <c r="HA80" s="9"/>
      <c r="HB80" s="9"/>
      <c r="HC80" s="9"/>
      <c r="HD80" s="9"/>
      <c r="HE80" s="9"/>
      <c r="HF80" s="9"/>
      <c r="HG80" s="9"/>
      <c r="HH80" s="9"/>
      <c r="HI80" s="9"/>
      <c r="HJ80" s="9"/>
      <c r="HK80" s="9"/>
      <c r="HL80" s="9"/>
      <c r="HM80" s="9"/>
      <c r="HN80" s="9"/>
      <c r="HO80" s="9"/>
      <c r="HP80" s="9"/>
      <c r="HQ80" s="9"/>
      <c r="HR80" s="9"/>
      <c r="HS80" s="9"/>
      <c r="HT80" s="9"/>
      <c r="HU80" s="9"/>
      <c r="HV80" s="9"/>
      <c r="HW80" s="9"/>
      <c r="HX80" s="9"/>
      <c r="HY80" s="9"/>
      <c r="HZ80" s="9"/>
      <c r="IA80" s="9"/>
      <c r="IB80" s="9"/>
      <c r="IC80" s="9"/>
      <c r="ID80" s="9"/>
      <c r="IE80" s="9"/>
      <c r="IF80" s="9"/>
      <c r="IG80" s="9"/>
      <c r="IH80" s="9"/>
      <c r="II80" s="9"/>
      <c r="IJ80" s="9"/>
      <c r="IK80" s="9"/>
      <c r="IL80" s="9"/>
      <c r="IM80" s="9"/>
      <c r="IN80" s="9"/>
      <c r="IO80" s="9"/>
      <c r="IP80" s="9"/>
      <c r="IQ80" s="9"/>
      <c r="IR80" s="9"/>
      <c r="IS80" s="9"/>
      <c r="IT80" s="9"/>
      <c r="IU80" s="9"/>
      <c r="IV80" s="9"/>
      <c r="IW80" s="9"/>
      <c r="IX80" s="9"/>
      <c r="IY80" s="9"/>
      <c r="IZ80" s="9"/>
      <c r="JA80" s="9"/>
      <c r="JB80" s="9"/>
      <c r="JC80" s="9"/>
      <c r="JD80" s="9"/>
      <c r="JE80" s="9"/>
      <c r="JF80" s="9"/>
      <c r="JG80" s="9"/>
      <c r="JH80" s="9"/>
      <c r="JI80" s="9"/>
      <c r="JJ80" s="9"/>
      <c r="JK80" s="9"/>
      <c r="JL80" s="9"/>
      <c r="JM80" s="9"/>
      <c r="JN80" s="9"/>
      <c r="JO80" s="9"/>
      <c r="JP80" s="9"/>
      <c r="JQ80" s="9"/>
      <c r="JR80" s="9"/>
      <c r="JS80" s="9"/>
      <c r="JT80" s="9"/>
      <c r="JU80" s="9"/>
      <c r="JV80" s="9"/>
      <c r="JW80" s="9"/>
      <c r="JX80" s="9"/>
      <c r="JY80" s="9"/>
      <c r="JZ80" s="9"/>
      <c r="KA80" s="9"/>
      <c r="KB80" s="9"/>
      <c r="KC80" s="9"/>
      <c r="KD80" s="9"/>
      <c r="KE80" s="9"/>
      <c r="KF80" s="9"/>
      <c r="KG80" s="9"/>
      <c r="KH80" s="9"/>
      <c r="KI80" s="9"/>
      <c r="KJ80" s="9"/>
      <c r="KK80" s="9"/>
      <c r="KL80" s="9"/>
      <c r="KM80" s="9"/>
      <c r="KN80" s="9"/>
      <c r="KO80" s="9"/>
      <c r="KP80" s="9"/>
      <c r="KQ80" s="9"/>
      <c r="KR80" s="9"/>
      <c r="KS80" s="9"/>
      <c r="KT80" s="9"/>
      <c r="KU80" s="9"/>
      <c r="KV80" s="9"/>
      <c r="KW80" s="9"/>
      <c r="KX80" s="9"/>
      <c r="KY80" s="9"/>
      <c r="KZ80" s="9"/>
      <c r="LA80" s="9"/>
      <c r="LB80" s="9"/>
      <c r="LC80" s="9"/>
      <c r="LD80" s="9"/>
      <c r="LE80" s="9"/>
      <c r="LF80" s="9"/>
      <c r="LG80" s="9"/>
      <c r="LH80" s="9"/>
      <c r="LI80" s="9"/>
      <c r="LJ80" s="9"/>
      <c r="LK80" s="9"/>
      <c r="LL80" s="9"/>
      <c r="LM80" s="9"/>
      <c r="LN80" s="9"/>
      <c r="LO80" s="9"/>
      <c r="LP80" s="9"/>
      <c r="LQ80" s="9"/>
      <c r="LR80" s="9"/>
      <c r="LS80" s="9"/>
      <c r="LT80" s="9"/>
      <c r="LU80" s="9"/>
      <c r="LV80" s="9"/>
      <c r="LW80" s="9"/>
      <c r="LX80" s="9"/>
      <c r="LY80" s="9"/>
      <c r="LZ80" s="9"/>
      <c r="MA80" s="9"/>
      <c r="MB80" s="9"/>
      <c r="MC80" s="9"/>
      <c r="MD80" s="9"/>
      <c r="ME80" s="9"/>
      <c r="MF80" s="9"/>
      <c r="MG80" s="9"/>
      <c r="MH80" s="9"/>
      <c r="MI80" s="9"/>
      <c r="MJ80" s="9"/>
      <c r="MK80" s="9"/>
    </row>
    <row r="81" spans="1:349" hidden="1" x14ac:dyDescent="0.25">
      <c r="A81" s="9"/>
      <c r="B81" s="9"/>
      <c r="C81" s="9"/>
      <c r="D81" s="9"/>
      <c r="E81" s="9"/>
      <c r="F81" s="9"/>
      <c r="G81" s="9"/>
      <c r="H81" s="9"/>
      <c r="I81" s="9"/>
      <c r="J81" s="9"/>
      <c r="K81" s="9"/>
      <c r="L81" s="9"/>
      <c r="M81" s="9"/>
      <c r="N81" s="9"/>
      <c r="O81" s="9"/>
      <c r="AG81" s="9"/>
      <c r="AH81" s="9"/>
      <c r="AI81" s="9"/>
      <c r="AJ81" s="9"/>
      <c r="AK81" s="9"/>
      <c r="AL81" s="9"/>
      <c r="AM81" s="9"/>
      <c r="AN81" s="9"/>
      <c r="AO81" s="9"/>
      <c r="AP81" s="9"/>
      <c r="AQ81" s="9"/>
      <c r="AR81" s="9"/>
      <c r="AS81" s="9"/>
      <c r="AT81" s="9"/>
      <c r="AU81" s="9"/>
      <c r="AV81" s="9"/>
      <c r="AW81" s="9"/>
      <c r="AX81" s="9"/>
      <c r="AY81" s="9"/>
      <c r="AZ81" s="9"/>
      <c r="BA81" s="9"/>
      <c r="BB81" s="9"/>
      <c r="BC81" s="9"/>
      <c r="BD81" s="9"/>
      <c r="BE81" s="9"/>
      <c r="BF81" s="9"/>
      <c r="BG81" s="9"/>
      <c r="BH81" s="9"/>
      <c r="BI81" s="9"/>
      <c r="BJ81" s="9"/>
      <c r="BK81" s="9"/>
      <c r="BL81" s="9"/>
      <c r="BM81" s="9"/>
      <c r="BN81" s="9"/>
      <c r="BO81" s="9"/>
      <c r="BP81" s="9"/>
      <c r="BQ81" s="9"/>
      <c r="BR81" s="9"/>
      <c r="BS81" s="9"/>
      <c r="BT81" s="9"/>
      <c r="BU81" s="9"/>
      <c r="BV81" s="9"/>
      <c r="BW81" s="9"/>
      <c r="BX81" s="9"/>
      <c r="BY81" s="9"/>
      <c r="BZ81" s="9"/>
      <c r="CA81" s="9"/>
      <c r="CB81" s="9"/>
      <c r="CC81" s="9"/>
      <c r="CD81" s="9"/>
      <c r="CE81" s="9"/>
      <c r="CF81" s="9"/>
      <c r="CG81" s="9"/>
      <c r="CH81" s="9"/>
      <c r="CI81" s="9"/>
      <c r="CJ81" s="9"/>
      <c r="CK81" s="9"/>
      <c r="CL81" s="9"/>
      <c r="CM81" s="9"/>
      <c r="CN81" s="9"/>
      <c r="CO81" s="9"/>
      <c r="CP81" s="9"/>
      <c r="CQ81" s="9"/>
      <c r="CR81" s="9"/>
      <c r="CS81" s="9"/>
      <c r="CT81" s="9"/>
      <c r="CU81" s="9"/>
      <c r="CV81" s="9"/>
      <c r="CW81" s="9"/>
      <c r="CX81" s="9"/>
      <c r="CY81" s="9"/>
      <c r="CZ81" s="9"/>
      <c r="DA81" s="9"/>
      <c r="DB81" s="9"/>
      <c r="DC81" s="9"/>
      <c r="DD81" s="9"/>
      <c r="DE81" s="9"/>
      <c r="DF81" s="9"/>
      <c r="DG81" s="9"/>
      <c r="DH81" s="9"/>
      <c r="DI81" s="9"/>
      <c r="DJ81" s="9"/>
      <c r="DK81" s="9"/>
      <c r="DL81" s="9"/>
      <c r="DM81" s="9"/>
      <c r="DN81" s="9"/>
      <c r="DO81" s="9"/>
      <c r="DP81" s="9"/>
      <c r="DQ81" s="9"/>
      <c r="DR81" s="9"/>
      <c r="DS81" s="9"/>
      <c r="DT81" s="9"/>
      <c r="DU81" s="9"/>
      <c r="DV81" s="9"/>
      <c r="DW81" s="9"/>
      <c r="DX81" s="9"/>
      <c r="DY81" s="9"/>
      <c r="DZ81" s="9"/>
      <c r="EA81" s="9"/>
      <c r="EB81" s="9"/>
      <c r="EC81" s="9"/>
      <c r="ED81" s="9"/>
      <c r="EE81" s="9"/>
      <c r="EF81" s="9"/>
      <c r="EG81" s="9"/>
      <c r="EH81" s="9"/>
      <c r="EI81" s="9"/>
      <c r="EJ81" s="9"/>
      <c r="EK81" s="9"/>
      <c r="EL81" s="9"/>
      <c r="EM81" s="9"/>
      <c r="EN81" s="9"/>
      <c r="EO81" s="9"/>
      <c r="EP81" s="9"/>
      <c r="EQ81" s="9"/>
      <c r="ER81" s="9"/>
      <c r="ES81" s="9"/>
      <c r="ET81" s="9"/>
      <c r="EU81" s="9"/>
      <c r="EV81" s="9"/>
      <c r="EW81" s="9"/>
      <c r="EX81" s="9"/>
      <c r="EY81" s="9"/>
      <c r="EZ81" s="9"/>
      <c r="FA81" s="9"/>
      <c r="FB81" s="9"/>
      <c r="FC81" s="9"/>
      <c r="FD81" s="9"/>
      <c r="FE81" s="9"/>
      <c r="FF81" s="9"/>
      <c r="FG81" s="9"/>
      <c r="FH81" s="9"/>
      <c r="FI81" s="9"/>
      <c r="FJ81" s="9"/>
      <c r="FK81" s="9"/>
      <c r="FL81" s="9"/>
      <c r="FM81" s="9"/>
      <c r="FN81" s="9"/>
      <c r="FO81" s="9"/>
      <c r="FP81" s="9"/>
      <c r="FQ81" s="9"/>
      <c r="FR81" s="9"/>
      <c r="FS81" s="9"/>
      <c r="FT81" s="9"/>
      <c r="FU81" s="9"/>
      <c r="FV81" s="9"/>
      <c r="FW81" s="9"/>
      <c r="FX81" s="9"/>
      <c r="FY81" s="9"/>
      <c r="FZ81" s="9"/>
      <c r="GA81" s="9"/>
      <c r="GB81" s="9"/>
      <c r="GC81" s="9"/>
      <c r="GD81" s="9"/>
      <c r="GE81" s="9"/>
      <c r="GF81" s="9"/>
      <c r="GG81" s="9"/>
      <c r="GH81" s="9"/>
      <c r="GI81" s="9"/>
      <c r="GJ81" s="9"/>
      <c r="GK81" s="9"/>
      <c r="GL81" s="9"/>
      <c r="GM81" s="9"/>
      <c r="GN81" s="9"/>
      <c r="GO81" s="9"/>
      <c r="GP81" s="9"/>
      <c r="GQ81" s="9"/>
      <c r="GR81" s="9"/>
      <c r="GS81" s="9"/>
      <c r="GT81" s="9"/>
      <c r="GU81" s="9"/>
      <c r="GV81" s="9"/>
      <c r="GW81" s="9"/>
      <c r="GX81" s="9"/>
      <c r="GY81" s="9"/>
      <c r="GZ81" s="9"/>
      <c r="HA81" s="9"/>
      <c r="HB81" s="9"/>
      <c r="HC81" s="9"/>
      <c r="HD81" s="9"/>
      <c r="HE81" s="9"/>
      <c r="HF81" s="9"/>
      <c r="HG81" s="9"/>
      <c r="HH81" s="9"/>
      <c r="HI81" s="9"/>
      <c r="HJ81" s="9"/>
      <c r="HK81" s="9"/>
      <c r="HL81" s="9"/>
      <c r="HM81" s="9"/>
      <c r="HN81" s="9"/>
      <c r="HO81" s="9"/>
      <c r="HP81" s="9"/>
      <c r="HQ81" s="9"/>
      <c r="HR81" s="9"/>
      <c r="HS81" s="9"/>
      <c r="HT81" s="9"/>
      <c r="HU81" s="9"/>
      <c r="HV81" s="9"/>
      <c r="HW81" s="9"/>
      <c r="HX81" s="9"/>
      <c r="HY81" s="9"/>
      <c r="HZ81" s="9"/>
      <c r="IA81" s="9"/>
      <c r="IB81" s="9"/>
      <c r="IC81" s="9"/>
      <c r="ID81" s="9"/>
      <c r="IE81" s="9"/>
      <c r="IF81" s="9"/>
      <c r="IG81" s="9"/>
      <c r="IH81" s="9"/>
      <c r="II81" s="9"/>
      <c r="IJ81" s="9"/>
      <c r="IK81" s="9"/>
      <c r="IL81" s="9"/>
      <c r="IM81" s="9"/>
      <c r="IN81" s="9"/>
      <c r="IO81" s="9"/>
      <c r="IP81" s="9"/>
      <c r="IQ81" s="9"/>
      <c r="IR81" s="9"/>
      <c r="IS81" s="9"/>
      <c r="IT81" s="9"/>
      <c r="IU81" s="9"/>
      <c r="IV81" s="9"/>
      <c r="IW81" s="9"/>
      <c r="IX81" s="9"/>
      <c r="IY81" s="9"/>
      <c r="IZ81" s="9"/>
      <c r="JA81" s="9"/>
      <c r="JB81" s="9"/>
      <c r="JC81" s="9"/>
      <c r="JD81" s="9"/>
      <c r="JE81" s="9"/>
      <c r="JF81" s="9"/>
      <c r="JG81" s="9"/>
      <c r="JH81" s="9"/>
      <c r="JI81" s="9"/>
      <c r="JJ81" s="9"/>
      <c r="JK81" s="9"/>
      <c r="JL81" s="9"/>
      <c r="JM81" s="9"/>
      <c r="JN81" s="9"/>
      <c r="JO81" s="9"/>
      <c r="JP81" s="9"/>
      <c r="JQ81" s="9"/>
      <c r="JR81" s="9"/>
      <c r="JS81" s="9"/>
      <c r="JT81" s="9"/>
      <c r="JU81" s="9"/>
      <c r="JV81" s="9"/>
      <c r="JW81" s="9"/>
      <c r="JX81" s="9"/>
      <c r="JY81" s="9"/>
      <c r="JZ81" s="9"/>
      <c r="KA81" s="9"/>
      <c r="KB81" s="9"/>
      <c r="KC81" s="9"/>
      <c r="KD81" s="9"/>
      <c r="KE81" s="9"/>
      <c r="KF81" s="9"/>
      <c r="KG81" s="9"/>
      <c r="KH81" s="9"/>
      <c r="KI81" s="9"/>
      <c r="KJ81" s="9"/>
      <c r="KK81" s="9"/>
      <c r="KL81" s="9"/>
      <c r="KM81" s="9"/>
      <c r="KN81" s="9"/>
      <c r="KO81" s="9"/>
      <c r="KP81" s="9"/>
      <c r="KQ81" s="9"/>
      <c r="KR81" s="9"/>
      <c r="KS81" s="9"/>
      <c r="KT81" s="9"/>
      <c r="KU81" s="9"/>
      <c r="KV81" s="9"/>
      <c r="KW81" s="9"/>
      <c r="KX81" s="9"/>
      <c r="KY81" s="9"/>
      <c r="KZ81" s="9"/>
      <c r="LA81" s="9"/>
      <c r="LB81" s="9"/>
      <c r="LC81" s="9"/>
      <c r="LD81" s="9"/>
      <c r="LE81" s="9"/>
      <c r="LF81" s="9"/>
      <c r="LG81" s="9"/>
      <c r="LH81" s="9"/>
      <c r="LI81" s="9"/>
      <c r="LJ81" s="9"/>
      <c r="LK81" s="9"/>
      <c r="LL81" s="9"/>
      <c r="LM81" s="9"/>
      <c r="LN81" s="9"/>
      <c r="LO81" s="9"/>
      <c r="LP81" s="9"/>
      <c r="LQ81" s="9"/>
      <c r="LR81" s="9"/>
      <c r="LS81" s="9"/>
      <c r="LT81" s="9"/>
      <c r="LU81" s="9"/>
      <c r="LV81" s="9"/>
      <c r="LW81" s="9"/>
      <c r="LX81" s="9"/>
      <c r="LY81" s="9"/>
      <c r="LZ81" s="9"/>
      <c r="MA81" s="9"/>
      <c r="MB81" s="9"/>
      <c r="MC81" s="9"/>
      <c r="MD81" s="9"/>
      <c r="ME81" s="9"/>
      <c r="MF81" s="9"/>
      <c r="MG81" s="9"/>
      <c r="MH81" s="9"/>
      <c r="MI81" s="9"/>
      <c r="MJ81" s="9"/>
      <c r="MK81" s="9"/>
    </row>
    <row r="82" spans="1:349" hidden="1" x14ac:dyDescent="0.25">
      <c r="A82" s="9"/>
      <c r="B82" s="9"/>
      <c r="C82" s="9"/>
      <c r="D82" s="9"/>
      <c r="E82" s="9"/>
      <c r="F82" s="9"/>
      <c r="G82" s="9"/>
      <c r="H82" s="9"/>
      <c r="I82" s="9"/>
      <c r="J82" s="9"/>
      <c r="K82" s="9"/>
      <c r="L82" s="9"/>
      <c r="M82" s="9"/>
      <c r="N82" s="9"/>
      <c r="O82" s="9"/>
      <c r="AG82" s="9"/>
      <c r="AH82" s="9"/>
      <c r="AI82" s="9"/>
      <c r="AJ82" s="9"/>
      <c r="AK82" s="9"/>
      <c r="AL82" s="9"/>
      <c r="AM82" s="9"/>
      <c r="AN82" s="9"/>
      <c r="AO82" s="9"/>
      <c r="AP82" s="9"/>
      <c r="AQ82" s="9"/>
      <c r="AR82" s="9"/>
      <c r="AS82" s="9"/>
      <c r="AT82" s="9"/>
      <c r="AU82" s="9"/>
      <c r="AV82" s="9"/>
      <c r="AW82" s="9"/>
      <c r="AX82" s="9"/>
      <c r="AY82" s="9"/>
      <c r="AZ82" s="9"/>
      <c r="BA82" s="9"/>
      <c r="BB82" s="9"/>
      <c r="BC82" s="9"/>
      <c r="BD82" s="9"/>
      <c r="BE82" s="9"/>
      <c r="BF82" s="9"/>
      <c r="BG82" s="9"/>
      <c r="BH82" s="9"/>
      <c r="BI82" s="9"/>
      <c r="BJ82" s="9"/>
      <c r="BK82" s="9"/>
      <c r="BL82" s="9"/>
      <c r="BM82" s="9"/>
      <c r="BN82" s="9"/>
      <c r="BO82" s="9"/>
      <c r="BP82" s="9"/>
      <c r="BQ82" s="9"/>
      <c r="BR82" s="9"/>
      <c r="BS82" s="9"/>
      <c r="BT82" s="9"/>
      <c r="BU82" s="9"/>
      <c r="BV82" s="9"/>
      <c r="BW82" s="9"/>
      <c r="BX82" s="9"/>
      <c r="BY82" s="9"/>
      <c r="BZ82" s="9"/>
      <c r="CA82" s="9"/>
      <c r="CB82" s="9"/>
      <c r="CC82" s="9"/>
      <c r="CD82" s="9"/>
      <c r="CE82" s="9"/>
      <c r="CF82" s="9"/>
      <c r="CG82" s="9"/>
      <c r="CH82" s="9"/>
      <c r="CI82" s="9"/>
      <c r="CJ82" s="9"/>
      <c r="CK82" s="9"/>
      <c r="CL82" s="9"/>
      <c r="CM82" s="9"/>
      <c r="CN82" s="9"/>
      <c r="CO82" s="9"/>
      <c r="CP82" s="9"/>
      <c r="CQ82" s="9"/>
      <c r="CR82" s="9"/>
      <c r="CS82" s="9"/>
      <c r="CT82" s="9"/>
      <c r="CU82" s="9"/>
      <c r="CV82" s="9"/>
      <c r="CW82" s="9"/>
      <c r="CX82" s="9"/>
      <c r="CY82" s="9"/>
      <c r="CZ82" s="9"/>
      <c r="DA82" s="9"/>
      <c r="DB82" s="9"/>
      <c r="DC82" s="9"/>
      <c r="DD82" s="9"/>
      <c r="DE82" s="9"/>
      <c r="DF82" s="9"/>
      <c r="DG82" s="9"/>
      <c r="DH82" s="9"/>
      <c r="DI82" s="9"/>
      <c r="DJ82" s="9"/>
      <c r="DK82" s="9"/>
      <c r="DL82" s="9"/>
      <c r="DM82" s="9"/>
      <c r="DN82" s="9"/>
      <c r="DO82" s="9"/>
      <c r="DP82" s="9"/>
      <c r="DQ82" s="9"/>
      <c r="DR82" s="9"/>
      <c r="DS82" s="9"/>
      <c r="DT82" s="9"/>
      <c r="DU82" s="9"/>
      <c r="DV82" s="9"/>
      <c r="DW82" s="9"/>
      <c r="DX82" s="9"/>
      <c r="DY82" s="9"/>
      <c r="DZ82" s="9"/>
      <c r="EA82" s="9"/>
      <c r="EB82" s="9"/>
      <c r="EC82" s="9"/>
      <c r="ED82" s="9"/>
      <c r="EE82" s="9"/>
      <c r="EF82" s="9"/>
      <c r="EG82" s="9"/>
      <c r="EH82" s="9"/>
      <c r="EI82" s="9"/>
      <c r="EJ82" s="9"/>
      <c r="EK82" s="9"/>
      <c r="EL82" s="9"/>
      <c r="EM82" s="9"/>
      <c r="EN82" s="9"/>
      <c r="EO82" s="9"/>
      <c r="EP82" s="9"/>
      <c r="EQ82" s="9"/>
      <c r="ER82" s="9"/>
      <c r="ES82" s="9"/>
      <c r="ET82" s="9"/>
      <c r="EU82" s="9"/>
      <c r="EV82" s="9"/>
      <c r="EW82" s="9"/>
      <c r="EX82" s="9"/>
      <c r="EY82" s="9"/>
      <c r="EZ82" s="9"/>
      <c r="FA82" s="9"/>
      <c r="FB82" s="9"/>
      <c r="FC82" s="9"/>
      <c r="FD82" s="9"/>
      <c r="FE82" s="9"/>
      <c r="FF82" s="9"/>
      <c r="FG82" s="9"/>
      <c r="FH82" s="9"/>
      <c r="FI82" s="9"/>
      <c r="FJ82" s="9"/>
      <c r="FK82" s="9"/>
      <c r="FL82" s="9"/>
      <c r="FM82" s="9"/>
      <c r="FN82" s="9"/>
      <c r="FO82" s="9"/>
      <c r="FP82" s="9"/>
      <c r="FQ82" s="9"/>
      <c r="FR82" s="9"/>
      <c r="FS82" s="9"/>
      <c r="FT82" s="9"/>
      <c r="FU82" s="9"/>
      <c r="FV82" s="9"/>
      <c r="FW82" s="9"/>
      <c r="FX82" s="9"/>
      <c r="FY82" s="9"/>
      <c r="FZ82" s="9"/>
      <c r="GA82" s="9"/>
      <c r="GB82" s="9"/>
      <c r="GC82" s="9"/>
      <c r="GD82" s="9"/>
      <c r="GE82" s="9"/>
      <c r="GF82" s="9"/>
      <c r="GG82" s="9"/>
      <c r="GH82" s="9"/>
      <c r="GI82" s="9"/>
      <c r="GJ82" s="9"/>
      <c r="GK82" s="9"/>
      <c r="GL82" s="9"/>
      <c r="GM82" s="9"/>
      <c r="GN82" s="9"/>
      <c r="GO82" s="9"/>
      <c r="GP82" s="9"/>
      <c r="GQ82" s="9"/>
      <c r="GR82" s="9"/>
      <c r="GS82" s="9"/>
      <c r="GT82" s="9"/>
      <c r="GU82" s="9"/>
      <c r="GV82" s="9"/>
      <c r="GW82" s="9"/>
      <c r="GX82" s="9"/>
      <c r="GY82" s="9"/>
      <c r="GZ82" s="9"/>
      <c r="HA82" s="9"/>
      <c r="HB82" s="9"/>
      <c r="HC82" s="9"/>
      <c r="HD82" s="9"/>
      <c r="HE82" s="9"/>
      <c r="HF82" s="9"/>
      <c r="HG82" s="9"/>
      <c r="HH82" s="9"/>
      <c r="HI82" s="9"/>
      <c r="HJ82" s="9"/>
      <c r="HK82" s="9"/>
      <c r="HL82" s="9"/>
      <c r="HM82" s="9"/>
      <c r="HN82" s="9"/>
      <c r="HO82" s="9"/>
      <c r="HP82" s="9"/>
      <c r="HQ82" s="9"/>
      <c r="HR82" s="9"/>
      <c r="HS82" s="9"/>
      <c r="HT82" s="9"/>
      <c r="HU82" s="9"/>
      <c r="HV82" s="9"/>
      <c r="HW82" s="9"/>
      <c r="HX82" s="9"/>
      <c r="HY82" s="9"/>
      <c r="HZ82" s="9"/>
      <c r="IA82" s="9"/>
      <c r="IB82" s="9"/>
      <c r="IC82" s="9"/>
      <c r="ID82" s="9"/>
      <c r="IE82" s="9"/>
      <c r="IF82" s="9"/>
      <c r="IG82" s="9"/>
      <c r="IH82" s="9"/>
      <c r="II82" s="9"/>
      <c r="IJ82" s="9"/>
      <c r="IK82" s="9"/>
      <c r="IL82" s="9"/>
      <c r="IM82" s="9"/>
      <c r="IN82" s="9"/>
      <c r="IO82" s="9"/>
      <c r="IP82" s="9"/>
      <c r="IQ82" s="9"/>
      <c r="IR82" s="9"/>
      <c r="IS82" s="9"/>
      <c r="IT82" s="9"/>
      <c r="IU82" s="9"/>
      <c r="IV82" s="9"/>
      <c r="IW82" s="9"/>
      <c r="IX82" s="9"/>
      <c r="IY82" s="9"/>
      <c r="IZ82" s="9"/>
      <c r="JA82" s="9"/>
      <c r="JB82" s="9"/>
      <c r="JC82" s="9"/>
      <c r="JD82" s="9"/>
      <c r="JE82" s="9"/>
      <c r="JF82" s="9"/>
      <c r="JG82" s="9"/>
      <c r="JH82" s="9"/>
      <c r="JI82" s="9"/>
      <c r="JJ82" s="9"/>
      <c r="JK82" s="9"/>
      <c r="JL82" s="9"/>
      <c r="JM82" s="9"/>
      <c r="JN82" s="9"/>
      <c r="JO82" s="9"/>
      <c r="JP82" s="9"/>
      <c r="JQ82" s="9"/>
      <c r="JR82" s="9"/>
      <c r="JS82" s="9"/>
      <c r="JT82" s="9"/>
      <c r="JU82" s="9"/>
      <c r="JV82" s="9"/>
      <c r="JW82" s="9"/>
      <c r="JX82" s="9"/>
      <c r="JY82" s="9"/>
      <c r="JZ82" s="9"/>
      <c r="KA82" s="9"/>
      <c r="KB82" s="9"/>
      <c r="KC82" s="9"/>
      <c r="KD82" s="9"/>
      <c r="KE82" s="9"/>
      <c r="KF82" s="9"/>
      <c r="KG82" s="9"/>
      <c r="KH82" s="9"/>
      <c r="KI82" s="9"/>
      <c r="KJ82" s="9"/>
      <c r="KK82" s="9"/>
      <c r="KL82" s="9"/>
      <c r="KM82" s="9"/>
      <c r="KN82" s="9"/>
      <c r="KO82" s="9"/>
      <c r="KP82" s="9"/>
      <c r="KQ82" s="9"/>
      <c r="KR82" s="9"/>
      <c r="KS82" s="9"/>
      <c r="KT82" s="9"/>
      <c r="KU82" s="9"/>
      <c r="KV82" s="9"/>
      <c r="KW82" s="9"/>
      <c r="KX82" s="9"/>
      <c r="KY82" s="9"/>
      <c r="KZ82" s="9"/>
      <c r="LA82" s="9"/>
      <c r="LB82" s="9"/>
      <c r="LC82" s="9"/>
      <c r="LD82" s="9"/>
      <c r="LE82" s="9"/>
      <c r="LF82" s="9"/>
      <c r="LG82" s="9"/>
      <c r="LH82" s="9"/>
      <c r="LI82" s="9"/>
      <c r="LJ82" s="9"/>
      <c r="LK82" s="9"/>
      <c r="LL82" s="9"/>
      <c r="LM82" s="9"/>
      <c r="LN82" s="9"/>
      <c r="LO82" s="9"/>
      <c r="LP82" s="9"/>
      <c r="LQ82" s="9"/>
      <c r="LR82" s="9"/>
      <c r="LS82" s="9"/>
      <c r="LT82" s="9"/>
      <c r="LU82" s="9"/>
      <c r="LV82" s="9"/>
      <c r="LW82" s="9"/>
      <c r="LX82" s="9"/>
      <c r="LY82" s="9"/>
      <c r="LZ82" s="9"/>
      <c r="MA82" s="9"/>
      <c r="MB82" s="9"/>
      <c r="MC82" s="9"/>
      <c r="MD82" s="9"/>
      <c r="ME82" s="9"/>
      <c r="MF82" s="9"/>
      <c r="MG82" s="9"/>
      <c r="MH82" s="9"/>
      <c r="MI82" s="9"/>
      <c r="MJ82" s="9"/>
      <c r="MK82" s="9"/>
    </row>
    <row r="83" spans="1:349" hidden="1" x14ac:dyDescent="0.25">
      <c r="A83" s="9"/>
      <c r="B83" s="9"/>
      <c r="C83" s="9"/>
      <c r="D83" s="9"/>
      <c r="E83" s="9"/>
      <c r="F83" s="9"/>
      <c r="G83" s="9"/>
      <c r="H83" s="9"/>
      <c r="I83" s="9"/>
      <c r="J83" s="9"/>
      <c r="K83" s="9"/>
      <c r="L83" s="9"/>
      <c r="M83" s="9"/>
      <c r="N83" s="9"/>
      <c r="O83" s="9"/>
      <c r="AG83" s="9"/>
      <c r="AH83" s="9"/>
      <c r="AI83" s="9"/>
      <c r="AJ83" s="9"/>
      <c r="AK83" s="9"/>
      <c r="AL83" s="9"/>
      <c r="AM83" s="9"/>
      <c r="AN83" s="9"/>
      <c r="AO83" s="9"/>
      <c r="AP83" s="9"/>
      <c r="AQ83" s="9"/>
      <c r="AR83" s="9"/>
      <c r="AS83" s="9"/>
      <c r="AT83" s="9"/>
      <c r="AU83" s="9"/>
      <c r="AV83" s="9"/>
      <c r="AW83" s="9"/>
      <c r="AX83" s="9"/>
      <c r="AY83" s="9"/>
      <c r="AZ83" s="9"/>
      <c r="BA83" s="9"/>
      <c r="BB83" s="9"/>
      <c r="BC83" s="9"/>
      <c r="BD83" s="9"/>
      <c r="BE83" s="9"/>
      <c r="BF83" s="9"/>
      <c r="BG83" s="9"/>
      <c r="BH83" s="9"/>
      <c r="BI83" s="9"/>
      <c r="BJ83" s="9"/>
      <c r="BK83" s="9"/>
      <c r="BL83" s="9"/>
      <c r="BM83" s="9"/>
      <c r="BN83" s="9"/>
      <c r="BO83" s="9"/>
      <c r="BP83" s="9"/>
      <c r="BQ83" s="9"/>
      <c r="BR83" s="9"/>
      <c r="BS83" s="9"/>
      <c r="BT83" s="9"/>
      <c r="BU83" s="9"/>
      <c r="BV83" s="9"/>
      <c r="BW83" s="9"/>
      <c r="BX83" s="9"/>
      <c r="BY83" s="9"/>
      <c r="BZ83" s="9"/>
      <c r="CA83" s="9"/>
      <c r="CB83" s="9"/>
      <c r="CC83" s="9"/>
      <c r="CD83" s="9"/>
      <c r="CE83" s="9"/>
      <c r="CF83" s="9"/>
      <c r="CG83" s="9"/>
      <c r="CH83" s="9"/>
      <c r="CI83" s="9"/>
      <c r="CJ83" s="9"/>
      <c r="CK83" s="9"/>
      <c r="CL83" s="9"/>
      <c r="CM83" s="9"/>
      <c r="CN83" s="9"/>
      <c r="CO83" s="9"/>
      <c r="CP83" s="9"/>
      <c r="CQ83" s="9"/>
      <c r="CR83" s="9"/>
      <c r="CS83" s="9"/>
      <c r="CT83" s="9"/>
      <c r="CU83" s="9"/>
      <c r="CV83" s="9"/>
      <c r="CW83" s="9"/>
      <c r="CX83" s="9"/>
      <c r="CY83" s="9"/>
      <c r="CZ83" s="9"/>
      <c r="DA83" s="9"/>
      <c r="DB83" s="9"/>
      <c r="DC83" s="9"/>
      <c r="DD83" s="9"/>
      <c r="DE83" s="9"/>
      <c r="DF83" s="9"/>
      <c r="DG83" s="9"/>
      <c r="DH83" s="9"/>
      <c r="DI83" s="9"/>
      <c r="DJ83" s="9"/>
      <c r="DK83" s="9"/>
      <c r="DL83" s="9"/>
      <c r="DM83" s="9"/>
      <c r="DN83" s="9"/>
      <c r="DO83" s="9"/>
      <c r="DP83" s="9"/>
      <c r="DQ83" s="9"/>
      <c r="DR83" s="9"/>
      <c r="DS83" s="9"/>
      <c r="DT83" s="9"/>
      <c r="DU83" s="9"/>
      <c r="DV83" s="9"/>
      <c r="DW83" s="9"/>
      <c r="DX83" s="9"/>
      <c r="DY83" s="9"/>
      <c r="DZ83" s="9"/>
      <c r="EA83" s="9"/>
      <c r="EB83" s="9"/>
      <c r="EC83" s="9"/>
      <c r="ED83" s="9"/>
      <c r="EE83" s="9"/>
      <c r="EF83" s="9"/>
      <c r="EG83" s="9"/>
      <c r="EH83" s="9"/>
      <c r="EI83" s="9"/>
      <c r="EJ83" s="9"/>
      <c r="EK83" s="9"/>
      <c r="EL83" s="9"/>
      <c r="EM83" s="9"/>
      <c r="EN83" s="9"/>
      <c r="EO83" s="9"/>
      <c r="EP83" s="9"/>
      <c r="EQ83" s="9"/>
      <c r="ER83" s="9"/>
      <c r="ES83" s="9"/>
      <c r="ET83" s="9"/>
      <c r="EU83" s="9"/>
      <c r="EV83" s="9"/>
      <c r="EW83" s="9"/>
      <c r="EX83" s="9"/>
      <c r="EY83" s="9"/>
      <c r="EZ83" s="9"/>
      <c r="FA83" s="9"/>
      <c r="FB83" s="9"/>
      <c r="FC83" s="9"/>
      <c r="FD83" s="9"/>
      <c r="FE83" s="9"/>
      <c r="FF83" s="9"/>
      <c r="FG83" s="9"/>
      <c r="FH83" s="9"/>
      <c r="FI83" s="9"/>
      <c r="FJ83" s="9"/>
      <c r="FK83" s="9"/>
      <c r="FL83" s="9"/>
      <c r="FM83" s="9"/>
      <c r="FN83" s="9"/>
      <c r="FO83" s="9"/>
      <c r="FP83" s="9"/>
      <c r="FQ83" s="9"/>
      <c r="FR83" s="9"/>
      <c r="FS83" s="9"/>
      <c r="FT83" s="9"/>
      <c r="FU83" s="9"/>
      <c r="FV83" s="9"/>
      <c r="FW83" s="9"/>
      <c r="FX83" s="9"/>
      <c r="FY83" s="9"/>
      <c r="FZ83" s="9"/>
      <c r="GA83" s="9"/>
      <c r="GB83" s="9"/>
      <c r="GC83" s="9"/>
      <c r="GD83" s="9"/>
      <c r="GE83" s="9"/>
      <c r="GF83" s="9"/>
      <c r="GG83" s="9"/>
      <c r="GH83" s="9"/>
      <c r="GI83" s="9"/>
      <c r="GJ83" s="9"/>
      <c r="GK83" s="9"/>
      <c r="GL83" s="9"/>
      <c r="GM83" s="9"/>
      <c r="GN83" s="9"/>
      <c r="GO83" s="9"/>
      <c r="GP83" s="9"/>
      <c r="GQ83" s="9"/>
      <c r="GR83" s="9"/>
      <c r="GS83" s="9"/>
      <c r="GT83" s="9"/>
      <c r="GU83" s="9"/>
      <c r="GV83" s="9"/>
      <c r="GW83" s="9"/>
      <c r="GX83" s="9"/>
      <c r="GY83" s="9"/>
      <c r="GZ83" s="9"/>
      <c r="HA83" s="9"/>
      <c r="HB83" s="9"/>
      <c r="HC83" s="9"/>
      <c r="HD83" s="9"/>
      <c r="HE83" s="9"/>
      <c r="HF83" s="9"/>
      <c r="HG83" s="9"/>
      <c r="HH83" s="9"/>
      <c r="HI83" s="9"/>
      <c r="HJ83" s="9"/>
      <c r="HK83" s="9"/>
      <c r="HL83" s="9"/>
      <c r="HM83" s="9"/>
      <c r="HN83" s="9"/>
      <c r="HO83" s="9"/>
      <c r="HP83" s="9"/>
      <c r="HQ83" s="9"/>
      <c r="HR83" s="9"/>
      <c r="HS83" s="9"/>
      <c r="HT83" s="9"/>
      <c r="HU83" s="9"/>
      <c r="HV83" s="9"/>
      <c r="HW83" s="9"/>
      <c r="HX83" s="9"/>
      <c r="HY83" s="9"/>
      <c r="HZ83" s="9"/>
      <c r="IA83" s="9"/>
      <c r="IB83" s="9"/>
      <c r="IC83" s="9"/>
      <c r="ID83" s="9"/>
      <c r="IE83" s="9"/>
      <c r="IF83" s="9"/>
      <c r="IG83" s="9"/>
      <c r="IH83" s="9"/>
      <c r="II83" s="9"/>
      <c r="IJ83" s="9"/>
      <c r="IK83" s="9"/>
      <c r="IL83" s="9"/>
      <c r="IM83" s="9"/>
      <c r="IN83" s="9"/>
      <c r="IO83" s="9"/>
      <c r="IP83" s="9"/>
      <c r="IQ83" s="9"/>
      <c r="IR83" s="9"/>
      <c r="IS83" s="9"/>
      <c r="IT83" s="9"/>
      <c r="IU83" s="9"/>
      <c r="IV83" s="9"/>
      <c r="IW83" s="9"/>
      <c r="IX83" s="9"/>
      <c r="IY83" s="9"/>
      <c r="IZ83" s="9"/>
      <c r="JA83" s="9"/>
      <c r="JB83" s="9"/>
      <c r="JC83" s="9"/>
      <c r="JD83" s="9"/>
      <c r="JE83" s="9"/>
      <c r="JF83" s="9"/>
      <c r="JG83" s="9"/>
      <c r="JH83" s="9"/>
      <c r="JI83" s="9"/>
      <c r="JJ83" s="9"/>
      <c r="JK83" s="9"/>
      <c r="JL83" s="9"/>
      <c r="JM83" s="9"/>
      <c r="JN83" s="9"/>
      <c r="JO83" s="9"/>
      <c r="JP83" s="9"/>
      <c r="JQ83" s="9"/>
      <c r="JR83" s="9"/>
      <c r="JS83" s="9"/>
      <c r="JT83" s="9"/>
      <c r="JU83" s="9"/>
      <c r="JV83" s="9"/>
      <c r="JW83" s="9"/>
      <c r="JX83" s="9"/>
      <c r="JY83" s="9"/>
      <c r="JZ83" s="9"/>
      <c r="KA83" s="9"/>
      <c r="KB83" s="9"/>
      <c r="KC83" s="9"/>
      <c r="KD83" s="9"/>
      <c r="KE83" s="9"/>
      <c r="KF83" s="9"/>
      <c r="KG83" s="9"/>
      <c r="KH83" s="9"/>
      <c r="KI83" s="9"/>
      <c r="KJ83" s="9"/>
      <c r="KK83" s="9"/>
      <c r="KL83" s="9"/>
      <c r="KM83" s="9"/>
      <c r="KN83" s="9"/>
      <c r="KO83" s="9"/>
      <c r="KP83" s="9"/>
      <c r="KQ83" s="9"/>
      <c r="KR83" s="9"/>
      <c r="KS83" s="9"/>
      <c r="KT83" s="9"/>
      <c r="KU83" s="9"/>
      <c r="KV83" s="9"/>
      <c r="KW83" s="9"/>
      <c r="KX83" s="9"/>
      <c r="KY83" s="9"/>
      <c r="KZ83" s="9"/>
      <c r="LA83" s="9"/>
      <c r="LB83" s="9"/>
      <c r="LC83" s="9"/>
      <c r="LD83" s="9"/>
      <c r="LE83" s="9"/>
      <c r="LF83" s="9"/>
      <c r="LG83" s="9"/>
      <c r="LH83" s="9"/>
      <c r="LI83" s="9"/>
      <c r="LJ83" s="9"/>
      <c r="LK83" s="9"/>
      <c r="LL83" s="9"/>
      <c r="LM83" s="9"/>
      <c r="LN83" s="9"/>
      <c r="LO83" s="9"/>
      <c r="LP83" s="9"/>
      <c r="LQ83" s="9"/>
      <c r="LR83" s="9"/>
      <c r="LS83" s="9"/>
      <c r="LT83" s="9"/>
      <c r="LU83" s="9"/>
      <c r="LV83" s="9"/>
      <c r="LW83" s="9"/>
      <c r="LX83" s="9"/>
      <c r="LY83" s="9"/>
      <c r="LZ83" s="9"/>
      <c r="MA83" s="9"/>
      <c r="MB83" s="9"/>
      <c r="MC83" s="9"/>
      <c r="MD83" s="9"/>
      <c r="ME83" s="9"/>
      <c r="MF83" s="9"/>
      <c r="MG83" s="9"/>
      <c r="MH83" s="9"/>
      <c r="MI83" s="9"/>
      <c r="MJ83" s="9"/>
      <c r="MK83" s="9"/>
    </row>
    <row r="84" spans="1:349" hidden="1" x14ac:dyDescent="0.25">
      <c r="A84" s="9"/>
      <c r="B84" s="9"/>
      <c r="C84" s="9"/>
      <c r="D84" s="9"/>
      <c r="E84" s="9"/>
      <c r="F84" s="9"/>
      <c r="G84" s="9"/>
      <c r="H84" s="9"/>
      <c r="I84" s="9"/>
      <c r="J84" s="9"/>
      <c r="K84" s="9"/>
      <c r="L84" s="9"/>
      <c r="M84" s="9"/>
      <c r="N84" s="9"/>
      <c r="O84" s="9"/>
      <c r="AG84" s="9"/>
      <c r="AH84" s="9"/>
      <c r="AI84" s="9"/>
      <c r="AJ84" s="9"/>
      <c r="AK84" s="9"/>
      <c r="AL84" s="9"/>
      <c r="AM84" s="9"/>
      <c r="AN84" s="9"/>
      <c r="AO84" s="9"/>
      <c r="AP84" s="9"/>
      <c r="AQ84" s="9"/>
      <c r="AR84" s="9"/>
      <c r="AS84" s="9"/>
      <c r="AT84" s="9"/>
      <c r="AU84" s="9"/>
      <c r="AV84" s="9"/>
      <c r="AW84" s="9"/>
      <c r="AX84" s="9"/>
      <c r="AY84" s="9"/>
      <c r="AZ84" s="9"/>
      <c r="BA84" s="9"/>
      <c r="BB84" s="9"/>
      <c r="BC84" s="9"/>
      <c r="BD84" s="9"/>
      <c r="BE84" s="9"/>
      <c r="BF84" s="9"/>
      <c r="BG84" s="9"/>
      <c r="BH84" s="9"/>
      <c r="BI84" s="9"/>
      <c r="BJ84" s="9"/>
      <c r="BK84" s="9"/>
      <c r="BL84" s="9"/>
      <c r="BM84" s="9"/>
      <c r="BN84" s="9"/>
      <c r="BO84" s="9"/>
      <c r="BP84" s="9"/>
      <c r="BQ84" s="9"/>
      <c r="BR84" s="9"/>
      <c r="BS84" s="9"/>
      <c r="BT84" s="9"/>
      <c r="BU84" s="9"/>
      <c r="BV84" s="9"/>
      <c r="BW84" s="9"/>
      <c r="BX84" s="9"/>
      <c r="BY84" s="9"/>
      <c r="BZ84" s="9"/>
      <c r="CA84" s="9"/>
      <c r="CB84" s="9"/>
      <c r="CC84" s="9"/>
      <c r="CD84" s="9"/>
      <c r="CE84" s="9"/>
      <c r="CF84" s="9"/>
      <c r="CG84" s="9"/>
      <c r="CH84" s="9"/>
      <c r="CI84" s="9"/>
      <c r="CJ84" s="9"/>
      <c r="CK84" s="9"/>
      <c r="CL84" s="9"/>
      <c r="CM84" s="9"/>
      <c r="CN84" s="9"/>
      <c r="CO84" s="9"/>
      <c r="CP84" s="9"/>
      <c r="CQ84" s="9"/>
      <c r="CR84" s="9"/>
      <c r="CS84" s="9"/>
      <c r="CT84" s="9"/>
      <c r="CU84" s="9"/>
      <c r="CV84" s="9"/>
      <c r="CW84" s="9"/>
      <c r="CX84" s="9"/>
      <c r="CY84" s="9"/>
      <c r="CZ84" s="9"/>
      <c r="DA84" s="9"/>
      <c r="DB84" s="9"/>
      <c r="DC84" s="9"/>
      <c r="DD84" s="9"/>
      <c r="DE84" s="9"/>
      <c r="DF84" s="9"/>
      <c r="DG84" s="9"/>
      <c r="DH84" s="9"/>
      <c r="DI84" s="9"/>
      <c r="DJ84" s="9"/>
      <c r="DK84" s="9"/>
      <c r="DL84" s="9"/>
      <c r="DM84" s="9"/>
      <c r="DN84" s="9"/>
      <c r="DO84" s="9"/>
      <c r="DP84" s="9"/>
      <c r="DQ84" s="9"/>
      <c r="DR84" s="9"/>
      <c r="DS84" s="9"/>
      <c r="DT84" s="9"/>
      <c r="DU84" s="9"/>
      <c r="DV84" s="9"/>
      <c r="DW84" s="9"/>
      <c r="DX84" s="9"/>
      <c r="DY84" s="9"/>
      <c r="DZ84" s="9"/>
      <c r="EA84" s="9"/>
      <c r="EB84" s="9"/>
      <c r="EC84" s="9"/>
      <c r="ED84" s="9"/>
      <c r="EE84" s="9"/>
      <c r="EF84" s="9"/>
      <c r="EG84" s="9"/>
      <c r="EH84" s="9"/>
      <c r="EI84" s="9"/>
      <c r="EJ84" s="9"/>
      <c r="EK84" s="9"/>
      <c r="EL84" s="9"/>
      <c r="EM84" s="9"/>
      <c r="EN84" s="9"/>
      <c r="EO84" s="9"/>
      <c r="EP84" s="9"/>
      <c r="EQ84" s="9"/>
      <c r="ER84" s="9"/>
      <c r="ES84" s="9"/>
      <c r="ET84" s="9"/>
      <c r="EU84" s="9"/>
      <c r="EV84" s="9"/>
      <c r="EW84" s="9"/>
      <c r="EX84" s="9"/>
      <c r="EY84" s="9"/>
      <c r="EZ84" s="9"/>
      <c r="FA84" s="9"/>
      <c r="FB84" s="9"/>
      <c r="FC84" s="9"/>
      <c r="FD84" s="9"/>
      <c r="FE84" s="9"/>
      <c r="FF84" s="9"/>
      <c r="FG84" s="9"/>
      <c r="FH84" s="9"/>
      <c r="FI84" s="9"/>
      <c r="FJ84" s="9"/>
      <c r="FK84" s="9"/>
      <c r="FL84" s="9"/>
      <c r="FM84" s="9"/>
      <c r="FN84" s="9"/>
      <c r="FO84" s="9"/>
      <c r="FP84" s="9"/>
      <c r="FQ84" s="9"/>
      <c r="FR84" s="9"/>
      <c r="FS84" s="9"/>
      <c r="FT84" s="9"/>
      <c r="FU84" s="9"/>
      <c r="FV84" s="9"/>
      <c r="FW84" s="9"/>
      <c r="FX84" s="9"/>
      <c r="FY84" s="9"/>
      <c r="FZ84" s="9"/>
      <c r="GA84" s="9"/>
      <c r="GB84" s="9"/>
      <c r="GC84" s="9"/>
      <c r="GD84" s="9"/>
      <c r="GE84" s="9"/>
      <c r="GF84" s="9"/>
      <c r="GG84" s="9"/>
      <c r="GH84" s="9"/>
      <c r="GI84" s="9"/>
      <c r="GJ84" s="9"/>
      <c r="GK84" s="9"/>
      <c r="GL84" s="9"/>
      <c r="GM84" s="9"/>
      <c r="GN84" s="9"/>
      <c r="GO84" s="9"/>
      <c r="GP84" s="9"/>
      <c r="GQ84" s="9"/>
      <c r="GR84" s="9"/>
      <c r="GS84" s="9"/>
      <c r="GT84" s="9"/>
      <c r="GU84" s="9"/>
      <c r="GV84" s="9"/>
      <c r="GW84" s="9"/>
      <c r="GX84" s="9"/>
      <c r="GY84" s="9"/>
      <c r="GZ84" s="9"/>
      <c r="HA84" s="9"/>
      <c r="HB84" s="9"/>
      <c r="HC84" s="9"/>
      <c r="HD84" s="9"/>
      <c r="HE84" s="9"/>
      <c r="HF84" s="9"/>
      <c r="HG84" s="9"/>
      <c r="HH84" s="9"/>
      <c r="HI84" s="9"/>
      <c r="HJ84" s="9"/>
      <c r="HK84" s="9"/>
      <c r="HL84" s="9"/>
      <c r="HM84" s="9"/>
      <c r="HN84" s="9"/>
      <c r="HO84" s="9"/>
      <c r="HP84" s="9"/>
      <c r="HQ84" s="9"/>
      <c r="HR84" s="9"/>
      <c r="HS84" s="9"/>
      <c r="HT84" s="9"/>
      <c r="HU84" s="9"/>
      <c r="HV84" s="9"/>
      <c r="HW84" s="9"/>
      <c r="HX84" s="9"/>
      <c r="HY84" s="9"/>
      <c r="HZ84" s="9"/>
      <c r="IA84" s="9"/>
      <c r="IB84" s="9"/>
      <c r="IC84" s="9"/>
      <c r="ID84" s="9"/>
      <c r="IE84" s="9"/>
      <c r="IF84" s="9"/>
      <c r="IG84" s="9"/>
      <c r="IH84" s="9"/>
      <c r="II84" s="9"/>
      <c r="IJ84" s="9"/>
      <c r="IK84" s="9"/>
      <c r="IL84" s="9"/>
      <c r="IM84" s="9"/>
      <c r="IN84" s="9"/>
      <c r="IO84" s="9"/>
      <c r="IP84" s="9"/>
      <c r="IQ84" s="9"/>
      <c r="IR84" s="9"/>
      <c r="IS84" s="9"/>
      <c r="IT84" s="9"/>
      <c r="IU84" s="9"/>
      <c r="IV84" s="9"/>
      <c r="IW84" s="9"/>
      <c r="IX84" s="9"/>
      <c r="IY84" s="9"/>
      <c r="IZ84" s="9"/>
      <c r="JA84" s="9"/>
      <c r="JB84" s="9"/>
      <c r="JC84" s="9"/>
      <c r="JD84" s="9"/>
      <c r="JE84" s="9"/>
      <c r="JF84" s="9"/>
      <c r="JG84" s="9"/>
      <c r="JH84" s="9"/>
      <c r="JI84" s="9"/>
      <c r="JJ84" s="9"/>
      <c r="JK84" s="9"/>
      <c r="JL84" s="9"/>
      <c r="JM84" s="9"/>
      <c r="JN84" s="9"/>
      <c r="JO84" s="9"/>
      <c r="JP84" s="9"/>
      <c r="JQ84" s="9"/>
      <c r="JR84" s="9"/>
      <c r="JS84" s="9"/>
      <c r="JT84" s="9"/>
      <c r="JU84" s="9"/>
      <c r="JV84" s="9"/>
      <c r="JW84" s="9"/>
      <c r="JX84" s="9"/>
      <c r="JY84" s="9"/>
      <c r="JZ84" s="9"/>
      <c r="KA84" s="9"/>
      <c r="KB84" s="9"/>
      <c r="KC84" s="9"/>
      <c r="KD84" s="9"/>
      <c r="KE84" s="9"/>
      <c r="KF84" s="9"/>
      <c r="KG84" s="9"/>
      <c r="KH84" s="9"/>
      <c r="KI84" s="9"/>
      <c r="KJ84" s="9"/>
      <c r="KK84" s="9"/>
      <c r="KL84" s="9"/>
      <c r="KM84" s="9"/>
      <c r="KN84" s="9"/>
      <c r="KO84" s="9"/>
      <c r="KP84" s="9"/>
      <c r="KQ84" s="9"/>
      <c r="KR84" s="9"/>
      <c r="KS84" s="9"/>
      <c r="KT84" s="9"/>
      <c r="KU84" s="9"/>
      <c r="KV84" s="9"/>
      <c r="KW84" s="9"/>
      <c r="KX84" s="9"/>
      <c r="KY84" s="9"/>
      <c r="KZ84" s="9"/>
      <c r="LA84" s="9"/>
      <c r="LB84" s="9"/>
      <c r="LC84" s="9"/>
      <c r="LD84" s="9"/>
      <c r="LE84" s="9"/>
      <c r="LF84" s="9"/>
      <c r="LG84" s="9"/>
      <c r="LH84" s="9"/>
      <c r="LI84" s="9"/>
      <c r="LJ84" s="9"/>
      <c r="LK84" s="9"/>
      <c r="LL84" s="9"/>
      <c r="LM84" s="9"/>
      <c r="LN84" s="9"/>
      <c r="LO84" s="9"/>
      <c r="LP84" s="9"/>
      <c r="LQ84" s="9"/>
      <c r="LR84" s="9"/>
      <c r="LS84" s="9"/>
      <c r="LT84" s="9"/>
      <c r="LU84" s="9"/>
      <c r="LV84" s="9"/>
      <c r="LW84" s="9"/>
      <c r="LX84" s="9"/>
      <c r="LY84" s="9"/>
      <c r="LZ84" s="9"/>
      <c r="MA84" s="9"/>
      <c r="MB84" s="9"/>
      <c r="MC84" s="9"/>
      <c r="MD84" s="9"/>
      <c r="ME84" s="9"/>
      <c r="MF84" s="9"/>
      <c r="MG84" s="9"/>
      <c r="MH84" s="9"/>
      <c r="MI84" s="9"/>
      <c r="MJ84" s="9"/>
      <c r="MK84" s="9"/>
    </row>
    <row r="85" spans="1:349" hidden="1" x14ac:dyDescent="0.25">
      <c r="A85" s="9"/>
      <c r="B85" s="9"/>
      <c r="C85" s="9"/>
      <c r="D85" s="9"/>
      <c r="E85" s="9"/>
      <c r="F85" s="9"/>
      <c r="G85" s="9"/>
      <c r="H85" s="9"/>
      <c r="I85" s="9"/>
      <c r="J85" s="9"/>
      <c r="K85" s="9"/>
      <c r="L85" s="9"/>
      <c r="M85" s="9"/>
      <c r="N85" s="9"/>
      <c r="O85" s="9"/>
      <c r="AG85" s="9"/>
      <c r="AH85" s="9"/>
      <c r="AI85" s="9"/>
      <c r="AJ85" s="9"/>
      <c r="AK85" s="9"/>
      <c r="AL85" s="9"/>
      <c r="AM85" s="9"/>
      <c r="AN85" s="9"/>
      <c r="AO85" s="9"/>
      <c r="AP85" s="9"/>
      <c r="AQ85" s="9"/>
      <c r="AR85" s="9"/>
      <c r="AS85" s="9"/>
      <c r="AT85" s="9"/>
      <c r="AU85" s="9"/>
      <c r="AV85" s="9"/>
      <c r="AW85" s="9"/>
      <c r="AX85" s="9"/>
      <c r="AY85" s="9"/>
      <c r="AZ85" s="9"/>
      <c r="BA85" s="9"/>
      <c r="BB85" s="9"/>
      <c r="BC85" s="9"/>
      <c r="BD85" s="9"/>
      <c r="BE85" s="9"/>
      <c r="BF85" s="9"/>
      <c r="BG85" s="9"/>
      <c r="BH85" s="9"/>
      <c r="BI85" s="9"/>
      <c r="BJ85" s="9"/>
      <c r="BK85" s="9"/>
      <c r="BL85" s="9"/>
      <c r="BM85" s="9"/>
      <c r="BN85" s="9"/>
      <c r="BO85" s="9"/>
      <c r="BP85" s="9"/>
      <c r="BQ85" s="9"/>
      <c r="BR85" s="9"/>
      <c r="BS85" s="9"/>
      <c r="BT85" s="9"/>
      <c r="BU85" s="9"/>
      <c r="BV85" s="9"/>
      <c r="BW85" s="9"/>
      <c r="BX85" s="9"/>
      <c r="BY85" s="9"/>
      <c r="BZ85" s="9"/>
      <c r="CA85" s="9"/>
      <c r="CB85" s="9"/>
      <c r="CC85" s="9"/>
      <c r="CD85" s="9"/>
      <c r="CE85" s="9"/>
      <c r="CF85" s="9"/>
      <c r="CG85" s="9"/>
      <c r="CH85" s="9"/>
      <c r="CI85" s="9"/>
      <c r="CJ85" s="9"/>
      <c r="CK85" s="9"/>
      <c r="CL85" s="9"/>
      <c r="CM85" s="9"/>
      <c r="CN85" s="9"/>
      <c r="CO85" s="9"/>
      <c r="CP85" s="9"/>
      <c r="CQ85" s="9"/>
      <c r="CR85" s="9"/>
      <c r="CS85" s="9"/>
      <c r="CT85" s="9"/>
      <c r="CU85" s="9"/>
      <c r="CV85" s="9"/>
      <c r="CW85" s="9"/>
      <c r="CX85" s="9"/>
      <c r="CY85" s="9"/>
      <c r="CZ85" s="9"/>
      <c r="DA85" s="9"/>
      <c r="DB85" s="9"/>
      <c r="DC85" s="9"/>
      <c r="DD85" s="9"/>
      <c r="DE85" s="9"/>
      <c r="DF85" s="9"/>
      <c r="DG85" s="9"/>
      <c r="DH85" s="9"/>
      <c r="DI85" s="9"/>
      <c r="DJ85" s="9"/>
      <c r="DK85" s="9"/>
      <c r="DL85" s="9"/>
      <c r="DM85" s="9"/>
      <c r="DN85" s="9"/>
      <c r="DO85" s="9"/>
      <c r="DP85" s="9"/>
      <c r="DQ85" s="9"/>
      <c r="DR85" s="9"/>
      <c r="DS85" s="9"/>
      <c r="DT85" s="9"/>
      <c r="DU85" s="9"/>
      <c r="DV85" s="9"/>
      <c r="DW85" s="9"/>
      <c r="DX85" s="9"/>
      <c r="DY85" s="9"/>
      <c r="DZ85" s="9"/>
      <c r="EA85" s="9"/>
      <c r="EB85" s="9"/>
      <c r="EC85" s="9"/>
      <c r="ED85" s="9"/>
      <c r="EE85" s="9"/>
      <c r="EF85" s="9"/>
      <c r="EG85" s="9"/>
      <c r="EH85" s="9"/>
      <c r="EI85" s="9"/>
      <c r="EJ85" s="9"/>
      <c r="EK85" s="9"/>
      <c r="EL85" s="9"/>
      <c r="EM85" s="9"/>
      <c r="EN85" s="9"/>
      <c r="EO85" s="9"/>
      <c r="EP85" s="9"/>
      <c r="EQ85" s="9"/>
      <c r="ER85" s="9"/>
      <c r="ES85" s="9"/>
      <c r="ET85" s="9"/>
      <c r="EU85" s="9"/>
      <c r="EV85" s="9"/>
      <c r="EW85" s="9"/>
      <c r="EX85" s="9"/>
      <c r="EY85" s="9"/>
      <c r="EZ85" s="9"/>
      <c r="FA85" s="9"/>
      <c r="FB85" s="9"/>
      <c r="FC85" s="9"/>
      <c r="FD85" s="9"/>
      <c r="FE85" s="9"/>
      <c r="FF85" s="9"/>
      <c r="FG85" s="9"/>
      <c r="FH85" s="9"/>
      <c r="FI85" s="9"/>
      <c r="FJ85" s="9"/>
      <c r="FK85" s="9"/>
      <c r="FL85" s="9"/>
      <c r="FM85" s="9"/>
      <c r="FN85" s="9"/>
      <c r="FO85" s="9"/>
      <c r="FP85" s="9"/>
      <c r="FQ85" s="9"/>
      <c r="FR85" s="9"/>
      <c r="FS85" s="9"/>
      <c r="FT85" s="9"/>
      <c r="FU85" s="9"/>
      <c r="FV85" s="9"/>
      <c r="FW85" s="9"/>
      <c r="FX85" s="9"/>
      <c r="FY85" s="9"/>
      <c r="FZ85" s="9"/>
      <c r="GA85" s="9"/>
      <c r="GB85" s="9"/>
      <c r="GC85" s="9"/>
      <c r="GD85" s="9"/>
      <c r="GE85" s="9"/>
      <c r="GF85" s="9"/>
      <c r="GG85" s="9"/>
      <c r="GH85" s="9"/>
      <c r="GI85" s="9"/>
      <c r="GJ85" s="9"/>
      <c r="GK85" s="9"/>
      <c r="GL85" s="9"/>
      <c r="GM85" s="9"/>
      <c r="GN85" s="9"/>
      <c r="GO85" s="9"/>
      <c r="GP85" s="9"/>
      <c r="GQ85" s="9"/>
      <c r="GR85" s="9"/>
      <c r="GS85" s="9"/>
      <c r="GT85" s="9"/>
      <c r="GU85" s="9"/>
      <c r="GV85" s="9"/>
      <c r="GW85" s="9"/>
      <c r="GX85" s="9"/>
      <c r="GY85" s="9"/>
      <c r="GZ85" s="9"/>
      <c r="HA85" s="9"/>
      <c r="HB85" s="9"/>
      <c r="HC85" s="9"/>
      <c r="HD85" s="9"/>
      <c r="HE85" s="9"/>
      <c r="HF85" s="9"/>
      <c r="HG85" s="9"/>
      <c r="HH85" s="9"/>
      <c r="HI85" s="9"/>
      <c r="HJ85" s="9"/>
      <c r="HK85" s="9"/>
      <c r="HL85" s="9"/>
      <c r="HM85" s="9"/>
      <c r="HN85" s="9"/>
      <c r="HO85" s="9"/>
      <c r="HP85" s="9"/>
      <c r="HQ85" s="9"/>
      <c r="HR85" s="9"/>
      <c r="HS85" s="9"/>
      <c r="HT85" s="9"/>
      <c r="HU85" s="9"/>
      <c r="HV85" s="9"/>
      <c r="HW85" s="9"/>
      <c r="HX85" s="9"/>
      <c r="HY85" s="9"/>
      <c r="HZ85" s="9"/>
      <c r="IA85" s="9"/>
      <c r="IB85" s="9"/>
      <c r="IC85" s="9"/>
      <c r="ID85" s="9"/>
      <c r="IE85" s="9"/>
      <c r="IF85" s="9"/>
      <c r="IG85" s="9"/>
      <c r="IH85" s="9"/>
      <c r="II85" s="9"/>
      <c r="IJ85" s="9"/>
      <c r="IK85" s="9"/>
      <c r="IL85" s="9"/>
      <c r="IM85" s="9"/>
      <c r="IN85" s="9"/>
      <c r="IO85" s="9"/>
      <c r="IP85" s="9"/>
      <c r="IQ85" s="9"/>
      <c r="IR85" s="9"/>
      <c r="IS85" s="9"/>
      <c r="IT85" s="9"/>
      <c r="IU85" s="9"/>
      <c r="IV85" s="9"/>
      <c r="IW85" s="9"/>
      <c r="IX85" s="9"/>
      <c r="IY85" s="9"/>
      <c r="IZ85" s="9"/>
      <c r="JA85" s="9"/>
      <c r="JB85" s="9"/>
      <c r="JC85" s="9"/>
      <c r="JD85" s="9"/>
      <c r="JE85" s="9"/>
      <c r="JF85" s="9"/>
      <c r="JG85" s="9"/>
      <c r="JH85" s="9"/>
      <c r="JI85" s="9"/>
      <c r="JJ85" s="9"/>
      <c r="JK85" s="9"/>
      <c r="JL85" s="9"/>
      <c r="JM85" s="9"/>
      <c r="JN85" s="9"/>
      <c r="JO85" s="9"/>
      <c r="JP85" s="9"/>
      <c r="JQ85" s="9"/>
      <c r="JR85" s="9"/>
      <c r="JS85" s="9"/>
      <c r="JT85" s="9"/>
      <c r="JU85" s="9"/>
      <c r="JV85" s="9"/>
      <c r="JW85" s="9"/>
      <c r="JX85" s="9"/>
      <c r="JY85" s="9"/>
      <c r="JZ85" s="9"/>
      <c r="KA85" s="9"/>
      <c r="KB85" s="9"/>
      <c r="KC85" s="9"/>
      <c r="KD85" s="9"/>
      <c r="KE85" s="9"/>
      <c r="KF85" s="9"/>
      <c r="KG85" s="9"/>
      <c r="KH85" s="9"/>
      <c r="KI85" s="9"/>
      <c r="KJ85" s="9"/>
      <c r="KK85" s="9"/>
      <c r="KL85" s="9"/>
      <c r="KM85" s="9"/>
      <c r="KN85" s="9"/>
      <c r="KO85" s="9"/>
      <c r="KP85" s="9"/>
      <c r="KQ85" s="9"/>
      <c r="KR85" s="9"/>
      <c r="KS85" s="9"/>
      <c r="KT85" s="9"/>
      <c r="KU85" s="9"/>
      <c r="KV85" s="9"/>
      <c r="KW85" s="9"/>
      <c r="KX85" s="9"/>
      <c r="KY85" s="9"/>
      <c r="KZ85" s="9"/>
      <c r="LA85" s="9"/>
      <c r="LB85" s="9"/>
      <c r="LC85" s="9"/>
      <c r="LD85" s="9"/>
      <c r="LE85" s="9"/>
      <c r="LF85" s="9"/>
      <c r="LG85" s="9"/>
      <c r="LH85" s="9"/>
      <c r="LI85" s="9"/>
      <c r="LJ85" s="9"/>
      <c r="LK85" s="9"/>
      <c r="LL85" s="9"/>
      <c r="LM85" s="9"/>
      <c r="LN85" s="9"/>
      <c r="LO85" s="9"/>
      <c r="LP85" s="9"/>
      <c r="LQ85" s="9"/>
      <c r="LR85" s="9"/>
      <c r="LS85" s="9"/>
      <c r="LT85" s="9"/>
      <c r="LU85" s="9"/>
      <c r="LV85" s="9"/>
      <c r="LW85" s="9"/>
      <c r="LX85" s="9"/>
      <c r="LY85" s="9"/>
      <c r="LZ85" s="9"/>
      <c r="MA85" s="9"/>
      <c r="MB85" s="9"/>
      <c r="MC85" s="9"/>
      <c r="MD85" s="9"/>
      <c r="ME85" s="9"/>
      <c r="MF85" s="9"/>
      <c r="MG85" s="9"/>
      <c r="MH85" s="9"/>
      <c r="MI85" s="9"/>
      <c r="MJ85" s="9"/>
      <c r="MK85" s="9"/>
    </row>
    <row r="86" spans="1:349" hidden="1" x14ac:dyDescent="0.25">
      <c r="A86" s="9"/>
      <c r="B86" s="9"/>
      <c r="C86" s="9"/>
      <c r="D86" s="9"/>
      <c r="E86" s="9"/>
      <c r="F86" s="9"/>
      <c r="G86" s="9"/>
      <c r="H86" s="9"/>
      <c r="I86" s="9"/>
      <c r="J86" s="9"/>
      <c r="K86" s="9"/>
      <c r="L86" s="9"/>
      <c r="M86" s="9"/>
      <c r="N86" s="9"/>
      <c r="O86" s="9"/>
      <c r="AG86" s="9"/>
      <c r="AH86" s="9"/>
      <c r="AI86" s="9"/>
      <c r="AJ86" s="9"/>
      <c r="AK86" s="9"/>
      <c r="AL86" s="9"/>
      <c r="AM86" s="9"/>
      <c r="AN86" s="9"/>
      <c r="AO86" s="9"/>
      <c r="AP86" s="9"/>
      <c r="AQ86" s="9"/>
      <c r="AR86" s="9"/>
      <c r="AS86" s="9"/>
      <c r="AT86" s="9"/>
      <c r="AU86" s="9"/>
      <c r="AV86" s="9"/>
      <c r="AW86" s="9"/>
      <c r="AX86" s="9"/>
      <c r="AY86" s="9"/>
      <c r="AZ86" s="9"/>
      <c r="BA86" s="9"/>
      <c r="BB86" s="9"/>
      <c r="BC86" s="9"/>
      <c r="BD86" s="9"/>
      <c r="BE86" s="9"/>
      <c r="BF86" s="9"/>
      <c r="BG86" s="9"/>
      <c r="BH86" s="9"/>
      <c r="BI86" s="9"/>
      <c r="BJ86" s="9"/>
      <c r="BK86" s="9"/>
      <c r="BL86" s="9"/>
      <c r="BM86" s="9"/>
      <c r="BN86" s="9"/>
      <c r="BO86" s="9"/>
      <c r="BP86" s="9"/>
      <c r="BQ86" s="9"/>
      <c r="BR86" s="9"/>
      <c r="BS86" s="9"/>
      <c r="BT86" s="9"/>
      <c r="BU86" s="9"/>
      <c r="BV86" s="9"/>
      <c r="BW86" s="9"/>
      <c r="BX86" s="9"/>
      <c r="BY86" s="9"/>
      <c r="BZ86" s="9"/>
      <c r="CA86" s="9"/>
      <c r="CB86" s="9"/>
      <c r="CC86" s="9"/>
      <c r="CD86" s="9"/>
      <c r="CE86" s="9"/>
      <c r="CF86" s="9"/>
      <c r="CG86" s="9"/>
      <c r="CH86" s="9"/>
      <c r="CI86" s="9"/>
      <c r="CJ86" s="9"/>
      <c r="CK86" s="9"/>
      <c r="CL86" s="9"/>
      <c r="CM86" s="9"/>
      <c r="CN86" s="9"/>
      <c r="CO86" s="9"/>
      <c r="CP86" s="9"/>
      <c r="CQ86" s="9"/>
      <c r="CR86" s="9"/>
      <c r="CS86" s="9"/>
      <c r="CT86" s="9"/>
      <c r="CU86" s="9"/>
      <c r="CV86" s="9"/>
      <c r="CW86" s="9"/>
      <c r="CX86" s="9"/>
      <c r="CY86" s="9"/>
      <c r="CZ86" s="9"/>
      <c r="DA86" s="9"/>
      <c r="DB86" s="9"/>
      <c r="DC86" s="9"/>
      <c r="DD86" s="9"/>
      <c r="DE86" s="9"/>
      <c r="DF86" s="9"/>
      <c r="DG86" s="9"/>
      <c r="DH86" s="9"/>
      <c r="DI86" s="9"/>
      <c r="DJ86" s="9"/>
      <c r="DK86" s="9"/>
      <c r="DL86" s="9"/>
      <c r="DM86" s="9"/>
      <c r="DN86" s="9"/>
      <c r="DO86" s="9"/>
      <c r="DP86" s="9"/>
      <c r="DQ86" s="9"/>
      <c r="DR86" s="9"/>
      <c r="DS86" s="9"/>
      <c r="DT86" s="9"/>
      <c r="DU86" s="9"/>
      <c r="DV86" s="9"/>
      <c r="DW86" s="9"/>
      <c r="DX86" s="9"/>
      <c r="DY86" s="9"/>
      <c r="DZ86" s="9"/>
      <c r="EA86" s="9"/>
      <c r="EB86" s="9"/>
      <c r="EC86" s="9"/>
      <c r="ED86" s="9"/>
      <c r="EE86" s="9"/>
      <c r="EF86" s="9"/>
      <c r="EG86" s="9"/>
      <c r="EH86" s="9"/>
      <c r="EI86" s="9"/>
      <c r="EJ86" s="9"/>
      <c r="EK86" s="9"/>
      <c r="EL86" s="9"/>
      <c r="EM86" s="9"/>
      <c r="EN86" s="9"/>
      <c r="EO86" s="9"/>
      <c r="EP86" s="9"/>
      <c r="EQ86" s="9"/>
      <c r="ER86" s="9"/>
      <c r="ES86" s="9"/>
      <c r="ET86" s="9"/>
      <c r="EU86" s="9"/>
      <c r="EV86" s="9"/>
      <c r="EW86" s="9"/>
      <c r="EX86" s="9"/>
      <c r="EY86" s="9"/>
      <c r="EZ86" s="9"/>
      <c r="FA86" s="9"/>
      <c r="FB86" s="9"/>
      <c r="FC86" s="9"/>
      <c r="FD86" s="9"/>
      <c r="FE86" s="9"/>
      <c r="FF86" s="9"/>
      <c r="FG86" s="9"/>
      <c r="FH86" s="9"/>
      <c r="FI86" s="9"/>
      <c r="FJ86" s="9"/>
      <c r="FK86" s="9"/>
      <c r="FL86" s="9"/>
      <c r="FM86" s="9"/>
      <c r="FN86" s="9"/>
      <c r="FO86" s="9"/>
      <c r="FP86" s="9"/>
      <c r="FQ86" s="9"/>
      <c r="FR86" s="9"/>
      <c r="FS86" s="9"/>
      <c r="FT86" s="9"/>
      <c r="FU86" s="9"/>
      <c r="FV86" s="9"/>
      <c r="FW86" s="9"/>
      <c r="FX86" s="9"/>
      <c r="FY86" s="9"/>
      <c r="FZ86" s="9"/>
      <c r="GA86" s="9"/>
      <c r="GB86" s="9"/>
      <c r="GC86" s="9"/>
      <c r="GD86" s="9"/>
      <c r="GE86" s="9"/>
      <c r="GF86" s="9"/>
      <c r="GG86" s="9"/>
      <c r="GH86" s="9"/>
      <c r="GI86" s="9"/>
      <c r="GJ86" s="9"/>
      <c r="GK86" s="9"/>
      <c r="GL86" s="9"/>
      <c r="GM86" s="9"/>
      <c r="GN86" s="9"/>
      <c r="GO86" s="9"/>
      <c r="GP86" s="9"/>
      <c r="GQ86" s="9"/>
      <c r="GR86" s="9"/>
      <c r="GS86" s="9"/>
      <c r="GT86" s="9"/>
      <c r="GU86" s="9"/>
      <c r="GV86" s="9"/>
      <c r="GW86" s="9"/>
      <c r="GX86" s="9"/>
      <c r="GY86" s="9"/>
      <c r="GZ86" s="9"/>
      <c r="HA86" s="9"/>
      <c r="HB86" s="9"/>
      <c r="HC86" s="9"/>
      <c r="HD86" s="9"/>
      <c r="HE86" s="9"/>
      <c r="HF86" s="9"/>
      <c r="HG86" s="9"/>
      <c r="HH86" s="9"/>
      <c r="HI86" s="9"/>
      <c r="HJ86" s="9"/>
      <c r="HK86" s="9"/>
      <c r="HL86" s="9"/>
      <c r="HM86" s="9"/>
      <c r="HN86" s="9"/>
      <c r="HO86" s="9"/>
      <c r="HP86" s="9"/>
      <c r="HQ86" s="9"/>
      <c r="HR86" s="9"/>
      <c r="HS86" s="9"/>
      <c r="HT86" s="9"/>
      <c r="HU86" s="9"/>
      <c r="HV86" s="9"/>
      <c r="HW86" s="9"/>
      <c r="HX86" s="9"/>
      <c r="HY86" s="9"/>
      <c r="HZ86" s="9"/>
      <c r="IA86" s="9"/>
      <c r="IB86" s="9"/>
      <c r="IC86" s="9"/>
      <c r="ID86" s="9"/>
      <c r="IE86" s="9"/>
      <c r="IF86" s="9"/>
      <c r="IG86" s="9"/>
      <c r="IH86" s="9"/>
      <c r="II86" s="9"/>
      <c r="IJ86" s="9"/>
      <c r="IK86" s="9"/>
      <c r="IL86" s="9"/>
      <c r="IM86" s="9"/>
      <c r="IN86" s="9"/>
      <c r="IO86" s="9"/>
      <c r="IP86" s="9"/>
      <c r="IQ86" s="9"/>
      <c r="IR86" s="9"/>
      <c r="IS86" s="9"/>
      <c r="IT86" s="9"/>
      <c r="IU86" s="9"/>
      <c r="IV86" s="9"/>
      <c r="IW86" s="9"/>
      <c r="IX86" s="9"/>
      <c r="IY86" s="9"/>
      <c r="IZ86" s="9"/>
      <c r="JA86" s="9"/>
      <c r="JB86" s="9"/>
      <c r="JC86" s="9"/>
      <c r="JD86" s="9"/>
      <c r="JE86" s="9"/>
      <c r="JF86" s="9"/>
      <c r="JG86" s="9"/>
      <c r="JH86" s="9"/>
      <c r="JI86" s="9"/>
      <c r="JJ86" s="9"/>
      <c r="JK86" s="9"/>
      <c r="JL86" s="9"/>
      <c r="JM86" s="9"/>
      <c r="JN86" s="9"/>
      <c r="JO86" s="9"/>
      <c r="JP86" s="9"/>
      <c r="JQ86" s="9"/>
      <c r="JR86" s="9"/>
      <c r="JS86" s="9"/>
      <c r="JT86" s="9"/>
      <c r="JU86" s="9"/>
      <c r="JV86" s="9"/>
      <c r="JW86" s="9"/>
      <c r="JX86" s="9"/>
      <c r="JY86" s="9"/>
      <c r="JZ86" s="9"/>
      <c r="KA86" s="9"/>
      <c r="KB86" s="9"/>
      <c r="KC86" s="9"/>
      <c r="KD86" s="9"/>
      <c r="KE86" s="9"/>
      <c r="KF86" s="9"/>
      <c r="KG86" s="9"/>
      <c r="KH86" s="9"/>
      <c r="KI86" s="9"/>
      <c r="KJ86" s="9"/>
      <c r="KK86" s="9"/>
      <c r="KL86" s="9"/>
      <c r="KM86" s="9"/>
      <c r="KN86" s="9"/>
      <c r="KO86" s="9"/>
      <c r="KP86" s="9"/>
      <c r="KQ86" s="9"/>
      <c r="KR86" s="9"/>
      <c r="KS86" s="9"/>
      <c r="KT86" s="9"/>
      <c r="KU86" s="9"/>
      <c r="KV86" s="9"/>
      <c r="KW86" s="9"/>
      <c r="KX86" s="9"/>
      <c r="KY86" s="9"/>
      <c r="KZ86" s="9"/>
      <c r="LA86" s="9"/>
      <c r="LB86" s="9"/>
      <c r="LC86" s="9"/>
      <c r="LD86" s="9"/>
      <c r="LE86" s="9"/>
      <c r="LF86" s="9"/>
      <c r="LG86" s="9"/>
      <c r="LH86" s="9"/>
      <c r="LI86" s="9"/>
      <c r="LJ86" s="9"/>
      <c r="LK86" s="9"/>
      <c r="LL86" s="9"/>
      <c r="LM86" s="9"/>
      <c r="LN86" s="9"/>
      <c r="LO86" s="9"/>
      <c r="LP86" s="9"/>
      <c r="LQ86" s="9"/>
      <c r="LR86" s="9"/>
      <c r="LS86" s="9"/>
      <c r="LT86" s="9"/>
      <c r="LU86" s="9"/>
      <c r="LV86" s="9"/>
      <c r="LW86" s="9"/>
      <c r="LX86" s="9"/>
      <c r="LY86" s="9"/>
      <c r="LZ86" s="9"/>
      <c r="MA86" s="9"/>
      <c r="MB86" s="9"/>
      <c r="MC86" s="9"/>
      <c r="MD86" s="9"/>
      <c r="ME86" s="9"/>
      <c r="MF86" s="9"/>
      <c r="MG86" s="9"/>
      <c r="MH86" s="9"/>
      <c r="MI86" s="9"/>
      <c r="MJ86" s="9"/>
      <c r="MK86" s="9"/>
    </row>
    <row r="87" spans="1:349" hidden="1" x14ac:dyDescent="0.25">
      <c r="A87" s="9"/>
      <c r="B87" s="9"/>
      <c r="C87" s="9"/>
      <c r="D87" s="9"/>
      <c r="E87" s="9"/>
      <c r="F87" s="9"/>
      <c r="G87" s="9"/>
      <c r="H87" s="9"/>
      <c r="I87" s="9"/>
      <c r="J87" s="9"/>
      <c r="K87" s="9"/>
      <c r="L87" s="9"/>
      <c r="M87" s="9"/>
      <c r="N87" s="9"/>
      <c r="O87" s="9"/>
      <c r="AG87" s="9"/>
      <c r="AH87" s="9"/>
      <c r="AI87" s="9"/>
      <c r="AJ87" s="9"/>
      <c r="AK87" s="9"/>
      <c r="AL87" s="9"/>
      <c r="AM87" s="9"/>
      <c r="AN87" s="9"/>
      <c r="AO87" s="9"/>
      <c r="AP87" s="9"/>
      <c r="AQ87" s="9"/>
      <c r="AR87" s="9"/>
      <c r="AS87" s="9"/>
      <c r="AT87" s="9"/>
      <c r="AU87" s="9"/>
      <c r="AV87" s="9"/>
      <c r="AW87" s="9"/>
      <c r="AX87" s="9"/>
      <c r="AY87" s="9"/>
      <c r="AZ87" s="9"/>
      <c r="BA87" s="9"/>
      <c r="BB87" s="9"/>
      <c r="BC87" s="9"/>
      <c r="BD87" s="9"/>
      <c r="BE87" s="9"/>
      <c r="BF87" s="9"/>
      <c r="BG87" s="9"/>
      <c r="BH87" s="9"/>
      <c r="BI87" s="9"/>
      <c r="BJ87" s="9"/>
      <c r="BK87" s="9"/>
      <c r="BL87" s="9"/>
      <c r="BM87" s="9"/>
      <c r="BN87" s="9"/>
      <c r="BO87" s="9"/>
      <c r="BP87" s="9"/>
      <c r="BQ87" s="9"/>
      <c r="BR87" s="9"/>
      <c r="BS87" s="9"/>
      <c r="BT87" s="9"/>
      <c r="BU87" s="9"/>
      <c r="BV87" s="9"/>
      <c r="BW87" s="9"/>
      <c r="BX87" s="9"/>
      <c r="BY87" s="9"/>
      <c r="BZ87" s="9"/>
      <c r="CA87" s="9"/>
      <c r="CB87" s="9"/>
      <c r="CC87" s="9"/>
      <c r="CD87" s="9"/>
      <c r="CE87" s="9"/>
      <c r="CF87" s="9"/>
      <c r="CG87" s="9"/>
      <c r="CH87" s="9"/>
      <c r="CI87" s="9"/>
      <c r="CJ87" s="9"/>
      <c r="CK87" s="9"/>
      <c r="CL87" s="9"/>
      <c r="CM87" s="9"/>
      <c r="CN87" s="9"/>
      <c r="CO87" s="9"/>
      <c r="CP87" s="9"/>
      <c r="CQ87" s="9"/>
      <c r="CR87" s="9"/>
      <c r="CS87" s="9"/>
      <c r="CT87" s="9"/>
      <c r="CU87" s="9"/>
      <c r="CV87" s="9"/>
      <c r="CW87" s="9"/>
      <c r="CX87" s="9"/>
      <c r="CY87" s="9"/>
      <c r="CZ87" s="9"/>
      <c r="DA87" s="9"/>
      <c r="DB87" s="9"/>
      <c r="DC87" s="9"/>
      <c r="DD87" s="9"/>
      <c r="DE87" s="9"/>
      <c r="DF87" s="9"/>
      <c r="DG87" s="9"/>
      <c r="DH87" s="9"/>
      <c r="DI87" s="9"/>
      <c r="DJ87" s="9"/>
      <c r="DK87" s="9"/>
      <c r="DL87" s="9"/>
      <c r="DM87" s="9"/>
      <c r="DN87" s="9"/>
      <c r="DO87" s="9"/>
      <c r="DP87" s="9"/>
      <c r="DQ87" s="9"/>
      <c r="DR87" s="9"/>
      <c r="DS87" s="9"/>
      <c r="DT87" s="9"/>
      <c r="DU87" s="9"/>
      <c r="DV87" s="9"/>
      <c r="DW87" s="9"/>
      <c r="DX87" s="9"/>
      <c r="DY87" s="9"/>
      <c r="DZ87" s="9"/>
      <c r="EA87" s="9"/>
      <c r="EB87" s="9"/>
      <c r="EC87" s="9"/>
      <c r="ED87" s="9"/>
      <c r="EE87" s="9"/>
      <c r="EF87" s="9"/>
      <c r="EG87" s="9"/>
      <c r="EH87" s="9"/>
      <c r="EI87" s="9"/>
      <c r="EJ87" s="9"/>
      <c r="EK87" s="9"/>
      <c r="EL87" s="9"/>
      <c r="EM87" s="9"/>
      <c r="EN87" s="9"/>
      <c r="EO87" s="9"/>
      <c r="EP87" s="9"/>
      <c r="EQ87" s="9"/>
      <c r="ER87" s="9"/>
      <c r="ES87" s="9"/>
      <c r="ET87" s="9"/>
      <c r="EU87" s="9"/>
      <c r="EV87" s="9"/>
      <c r="EW87" s="9"/>
      <c r="EX87" s="9"/>
      <c r="EY87" s="9"/>
      <c r="EZ87" s="9"/>
      <c r="FA87" s="9"/>
      <c r="FB87" s="9"/>
      <c r="FC87" s="9"/>
      <c r="FD87" s="9"/>
      <c r="FE87" s="9"/>
      <c r="FF87" s="9"/>
      <c r="FG87" s="9"/>
      <c r="FH87" s="9"/>
      <c r="FI87" s="9"/>
      <c r="FJ87" s="9"/>
      <c r="FK87" s="9"/>
      <c r="FL87" s="9"/>
      <c r="FM87" s="9"/>
      <c r="FN87" s="9"/>
      <c r="FO87" s="9"/>
      <c r="FP87" s="9"/>
      <c r="FQ87" s="9"/>
      <c r="FR87" s="9"/>
      <c r="FS87" s="9"/>
      <c r="FT87" s="9"/>
      <c r="FU87" s="9"/>
      <c r="FV87" s="9"/>
      <c r="FW87" s="9"/>
      <c r="FX87" s="9"/>
      <c r="FY87" s="9"/>
      <c r="FZ87" s="9"/>
      <c r="GA87" s="9"/>
      <c r="GB87" s="9"/>
      <c r="GC87" s="9"/>
      <c r="GD87" s="9"/>
      <c r="GE87" s="9"/>
      <c r="GF87" s="9"/>
      <c r="GG87" s="9"/>
      <c r="GH87" s="9"/>
      <c r="GI87" s="9"/>
      <c r="GJ87" s="9"/>
      <c r="GK87" s="9"/>
      <c r="GL87" s="9"/>
      <c r="GM87" s="9"/>
      <c r="GN87" s="9"/>
      <c r="GO87" s="9"/>
      <c r="GP87" s="9"/>
      <c r="GQ87" s="9"/>
      <c r="GR87" s="9"/>
      <c r="GS87" s="9"/>
      <c r="GT87" s="9"/>
      <c r="GU87" s="9"/>
      <c r="GV87" s="9"/>
      <c r="GW87" s="9"/>
      <c r="GX87" s="9"/>
      <c r="GY87" s="9"/>
      <c r="GZ87" s="9"/>
      <c r="HA87" s="9"/>
      <c r="HB87" s="9"/>
      <c r="HC87" s="9"/>
      <c r="HD87" s="9"/>
      <c r="HE87" s="9"/>
      <c r="HF87" s="9"/>
      <c r="HG87" s="9"/>
      <c r="HH87" s="9"/>
      <c r="HI87" s="9"/>
      <c r="HJ87" s="9"/>
      <c r="HK87" s="9"/>
      <c r="HL87" s="9"/>
      <c r="HM87" s="9"/>
      <c r="HN87" s="9"/>
      <c r="HO87" s="9"/>
      <c r="HP87" s="9"/>
      <c r="HQ87" s="9"/>
      <c r="HR87" s="9"/>
      <c r="HS87" s="9"/>
      <c r="HT87" s="9"/>
      <c r="HU87" s="9"/>
      <c r="HV87" s="9"/>
      <c r="HW87" s="9"/>
      <c r="HX87" s="9"/>
      <c r="HY87" s="9"/>
      <c r="HZ87" s="9"/>
      <c r="IA87" s="9"/>
      <c r="IB87" s="9"/>
      <c r="IC87" s="9"/>
      <c r="ID87" s="9"/>
      <c r="IE87" s="9"/>
      <c r="IF87" s="9"/>
      <c r="IG87" s="9"/>
      <c r="IH87" s="9"/>
      <c r="II87" s="9"/>
      <c r="IJ87" s="9"/>
      <c r="IK87" s="9"/>
      <c r="IL87" s="9"/>
      <c r="IM87" s="9"/>
      <c r="IN87" s="9"/>
      <c r="IO87" s="9"/>
      <c r="IP87" s="9"/>
      <c r="IQ87" s="9"/>
      <c r="IR87" s="9"/>
      <c r="IS87" s="9"/>
      <c r="IT87" s="9"/>
      <c r="IU87" s="9"/>
      <c r="IV87" s="9"/>
      <c r="IW87" s="9"/>
      <c r="IX87" s="9"/>
      <c r="IY87" s="9"/>
      <c r="IZ87" s="9"/>
      <c r="JA87" s="9"/>
      <c r="JB87" s="9"/>
      <c r="JC87" s="9"/>
      <c r="JD87" s="9"/>
      <c r="JE87" s="9"/>
      <c r="JF87" s="9"/>
      <c r="JG87" s="9"/>
      <c r="JH87" s="9"/>
      <c r="JI87" s="9"/>
      <c r="JJ87" s="9"/>
      <c r="JK87" s="9"/>
      <c r="JL87" s="9"/>
      <c r="JM87" s="9"/>
      <c r="JN87" s="9"/>
      <c r="JO87" s="9"/>
      <c r="JP87" s="9"/>
      <c r="JQ87" s="9"/>
      <c r="JR87" s="9"/>
      <c r="JS87" s="9"/>
      <c r="JT87" s="9"/>
      <c r="JU87" s="9"/>
      <c r="JV87" s="9"/>
      <c r="JW87" s="9"/>
      <c r="JX87" s="9"/>
      <c r="JY87" s="9"/>
      <c r="JZ87" s="9"/>
      <c r="KA87" s="9"/>
      <c r="KB87" s="9"/>
      <c r="KC87" s="9"/>
      <c r="KD87" s="9"/>
      <c r="KE87" s="9"/>
      <c r="KF87" s="9"/>
      <c r="KG87" s="9"/>
      <c r="KH87" s="9"/>
      <c r="KI87" s="9"/>
      <c r="KJ87" s="9"/>
      <c r="KK87" s="9"/>
      <c r="KL87" s="9"/>
      <c r="KM87" s="9"/>
      <c r="KN87" s="9"/>
      <c r="KO87" s="9"/>
      <c r="KP87" s="9"/>
      <c r="KQ87" s="9"/>
      <c r="KR87" s="9"/>
      <c r="KS87" s="9"/>
      <c r="KT87" s="9"/>
      <c r="KU87" s="9"/>
      <c r="KV87" s="9"/>
      <c r="KW87" s="9"/>
      <c r="KX87" s="9"/>
      <c r="KY87" s="9"/>
      <c r="KZ87" s="9"/>
      <c r="LA87" s="9"/>
      <c r="LB87" s="9"/>
      <c r="LC87" s="9"/>
      <c r="LD87" s="9"/>
      <c r="LE87" s="9"/>
      <c r="LF87" s="9"/>
      <c r="LG87" s="9"/>
      <c r="LH87" s="9"/>
      <c r="LI87" s="9"/>
      <c r="LJ87" s="9"/>
      <c r="LK87" s="9"/>
      <c r="LL87" s="9"/>
      <c r="LM87" s="9"/>
      <c r="LN87" s="9"/>
      <c r="LO87" s="9"/>
      <c r="LP87" s="9"/>
      <c r="LQ87" s="9"/>
      <c r="LR87" s="9"/>
      <c r="LS87" s="9"/>
      <c r="LT87" s="9"/>
      <c r="LU87" s="9"/>
      <c r="LV87" s="9"/>
      <c r="LW87" s="9"/>
      <c r="LX87" s="9"/>
      <c r="LY87" s="9"/>
      <c r="LZ87" s="9"/>
      <c r="MA87" s="9"/>
      <c r="MB87" s="9"/>
      <c r="MC87" s="9"/>
      <c r="MD87" s="9"/>
      <c r="ME87" s="9"/>
      <c r="MF87" s="9"/>
      <c r="MG87" s="9"/>
      <c r="MH87" s="9"/>
      <c r="MI87" s="9"/>
      <c r="MJ87" s="9"/>
      <c r="MK87" s="9"/>
    </row>
    <row r="88" spans="1:349" hidden="1" x14ac:dyDescent="0.25">
      <c r="A88" s="9"/>
      <c r="B88" s="9"/>
      <c r="C88" s="9"/>
      <c r="D88" s="9"/>
      <c r="E88" s="9"/>
      <c r="F88" s="9"/>
      <c r="G88" s="9"/>
      <c r="H88" s="9"/>
      <c r="I88" s="9"/>
      <c r="J88" s="9"/>
      <c r="K88" s="9"/>
      <c r="L88" s="9"/>
      <c r="M88" s="9"/>
      <c r="N88" s="9"/>
      <c r="O88" s="9"/>
      <c r="AG88" s="9"/>
      <c r="AH88" s="9"/>
      <c r="AI88" s="9"/>
      <c r="AJ88" s="9"/>
      <c r="AK88" s="9"/>
      <c r="AL88" s="9"/>
      <c r="AM88" s="9"/>
      <c r="AN88" s="9"/>
      <c r="AO88" s="9"/>
      <c r="AP88" s="9"/>
      <c r="AQ88" s="9"/>
      <c r="AR88" s="9"/>
      <c r="AS88" s="9"/>
      <c r="AT88" s="9"/>
      <c r="AU88" s="9"/>
      <c r="AV88" s="9"/>
      <c r="AW88" s="9"/>
      <c r="AX88" s="9"/>
      <c r="AY88" s="9"/>
      <c r="AZ88" s="9"/>
      <c r="BA88" s="9"/>
      <c r="BB88" s="9"/>
      <c r="BC88" s="9"/>
      <c r="BD88" s="9"/>
      <c r="BE88" s="9"/>
      <c r="BF88" s="9"/>
      <c r="BG88" s="9"/>
      <c r="BH88" s="9"/>
      <c r="BI88" s="9"/>
      <c r="BJ88" s="9"/>
      <c r="BK88" s="9"/>
      <c r="BL88" s="9"/>
      <c r="BM88" s="9"/>
      <c r="BN88" s="9"/>
      <c r="BO88" s="9"/>
      <c r="BP88" s="9"/>
      <c r="BQ88" s="9"/>
      <c r="BR88" s="9"/>
      <c r="BS88" s="9"/>
      <c r="BT88" s="9"/>
      <c r="BU88" s="9"/>
      <c r="BV88" s="9"/>
      <c r="BW88" s="9"/>
      <c r="BX88" s="9"/>
      <c r="BY88" s="9"/>
      <c r="BZ88" s="9"/>
      <c r="CA88" s="9"/>
      <c r="CB88" s="9"/>
      <c r="CC88" s="9"/>
      <c r="CD88" s="9"/>
      <c r="CE88" s="9"/>
      <c r="CF88" s="9"/>
      <c r="CG88" s="9"/>
      <c r="CH88" s="9"/>
      <c r="CI88" s="9"/>
      <c r="CJ88" s="9"/>
      <c r="CK88" s="9"/>
      <c r="CL88" s="9"/>
      <c r="CM88" s="9"/>
      <c r="CN88" s="9"/>
      <c r="CO88" s="9"/>
      <c r="CP88" s="9"/>
      <c r="CQ88" s="9"/>
      <c r="CR88" s="9"/>
      <c r="CS88" s="9"/>
      <c r="CT88" s="9"/>
      <c r="CU88" s="9"/>
      <c r="CV88" s="9"/>
      <c r="CW88" s="9"/>
      <c r="CX88" s="9"/>
      <c r="CY88" s="9"/>
      <c r="CZ88" s="9"/>
      <c r="DA88" s="9"/>
      <c r="DB88" s="9"/>
      <c r="DC88" s="9"/>
      <c r="DD88" s="9"/>
      <c r="DE88" s="9"/>
      <c r="DF88" s="9"/>
      <c r="DG88" s="9"/>
      <c r="DH88" s="9"/>
      <c r="DI88" s="9"/>
      <c r="DJ88" s="9"/>
      <c r="DK88" s="9"/>
      <c r="DL88" s="9"/>
      <c r="DM88" s="9"/>
      <c r="DN88" s="9"/>
      <c r="DO88" s="9"/>
      <c r="DP88" s="9"/>
      <c r="DQ88" s="9"/>
      <c r="DR88" s="9"/>
      <c r="DS88" s="9"/>
      <c r="DT88" s="9"/>
      <c r="DU88" s="9"/>
      <c r="DV88" s="9"/>
      <c r="DW88" s="9"/>
      <c r="DX88" s="9"/>
      <c r="DY88" s="9"/>
      <c r="DZ88" s="9"/>
      <c r="EA88" s="9"/>
      <c r="EB88" s="9"/>
      <c r="EC88" s="9"/>
      <c r="ED88" s="9"/>
      <c r="EE88" s="9"/>
      <c r="EF88" s="9"/>
      <c r="EG88" s="9"/>
      <c r="EH88" s="9"/>
      <c r="EI88" s="9"/>
      <c r="EJ88" s="9"/>
      <c r="EK88" s="9"/>
      <c r="EL88" s="9"/>
      <c r="EM88" s="9"/>
      <c r="EN88" s="9"/>
      <c r="EO88" s="9"/>
      <c r="EP88" s="9"/>
      <c r="EQ88" s="9"/>
      <c r="ER88" s="9"/>
      <c r="ES88" s="9"/>
      <c r="ET88" s="9"/>
      <c r="EU88" s="9"/>
      <c r="EV88" s="9"/>
      <c r="EW88" s="9"/>
      <c r="EX88" s="9"/>
      <c r="EY88" s="9"/>
      <c r="EZ88" s="9"/>
      <c r="FA88" s="9"/>
      <c r="FB88" s="9"/>
      <c r="FC88" s="9"/>
      <c r="FD88" s="9"/>
      <c r="FE88" s="9"/>
      <c r="FF88" s="9"/>
      <c r="FG88" s="9"/>
      <c r="FH88" s="9"/>
      <c r="FI88" s="9"/>
      <c r="FJ88" s="9"/>
      <c r="FK88" s="9"/>
      <c r="FL88" s="9"/>
      <c r="FM88" s="9"/>
      <c r="FN88" s="9"/>
      <c r="FO88" s="9"/>
      <c r="FP88" s="9"/>
      <c r="FQ88" s="9"/>
      <c r="FR88" s="9"/>
      <c r="FS88" s="9"/>
      <c r="FT88" s="9"/>
      <c r="FU88" s="9"/>
      <c r="FV88" s="9"/>
      <c r="FW88" s="9"/>
      <c r="FX88" s="9"/>
      <c r="FY88" s="9"/>
      <c r="FZ88" s="9"/>
      <c r="GA88" s="9"/>
      <c r="GB88" s="9"/>
      <c r="GC88" s="9"/>
      <c r="GD88" s="9"/>
      <c r="GE88" s="9"/>
      <c r="GF88" s="9"/>
      <c r="GG88" s="9"/>
      <c r="GH88" s="9"/>
      <c r="GI88" s="9"/>
      <c r="GJ88" s="9"/>
      <c r="GK88" s="9"/>
      <c r="GL88" s="9"/>
      <c r="GM88" s="9"/>
      <c r="GN88" s="9"/>
      <c r="GO88" s="9"/>
      <c r="GP88" s="9"/>
      <c r="GQ88" s="9"/>
      <c r="GR88" s="9"/>
      <c r="GS88" s="9"/>
      <c r="GT88" s="9"/>
      <c r="GU88" s="9"/>
      <c r="GV88" s="9"/>
      <c r="GW88" s="9"/>
      <c r="GX88" s="9"/>
      <c r="GY88" s="9"/>
      <c r="GZ88" s="9"/>
      <c r="HA88" s="9"/>
      <c r="HB88" s="9"/>
      <c r="HC88" s="9"/>
      <c r="HD88" s="9"/>
      <c r="HE88" s="9"/>
      <c r="HF88" s="9"/>
      <c r="HG88" s="9"/>
      <c r="HH88" s="9"/>
      <c r="HI88" s="9"/>
      <c r="HJ88" s="9"/>
      <c r="HK88" s="9"/>
      <c r="HL88" s="9"/>
      <c r="HM88" s="9"/>
      <c r="HN88" s="9"/>
      <c r="HO88" s="9"/>
      <c r="HP88" s="9"/>
      <c r="HQ88" s="9"/>
      <c r="HR88" s="9"/>
      <c r="HS88" s="9"/>
      <c r="HT88" s="9"/>
      <c r="HU88" s="9"/>
      <c r="HV88" s="9"/>
      <c r="HW88" s="9"/>
      <c r="HX88" s="9"/>
      <c r="HY88" s="9"/>
      <c r="HZ88" s="9"/>
      <c r="IA88" s="9"/>
      <c r="IB88" s="9"/>
      <c r="IC88" s="9"/>
      <c r="ID88" s="9"/>
      <c r="IE88" s="9"/>
      <c r="IF88" s="9"/>
      <c r="IG88" s="9"/>
      <c r="IH88" s="9"/>
      <c r="II88" s="9"/>
      <c r="IJ88" s="9"/>
      <c r="IK88" s="9"/>
      <c r="IL88" s="9"/>
      <c r="IM88" s="9"/>
      <c r="IN88" s="9"/>
      <c r="IO88" s="9"/>
      <c r="IP88" s="9"/>
      <c r="IQ88" s="9"/>
      <c r="IR88" s="9"/>
      <c r="IS88" s="9"/>
      <c r="IT88" s="9"/>
      <c r="IU88" s="9"/>
      <c r="IV88" s="9"/>
      <c r="IW88" s="9"/>
      <c r="IX88" s="9"/>
      <c r="IY88" s="9"/>
      <c r="IZ88" s="9"/>
      <c r="JA88" s="9"/>
      <c r="JB88" s="9"/>
      <c r="JC88" s="9"/>
      <c r="JD88" s="9"/>
      <c r="JE88" s="9"/>
      <c r="JF88" s="9"/>
      <c r="JG88" s="9"/>
      <c r="JH88" s="9"/>
      <c r="JI88" s="9"/>
      <c r="JJ88" s="9"/>
      <c r="JK88" s="9"/>
      <c r="JL88" s="9"/>
      <c r="JM88" s="9"/>
      <c r="JN88" s="9"/>
      <c r="JO88" s="9"/>
      <c r="JP88" s="9"/>
      <c r="JQ88" s="9"/>
      <c r="JR88" s="9"/>
      <c r="JS88" s="9"/>
      <c r="JT88" s="9"/>
      <c r="JU88" s="9"/>
      <c r="JV88" s="9"/>
      <c r="JW88" s="9"/>
      <c r="JX88" s="9"/>
      <c r="JY88" s="9"/>
      <c r="JZ88" s="9"/>
      <c r="KA88" s="9"/>
      <c r="KB88" s="9"/>
      <c r="KC88" s="9"/>
      <c r="KD88" s="9"/>
      <c r="KE88" s="9"/>
      <c r="KF88" s="9"/>
      <c r="KG88" s="9"/>
      <c r="KH88" s="9"/>
      <c r="KI88" s="9"/>
      <c r="KJ88" s="9"/>
      <c r="KK88" s="9"/>
      <c r="KL88" s="9"/>
      <c r="KM88" s="9"/>
      <c r="KN88" s="9"/>
      <c r="KO88" s="9"/>
      <c r="KP88" s="9"/>
      <c r="KQ88" s="9"/>
      <c r="KR88" s="9"/>
      <c r="KS88" s="9"/>
      <c r="KT88" s="9"/>
      <c r="KU88" s="9"/>
      <c r="KV88" s="9"/>
      <c r="KW88" s="9"/>
      <c r="KX88" s="9"/>
      <c r="KY88" s="9"/>
      <c r="KZ88" s="9"/>
      <c r="LA88" s="9"/>
      <c r="LB88" s="9"/>
      <c r="LC88" s="9"/>
      <c r="LD88" s="9"/>
      <c r="LE88" s="9"/>
      <c r="LF88" s="9"/>
      <c r="LG88" s="9"/>
      <c r="LH88" s="9"/>
      <c r="LI88" s="9"/>
      <c r="LJ88" s="9"/>
      <c r="LK88" s="9"/>
      <c r="LL88" s="9"/>
      <c r="LM88" s="9"/>
      <c r="LN88" s="9"/>
      <c r="LO88" s="9"/>
      <c r="LP88" s="9"/>
      <c r="LQ88" s="9"/>
      <c r="LR88" s="9"/>
      <c r="LS88" s="9"/>
      <c r="LT88" s="9"/>
      <c r="LU88" s="9"/>
      <c r="LV88" s="9"/>
      <c r="LW88" s="9"/>
      <c r="LX88" s="9"/>
      <c r="LY88" s="9"/>
      <c r="LZ88" s="9"/>
      <c r="MA88" s="9"/>
      <c r="MB88" s="9"/>
      <c r="MC88" s="9"/>
      <c r="MD88" s="9"/>
      <c r="ME88" s="9"/>
      <c r="MF88" s="9"/>
      <c r="MG88" s="9"/>
      <c r="MH88" s="9"/>
      <c r="MI88" s="9"/>
      <c r="MJ88" s="9"/>
      <c r="MK88" s="9"/>
    </row>
    <row r="89" spans="1:349" hidden="1" x14ac:dyDescent="0.25">
      <c r="A89" s="9"/>
      <c r="B89" s="9"/>
      <c r="C89" s="9"/>
      <c r="D89" s="9"/>
      <c r="E89" s="9"/>
      <c r="F89" s="9"/>
      <c r="G89" s="9"/>
      <c r="H89" s="9"/>
      <c r="I89" s="9"/>
      <c r="J89" s="9"/>
      <c r="K89" s="9"/>
      <c r="L89" s="9"/>
      <c r="M89" s="9"/>
      <c r="N89" s="9"/>
      <c r="O89" s="9"/>
      <c r="AG89" s="9"/>
      <c r="AH89" s="9"/>
      <c r="AI89" s="9"/>
      <c r="AJ89" s="9"/>
      <c r="AK89" s="9"/>
      <c r="AL89" s="9"/>
      <c r="AM89" s="9"/>
      <c r="AN89" s="9"/>
      <c r="AO89" s="9"/>
      <c r="AP89" s="9"/>
      <c r="AQ89" s="9"/>
      <c r="AR89" s="9"/>
      <c r="AS89" s="9"/>
      <c r="AT89" s="9"/>
      <c r="AU89" s="9"/>
      <c r="AV89" s="9"/>
      <c r="AW89" s="9"/>
      <c r="AX89" s="9"/>
      <c r="AY89" s="9"/>
      <c r="AZ89" s="9"/>
      <c r="BA89" s="9"/>
      <c r="BB89" s="9"/>
      <c r="BC89" s="9"/>
      <c r="BD89" s="9"/>
      <c r="BE89" s="9"/>
      <c r="BF89" s="9"/>
      <c r="BG89" s="9"/>
      <c r="BH89" s="9"/>
      <c r="BI89" s="9"/>
      <c r="BJ89" s="9"/>
      <c r="BK89" s="9"/>
      <c r="BL89" s="9"/>
      <c r="BM89" s="9"/>
      <c r="BN89" s="9"/>
      <c r="BO89" s="9"/>
      <c r="BP89" s="9"/>
      <c r="BQ89" s="9"/>
      <c r="BR89" s="9"/>
      <c r="BS89" s="9"/>
      <c r="BT89" s="9"/>
      <c r="BU89" s="9"/>
      <c r="BV89" s="9"/>
      <c r="BW89" s="9"/>
      <c r="BX89" s="9"/>
      <c r="BY89" s="9"/>
      <c r="BZ89" s="9"/>
      <c r="CA89" s="9"/>
      <c r="CB89" s="9"/>
      <c r="CC89" s="9"/>
      <c r="CD89" s="9"/>
      <c r="CE89" s="9"/>
      <c r="CF89" s="9"/>
      <c r="CG89" s="9"/>
      <c r="CH89" s="9"/>
      <c r="CI89" s="9"/>
      <c r="CJ89" s="9"/>
      <c r="CK89" s="9"/>
      <c r="CL89" s="9"/>
      <c r="CM89" s="9"/>
      <c r="CN89" s="9"/>
      <c r="CO89" s="9"/>
      <c r="CP89" s="9"/>
      <c r="CQ89" s="9"/>
      <c r="CR89" s="9"/>
      <c r="CS89" s="9"/>
      <c r="CT89" s="9"/>
      <c r="CU89" s="9"/>
      <c r="CV89" s="9"/>
      <c r="CW89" s="9"/>
      <c r="CX89" s="9"/>
      <c r="CY89" s="9"/>
      <c r="CZ89" s="9"/>
      <c r="DA89" s="9"/>
      <c r="DB89" s="9"/>
      <c r="DC89" s="9"/>
      <c r="DD89" s="9"/>
      <c r="DE89" s="9"/>
      <c r="DF89" s="9"/>
      <c r="DG89" s="9"/>
      <c r="DH89" s="9"/>
      <c r="DI89" s="9"/>
      <c r="DJ89" s="9"/>
      <c r="DK89" s="9"/>
      <c r="DL89" s="9"/>
      <c r="DM89" s="9"/>
      <c r="DN89" s="9"/>
      <c r="DO89" s="9"/>
      <c r="DP89" s="9"/>
      <c r="DQ89" s="9"/>
      <c r="DR89" s="9"/>
      <c r="DS89" s="9"/>
      <c r="DT89" s="9"/>
      <c r="DU89" s="9"/>
      <c r="DV89" s="9"/>
      <c r="DW89" s="9"/>
      <c r="DX89" s="9"/>
      <c r="DY89" s="9"/>
      <c r="DZ89" s="9"/>
      <c r="EA89" s="9"/>
      <c r="EB89" s="9"/>
      <c r="EC89" s="9"/>
      <c r="ED89" s="9"/>
      <c r="EE89" s="9"/>
      <c r="EF89" s="9"/>
      <c r="EG89" s="9"/>
      <c r="EH89" s="9"/>
      <c r="EI89" s="9"/>
      <c r="EJ89" s="9"/>
      <c r="EK89" s="9"/>
      <c r="EL89" s="9"/>
      <c r="EM89" s="9"/>
      <c r="EN89" s="9"/>
      <c r="EO89" s="9"/>
      <c r="EP89" s="9"/>
      <c r="EQ89" s="9"/>
      <c r="ER89" s="9"/>
      <c r="ES89" s="9"/>
      <c r="ET89" s="9"/>
      <c r="EU89" s="9"/>
      <c r="EV89" s="9"/>
      <c r="EW89" s="9"/>
      <c r="EX89" s="9"/>
      <c r="EY89" s="9"/>
      <c r="EZ89" s="9"/>
      <c r="FA89" s="9"/>
      <c r="FB89" s="9"/>
      <c r="FC89" s="9"/>
      <c r="FD89" s="9"/>
      <c r="FE89" s="9"/>
      <c r="FF89" s="9"/>
      <c r="FG89" s="9"/>
      <c r="FH89" s="9"/>
      <c r="FI89" s="9"/>
      <c r="FJ89" s="9"/>
      <c r="FK89" s="9"/>
      <c r="FL89" s="9"/>
      <c r="FM89" s="9"/>
      <c r="FN89" s="9"/>
      <c r="FO89" s="9"/>
      <c r="FP89" s="9"/>
      <c r="FQ89" s="9"/>
      <c r="FR89" s="9"/>
      <c r="FS89" s="9"/>
      <c r="FT89" s="9"/>
      <c r="FU89" s="9"/>
      <c r="FV89" s="9"/>
      <c r="FW89" s="9"/>
      <c r="FX89" s="9"/>
      <c r="FY89" s="9"/>
      <c r="FZ89" s="9"/>
      <c r="GA89" s="9"/>
      <c r="GB89" s="9"/>
      <c r="GC89" s="9"/>
      <c r="GD89" s="9"/>
      <c r="GE89" s="9"/>
      <c r="GF89" s="9"/>
      <c r="GG89" s="9"/>
      <c r="GH89" s="9"/>
      <c r="GI89" s="9"/>
      <c r="GJ89" s="9"/>
      <c r="GK89" s="9"/>
      <c r="GL89" s="9"/>
      <c r="GM89" s="9"/>
      <c r="GN89" s="9"/>
      <c r="GO89" s="9"/>
      <c r="GP89" s="9"/>
      <c r="GQ89" s="9"/>
      <c r="GR89" s="9"/>
      <c r="GS89" s="9"/>
      <c r="GT89" s="9"/>
      <c r="GU89" s="9"/>
      <c r="GV89" s="9"/>
      <c r="GW89" s="9"/>
      <c r="GX89" s="9"/>
      <c r="GY89" s="9"/>
      <c r="GZ89" s="9"/>
      <c r="HA89" s="9"/>
      <c r="HB89" s="9"/>
      <c r="HC89" s="9"/>
      <c r="HD89" s="9"/>
      <c r="HE89" s="9"/>
      <c r="HF89" s="9"/>
      <c r="HG89" s="9"/>
      <c r="HH89" s="9"/>
      <c r="HI89" s="9"/>
      <c r="HJ89" s="9"/>
      <c r="HK89" s="9"/>
      <c r="HL89" s="9"/>
      <c r="HM89" s="9"/>
      <c r="HN89" s="9"/>
      <c r="HO89" s="9"/>
      <c r="HP89" s="9"/>
      <c r="HQ89" s="9"/>
      <c r="HR89" s="9"/>
      <c r="HS89" s="9"/>
      <c r="HT89" s="9"/>
      <c r="HU89" s="9"/>
      <c r="HV89" s="9"/>
      <c r="HW89" s="9"/>
      <c r="HX89" s="9"/>
      <c r="HY89" s="9"/>
      <c r="HZ89" s="9"/>
      <c r="IA89" s="9"/>
      <c r="IB89" s="9"/>
      <c r="IC89" s="9"/>
      <c r="ID89" s="9"/>
      <c r="IE89" s="9"/>
      <c r="IF89" s="9"/>
      <c r="IG89" s="9"/>
      <c r="IH89" s="9"/>
      <c r="II89" s="9"/>
      <c r="IJ89" s="9"/>
      <c r="IK89" s="9"/>
      <c r="IL89" s="9"/>
      <c r="IM89" s="9"/>
      <c r="IN89" s="9"/>
      <c r="IO89" s="9"/>
      <c r="IP89" s="9"/>
      <c r="IQ89" s="9"/>
      <c r="IR89" s="9"/>
      <c r="IS89" s="9"/>
      <c r="IT89" s="9"/>
      <c r="IU89" s="9"/>
      <c r="IV89" s="9"/>
      <c r="IW89" s="9"/>
      <c r="IX89" s="9"/>
      <c r="IY89" s="9"/>
      <c r="IZ89" s="9"/>
      <c r="JA89" s="9"/>
      <c r="JB89" s="9"/>
      <c r="JC89" s="9"/>
      <c r="JD89" s="9"/>
      <c r="JE89" s="9"/>
      <c r="JF89" s="9"/>
      <c r="JG89" s="9"/>
      <c r="JH89" s="9"/>
      <c r="JI89" s="9"/>
      <c r="JJ89" s="9"/>
      <c r="JK89" s="9"/>
      <c r="JL89" s="9"/>
      <c r="JM89" s="9"/>
      <c r="JN89" s="9"/>
      <c r="JO89" s="9"/>
      <c r="JP89" s="9"/>
      <c r="JQ89" s="9"/>
      <c r="JR89" s="9"/>
      <c r="JS89" s="9"/>
      <c r="JT89" s="9"/>
      <c r="JU89" s="9"/>
      <c r="JV89" s="9"/>
      <c r="JW89" s="9"/>
      <c r="JX89" s="9"/>
      <c r="JY89" s="9"/>
      <c r="JZ89" s="9"/>
      <c r="KA89" s="9"/>
      <c r="KB89" s="9"/>
      <c r="KC89" s="9"/>
      <c r="KD89" s="9"/>
      <c r="KE89" s="9"/>
      <c r="KF89" s="9"/>
      <c r="KG89" s="9"/>
      <c r="KH89" s="9"/>
      <c r="KI89" s="9"/>
      <c r="KJ89" s="9"/>
      <c r="KK89" s="9"/>
      <c r="KL89" s="9"/>
      <c r="KM89" s="9"/>
      <c r="KN89" s="9"/>
      <c r="KO89" s="9"/>
      <c r="KP89" s="9"/>
      <c r="KQ89" s="9"/>
      <c r="KR89" s="9"/>
      <c r="KS89" s="9"/>
      <c r="KT89" s="9"/>
      <c r="KU89" s="9"/>
      <c r="KV89" s="9"/>
      <c r="KW89" s="9"/>
      <c r="KX89" s="9"/>
      <c r="KY89" s="9"/>
      <c r="KZ89" s="9"/>
      <c r="LA89" s="9"/>
      <c r="LB89" s="9"/>
      <c r="LC89" s="9"/>
      <c r="LD89" s="9"/>
      <c r="LE89" s="9"/>
      <c r="LF89" s="9"/>
      <c r="LG89" s="9"/>
      <c r="LH89" s="9"/>
      <c r="LI89" s="9"/>
      <c r="LJ89" s="9"/>
      <c r="LK89" s="9"/>
      <c r="LL89" s="9"/>
      <c r="LM89" s="9"/>
      <c r="LN89" s="9"/>
      <c r="LO89" s="9"/>
      <c r="LP89" s="9"/>
      <c r="LQ89" s="9"/>
      <c r="LR89" s="9"/>
      <c r="LS89" s="9"/>
      <c r="LT89" s="9"/>
      <c r="LU89" s="9"/>
      <c r="LV89" s="9"/>
      <c r="LW89" s="9"/>
      <c r="LX89" s="9"/>
      <c r="LY89" s="9"/>
      <c r="LZ89" s="9"/>
      <c r="MA89" s="9"/>
      <c r="MB89" s="9"/>
      <c r="MC89" s="9"/>
      <c r="MD89" s="9"/>
      <c r="ME89" s="9"/>
      <c r="MF89" s="9"/>
      <c r="MG89" s="9"/>
      <c r="MH89" s="9"/>
      <c r="MI89" s="9"/>
      <c r="MJ89" s="9"/>
      <c r="MK89" s="9"/>
    </row>
    <row r="90" spans="1:349" hidden="1" x14ac:dyDescent="0.25">
      <c r="A90" s="9"/>
      <c r="B90" s="9"/>
      <c r="C90" s="9"/>
      <c r="D90" s="9"/>
      <c r="E90" s="9"/>
      <c r="F90" s="9"/>
      <c r="G90" s="9"/>
      <c r="H90" s="9"/>
      <c r="I90" s="9"/>
      <c r="J90" s="9"/>
      <c r="K90" s="9"/>
      <c r="L90" s="9"/>
      <c r="M90" s="9"/>
      <c r="N90" s="9"/>
      <c r="O90" s="9"/>
      <c r="AG90" s="9"/>
      <c r="AH90" s="9"/>
      <c r="AI90" s="9"/>
      <c r="AJ90" s="9"/>
      <c r="AK90" s="9"/>
      <c r="AL90" s="9"/>
      <c r="AM90" s="9"/>
      <c r="AN90" s="9"/>
      <c r="AO90" s="9"/>
      <c r="AP90" s="9"/>
      <c r="AQ90" s="9"/>
      <c r="AR90" s="9"/>
      <c r="AS90" s="9"/>
      <c r="AT90" s="9"/>
      <c r="AU90" s="9"/>
      <c r="AV90" s="9"/>
      <c r="AW90" s="9"/>
      <c r="AX90" s="9"/>
      <c r="AY90" s="9"/>
      <c r="AZ90" s="9"/>
      <c r="BA90" s="9"/>
      <c r="BB90" s="9"/>
      <c r="BC90" s="9"/>
      <c r="BD90" s="9"/>
      <c r="BE90" s="9"/>
      <c r="BF90" s="9"/>
      <c r="BG90" s="9"/>
      <c r="BH90" s="9"/>
      <c r="BI90" s="9"/>
      <c r="BJ90" s="9"/>
      <c r="BK90" s="9"/>
      <c r="BL90" s="9"/>
      <c r="BM90" s="9"/>
      <c r="BN90" s="9"/>
      <c r="BO90" s="9"/>
      <c r="BP90" s="9"/>
      <c r="BQ90" s="9"/>
      <c r="BR90" s="9"/>
      <c r="BS90" s="9"/>
      <c r="BT90" s="9"/>
      <c r="BU90" s="9"/>
      <c r="BV90" s="9"/>
      <c r="BW90" s="9"/>
      <c r="BX90" s="9"/>
      <c r="BY90" s="9"/>
      <c r="BZ90" s="9"/>
      <c r="CA90" s="9"/>
      <c r="CB90" s="9"/>
      <c r="CC90" s="9"/>
      <c r="CD90" s="9"/>
      <c r="CE90" s="9"/>
      <c r="CF90" s="9"/>
      <c r="CG90" s="9"/>
      <c r="CH90" s="9"/>
      <c r="CI90" s="9"/>
      <c r="CJ90" s="9"/>
      <c r="CK90" s="9"/>
      <c r="CL90" s="9"/>
      <c r="CM90" s="9"/>
      <c r="CN90" s="9"/>
      <c r="CO90" s="9"/>
      <c r="CP90" s="9"/>
      <c r="CQ90" s="9"/>
      <c r="CR90" s="9"/>
      <c r="CS90" s="9"/>
      <c r="CT90" s="9"/>
      <c r="CU90" s="9"/>
      <c r="CV90" s="9"/>
      <c r="CW90" s="9"/>
      <c r="CX90" s="9"/>
      <c r="CY90" s="9"/>
      <c r="CZ90" s="9"/>
      <c r="DA90" s="9"/>
      <c r="DB90" s="9"/>
      <c r="DC90" s="9"/>
      <c r="DD90" s="9"/>
      <c r="DE90" s="9"/>
      <c r="DF90" s="9"/>
      <c r="DG90" s="9"/>
      <c r="DH90" s="9"/>
      <c r="DI90" s="9"/>
      <c r="DJ90" s="9"/>
      <c r="DK90" s="9"/>
      <c r="DL90" s="9"/>
      <c r="DM90" s="9"/>
      <c r="DN90" s="9"/>
      <c r="DO90" s="9"/>
      <c r="DP90" s="9"/>
      <c r="DQ90" s="9"/>
      <c r="DR90" s="9"/>
      <c r="DS90" s="9"/>
      <c r="DT90" s="9"/>
      <c r="DU90" s="9"/>
      <c r="DV90" s="9"/>
      <c r="DW90" s="9"/>
      <c r="DX90" s="9"/>
      <c r="DY90" s="9"/>
      <c r="DZ90" s="9"/>
      <c r="EA90" s="9"/>
      <c r="EB90" s="9"/>
      <c r="EC90" s="9"/>
      <c r="ED90" s="9"/>
      <c r="EE90" s="9"/>
      <c r="EF90" s="9"/>
      <c r="EG90" s="9"/>
      <c r="EH90" s="9"/>
      <c r="EI90" s="9"/>
      <c r="EJ90" s="9"/>
      <c r="EK90" s="9"/>
      <c r="EL90" s="9"/>
      <c r="EM90" s="9"/>
      <c r="EN90" s="9"/>
      <c r="EO90" s="9"/>
      <c r="EP90" s="9"/>
      <c r="EQ90" s="9"/>
      <c r="ER90" s="9"/>
      <c r="ES90" s="9"/>
      <c r="ET90" s="9"/>
      <c r="EU90" s="9"/>
      <c r="EV90" s="9"/>
      <c r="EW90" s="9"/>
      <c r="EX90" s="9"/>
      <c r="EY90" s="9"/>
      <c r="EZ90" s="9"/>
      <c r="FA90" s="9"/>
      <c r="FB90" s="9"/>
      <c r="FC90" s="9"/>
      <c r="FD90" s="9"/>
      <c r="FE90" s="9"/>
      <c r="FF90" s="9"/>
      <c r="FG90" s="9"/>
      <c r="FH90" s="9"/>
      <c r="FI90" s="9"/>
      <c r="FJ90" s="9"/>
      <c r="FK90" s="9"/>
      <c r="FL90" s="9"/>
      <c r="FM90" s="9"/>
      <c r="FN90" s="9"/>
      <c r="FO90" s="9"/>
      <c r="FP90" s="9"/>
      <c r="FQ90" s="9"/>
      <c r="FR90" s="9"/>
      <c r="FS90" s="9"/>
      <c r="FT90" s="9"/>
      <c r="FU90" s="9"/>
      <c r="FV90" s="9"/>
      <c r="FW90" s="9"/>
      <c r="FX90" s="9"/>
      <c r="FY90" s="9"/>
      <c r="FZ90" s="9"/>
      <c r="GA90" s="9"/>
      <c r="GB90" s="9"/>
      <c r="GC90" s="9"/>
      <c r="GD90" s="9"/>
      <c r="GE90" s="9"/>
      <c r="GF90" s="9"/>
      <c r="GG90" s="9"/>
      <c r="GH90" s="9"/>
      <c r="GI90" s="9"/>
      <c r="GJ90" s="9"/>
      <c r="GK90" s="9"/>
      <c r="GL90" s="9"/>
      <c r="GM90" s="9"/>
      <c r="GN90" s="9"/>
      <c r="GO90" s="9"/>
      <c r="GP90" s="9"/>
      <c r="GQ90" s="9"/>
      <c r="GR90" s="9"/>
      <c r="GS90" s="9"/>
      <c r="GT90" s="9"/>
      <c r="GU90" s="9"/>
      <c r="GV90" s="9"/>
      <c r="GW90" s="9"/>
      <c r="GX90" s="9"/>
      <c r="GY90" s="9"/>
      <c r="GZ90" s="9"/>
      <c r="HA90" s="9"/>
      <c r="HB90" s="9"/>
      <c r="HC90" s="9"/>
      <c r="HD90" s="9"/>
      <c r="HE90" s="9"/>
      <c r="HF90" s="9"/>
      <c r="HG90" s="9"/>
      <c r="HH90" s="9"/>
      <c r="HI90" s="9"/>
      <c r="HJ90" s="9"/>
      <c r="HK90" s="9"/>
      <c r="HL90" s="9"/>
      <c r="HM90" s="9"/>
      <c r="HN90" s="9"/>
      <c r="HO90" s="9"/>
      <c r="HP90" s="9"/>
      <c r="HQ90" s="9"/>
      <c r="HR90" s="9"/>
      <c r="HS90" s="9"/>
      <c r="HT90" s="9"/>
      <c r="HU90" s="9"/>
      <c r="HV90" s="9"/>
      <c r="HW90" s="9"/>
      <c r="HX90" s="9"/>
      <c r="HY90" s="9"/>
      <c r="HZ90" s="9"/>
      <c r="IA90" s="9"/>
      <c r="IB90" s="9"/>
      <c r="IC90" s="9"/>
      <c r="ID90" s="9"/>
      <c r="IE90" s="9"/>
      <c r="IF90" s="9"/>
      <c r="IG90" s="9"/>
      <c r="IH90" s="9"/>
      <c r="II90" s="9"/>
      <c r="IJ90" s="9"/>
      <c r="IK90" s="9"/>
      <c r="IL90" s="9"/>
      <c r="IM90" s="9"/>
      <c r="IN90" s="9"/>
      <c r="IO90" s="9"/>
      <c r="IP90" s="9"/>
      <c r="IQ90" s="9"/>
      <c r="IR90" s="9"/>
      <c r="IS90" s="9"/>
      <c r="IT90" s="9"/>
      <c r="IU90" s="9"/>
      <c r="IV90" s="9"/>
      <c r="IW90" s="9"/>
      <c r="IX90" s="9"/>
      <c r="IY90" s="9"/>
      <c r="IZ90" s="9"/>
      <c r="JA90" s="9"/>
      <c r="JB90" s="9"/>
      <c r="JC90" s="9"/>
      <c r="JD90" s="9"/>
      <c r="JE90" s="9"/>
      <c r="JF90" s="9"/>
      <c r="JG90" s="9"/>
      <c r="JH90" s="9"/>
      <c r="JI90" s="9"/>
      <c r="JJ90" s="9"/>
      <c r="JK90" s="9"/>
      <c r="JL90" s="9"/>
      <c r="JM90" s="9"/>
      <c r="JN90" s="9"/>
      <c r="JO90" s="9"/>
      <c r="JP90" s="9"/>
      <c r="JQ90" s="9"/>
      <c r="JR90" s="9"/>
      <c r="JS90" s="9"/>
      <c r="JT90" s="9"/>
      <c r="JU90" s="9"/>
      <c r="JV90" s="9"/>
      <c r="JW90" s="9"/>
      <c r="JX90" s="9"/>
      <c r="JY90" s="9"/>
      <c r="JZ90" s="9"/>
      <c r="KA90" s="9"/>
      <c r="KB90" s="9"/>
      <c r="KC90" s="9"/>
      <c r="KD90" s="9"/>
      <c r="KE90" s="9"/>
      <c r="KF90" s="9"/>
      <c r="KG90" s="9"/>
      <c r="KH90" s="9"/>
      <c r="KI90" s="9"/>
      <c r="KJ90" s="9"/>
      <c r="KK90" s="9"/>
      <c r="KL90" s="9"/>
      <c r="KM90" s="9"/>
      <c r="KN90" s="9"/>
      <c r="KO90" s="9"/>
      <c r="KP90" s="9"/>
      <c r="KQ90" s="9"/>
      <c r="KR90" s="9"/>
      <c r="KS90" s="9"/>
      <c r="KT90" s="9"/>
      <c r="KU90" s="9"/>
      <c r="KV90" s="9"/>
      <c r="KW90" s="9"/>
      <c r="KX90" s="9"/>
      <c r="KY90" s="9"/>
      <c r="KZ90" s="9"/>
      <c r="LA90" s="9"/>
      <c r="LB90" s="9"/>
      <c r="LC90" s="9"/>
      <c r="LD90" s="9"/>
      <c r="LE90" s="9"/>
      <c r="LF90" s="9"/>
      <c r="LG90" s="9"/>
      <c r="LH90" s="9"/>
      <c r="LI90" s="9"/>
      <c r="LJ90" s="9"/>
      <c r="LK90" s="9"/>
      <c r="LL90" s="9"/>
      <c r="LM90" s="9"/>
      <c r="LN90" s="9"/>
      <c r="LO90" s="9"/>
      <c r="LP90" s="9"/>
      <c r="LQ90" s="9"/>
      <c r="LR90" s="9"/>
      <c r="LS90" s="9"/>
      <c r="LT90" s="9"/>
      <c r="LU90" s="9"/>
      <c r="LV90" s="9"/>
      <c r="LW90" s="9"/>
      <c r="LX90" s="9"/>
      <c r="LY90" s="9"/>
      <c r="LZ90" s="9"/>
      <c r="MA90" s="9"/>
      <c r="MB90" s="9"/>
      <c r="MC90" s="9"/>
      <c r="MD90" s="9"/>
      <c r="ME90" s="9"/>
      <c r="MF90" s="9"/>
      <c r="MG90" s="9"/>
      <c r="MH90" s="9"/>
      <c r="MI90" s="9"/>
      <c r="MJ90" s="9"/>
      <c r="MK90" s="9"/>
    </row>
    <row r="91" spans="1:349" hidden="1" x14ac:dyDescent="0.25">
      <c r="A91" s="9"/>
      <c r="B91" s="9"/>
      <c r="C91" s="9"/>
      <c r="D91" s="9"/>
      <c r="E91" s="9"/>
      <c r="F91" s="9"/>
      <c r="G91" s="9"/>
      <c r="H91" s="9"/>
      <c r="I91" s="9"/>
      <c r="J91" s="9"/>
      <c r="K91" s="9"/>
      <c r="L91" s="9"/>
      <c r="M91" s="9"/>
      <c r="N91" s="9"/>
      <c r="O91" s="9"/>
      <c r="AG91" s="9"/>
      <c r="AH91" s="9"/>
      <c r="AI91" s="9"/>
      <c r="AJ91" s="9"/>
      <c r="AK91" s="9"/>
      <c r="AL91" s="9"/>
      <c r="AM91" s="9"/>
      <c r="AN91" s="9"/>
      <c r="AO91" s="9"/>
      <c r="AP91" s="9"/>
      <c r="AQ91" s="9"/>
      <c r="AR91" s="9"/>
      <c r="AS91" s="9"/>
      <c r="AT91" s="9"/>
      <c r="AU91" s="9"/>
      <c r="AV91" s="9"/>
      <c r="AW91" s="9"/>
      <c r="AX91" s="9"/>
      <c r="AY91" s="9"/>
      <c r="AZ91" s="9"/>
      <c r="BA91" s="9"/>
      <c r="BB91" s="9"/>
      <c r="BC91" s="9"/>
      <c r="BD91" s="9"/>
      <c r="BE91" s="9"/>
      <c r="BF91" s="9"/>
      <c r="BG91" s="9"/>
      <c r="BH91" s="9"/>
      <c r="BI91" s="9"/>
      <c r="BJ91" s="9"/>
      <c r="BK91" s="9"/>
      <c r="BL91" s="9"/>
      <c r="BM91" s="9"/>
      <c r="BN91" s="9"/>
      <c r="BO91" s="9"/>
      <c r="BP91" s="9"/>
      <c r="BQ91" s="9"/>
      <c r="BR91" s="9"/>
      <c r="BS91" s="9"/>
      <c r="BT91" s="9"/>
      <c r="BU91" s="9"/>
      <c r="BV91" s="9"/>
      <c r="BW91" s="9"/>
      <c r="BX91" s="9"/>
      <c r="BY91" s="9"/>
      <c r="BZ91" s="9"/>
      <c r="CA91" s="9"/>
      <c r="CB91" s="9"/>
      <c r="CC91" s="9"/>
      <c r="CD91" s="9"/>
      <c r="CE91" s="9"/>
      <c r="CF91" s="9"/>
      <c r="CG91" s="9"/>
      <c r="CH91" s="9"/>
      <c r="CI91" s="9"/>
      <c r="CJ91" s="9"/>
      <c r="CK91" s="9"/>
      <c r="CL91" s="9"/>
      <c r="CM91" s="9"/>
      <c r="CN91" s="9"/>
      <c r="CO91" s="9"/>
      <c r="CP91" s="9"/>
      <c r="CQ91" s="9"/>
      <c r="CR91" s="9"/>
      <c r="CS91" s="9"/>
      <c r="CT91" s="9"/>
      <c r="CU91" s="9"/>
      <c r="CV91" s="9"/>
      <c r="CW91" s="9"/>
      <c r="CX91" s="9"/>
      <c r="CY91" s="9"/>
      <c r="CZ91" s="9"/>
      <c r="DA91" s="9"/>
      <c r="DB91" s="9"/>
      <c r="DC91" s="9"/>
      <c r="DD91" s="9"/>
      <c r="DE91" s="9"/>
      <c r="DF91" s="9"/>
      <c r="DG91" s="9"/>
      <c r="DH91" s="9"/>
      <c r="DI91" s="9"/>
      <c r="DJ91" s="9"/>
      <c r="DK91" s="9"/>
      <c r="DL91" s="9"/>
      <c r="DM91" s="9"/>
      <c r="DN91" s="9"/>
      <c r="DO91" s="9"/>
      <c r="DP91" s="9"/>
      <c r="DQ91" s="9"/>
      <c r="DR91" s="9"/>
      <c r="DS91" s="9"/>
      <c r="DT91" s="9"/>
      <c r="DU91" s="9"/>
      <c r="DV91" s="9"/>
      <c r="DW91" s="9"/>
      <c r="DX91" s="9"/>
      <c r="DY91" s="9"/>
      <c r="DZ91" s="9"/>
      <c r="EA91" s="9"/>
      <c r="EB91" s="9"/>
      <c r="EC91" s="9"/>
      <c r="ED91" s="9"/>
      <c r="EE91" s="9"/>
      <c r="EF91" s="9"/>
      <c r="EG91" s="9"/>
      <c r="EH91" s="9"/>
      <c r="EI91" s="9"/>
      <c r="EJ91" s="9"/>
      <c r="EK91" s="9"/>
      <c r="EL91" s="9"/>
      <c r="EM91" s="9"/>
      <c r="EN91" s="9"/>
      <c r="EO91" s="9"/>
      <c r="EP91" s="9"/>
      <c r="EQ91" s="9"/>
      <c r="ER91" s="9"/>
      <c r="ES91" s="9"/>
      <c r="ET91" s="9"/>
      <c r="EU91" s="9"/>
      <c r="EV91" s="9"/>
      <c r="EW91" s="9"/>
      <c r="EX91" s="9"/>
      <c r="EY91" s="9"/>
      <c r="EZ91" s="9"/>
      <c r="FA91" s="9"/>
      <c r="FB91" s="9"/>
      <c r="FC91" s="9"/>
      <c r="FD91" s="9"/>
      <c r="FE91" s="9"/>
      <c r="FF91" s="9"/>
      <c r="FG91" s="9"/>
      <c r="FH91" s="9"/>
      <c r="FI91" s="9"/>
      <c r="FJ91" s="9"/>
      <c r="FK91" s="9"/>
      <c r="FL91" s="9"/>
      <c r="FM91" s="9"/>
      <c r="FN91" s="9"/>
      <c r="FO91" s="9"/>
      <c r="FP91" s="9"/>
      <c r="FQ91" s="9"/>
      <c r="FR91" s="9"/>
      <c r="FS91" s="9"/>
      <c r="FT91" s="9"/>
      <c r="FU91" s="9"/>
      <c r="FV91" s="9"/>
      <c r="FW91" s="9"/>
      <c r="FX91" s="9"/>
      <c r="FY91" s="9"/>
      <c r="FZ91" s="9"/>
      <c r="GA91" s="9"/>
      <c r="GB91" s="9"/>
      <c r="GC91" s="9"/>
      <c r="GD91" s="9"/>
      <c r="GE91" s="9"/>
      <c r="GF91" s="9"/>
      <c r="GG91" s="9"/>
      <c r="GH91" s="9"/>
      <c r="GI91" s="9"/>
      <c r="GJ91" s="9"/>
      <c r="GK91" s="9"/>
      <c r="GL91" s="9"/>
      <c r="GM91" s="9"/>
      <c r="GN91" s="9"/>
      <c r="GO91" s="9"/>
      <c r="GP91" s="9"/>
      <c r="GQ91" s="9"/>
      <c r="GR91" s="9"/>
      <c r="GS91" s="9"/>
      <c r="GT91" s="9"/>
      <c r="GU91" s="9"/>
      <c r="GV91" s="9"/>
      <c r="GW91" s="9"/>
      <c r="GX91" s="9"/>
      <c r="GY91" s="9"/>
      <c r="GZ91" s="9"/>
      <c r="HA91" s="9"/>
      <c r="HB91" s="9"/>
      <c r="HC91" s="9"/>
      <c r="HD91" s="9"/>
      <c r="HE91" s="9"/>
      <c r="HF91" s="9"/>
      <c r="HG91" s="9"/>
      <c r="HH91" s="9"/>
      <c r="HI91" s="9"/>
      <c r="HJ91" s="9"/>
      <c r="HK91" s="9"/>
      <c r="HL91" s="9"/>
      <c r="HM91" s="9"/>
      <c r="HN91" s="9"/>
      <c r="HO91" s="9"/>
      <c r="HP91" s="9"/>
      <c r="HQ91" s="9"/>
      <c r="HR91" s="9"/>
      <c r="HS91" s="9"/>
      <c r="HT91" s="9"/>
      <c r="HU91" s="9"/>
      <c r="HV91" s="9"/>
      <c r="HW91" s="9"/>
      <c r="HX91" s="9"/>
      <c r="HY91" s="9"/>
      <c r="HZ91" s="9"/>
      <c r="IA91" s="9"/>
      <c r="IB91" s="9"/>
      <c r="IC91" s="9"/>
      <c r="ID91" s="9"/>
      <c r="IE91" s="9"/>
      <c r="IF91" s="9"/>
      <c r="IG91" s="9"/>
      <c r="IH91" s="9"/>
      <c r="II91" s="9"/>
      <c r="IJ91" s="9"/>
      <c r="IK91" s="9"/>
      <c r="IL91" s="9"/>
      <c r="IM91" s="9"/>
      <c r="IN91" s="9"/>
      <c r="IO91" s="9"/>
      <c r="IP91" s="9"/>
      <c r="IQ91" s="9"/>
      <c r="IR91" s="9"/>
      <c r="IS91" s="9"/>
      <c r="IT91" s="9"/>
      <c r="IU91" s="9"/>
      <c r="IV91" s="9"/>
      <c r="IW91" s="9"/>
      <c r="IX91" s="9"/>
      <c r="IY91" s="9"/>
      <c r="IZ91" s="9"/>
      <c r="JA91" s="9"/>
      <c r="JB91" s="9"/>
      <c r="JC91" s="9"/>
      <c r="JD91" s="9"/>
      <c r="JE91" s="9"/>
      <c r="JF91" s="9"/>
      <c r="JG91" s="9"/>
      <c r="JH91" s="9"/>
      <c r="JI91" s="9"/>
      <c r="JJ91" s="9"/>
      <c r="JK91" s="9"/>
      <c r="JL91" s="9"/>
      <c r="JM91" s="9"/>
      <c r="JN91" s="9"/>
      <c r="JO91" s="9"/>
      <c r="JP91" s="9"/>
      <c r="JQ91" s="9"/>
      <c r="JR91" s="9"/>
      <c r="JS91" s="9"/>
      <c r="JT91" s="9"/>
      <c r="JU91" s="9"/>
      <c r="JV91" s="9"/>
      <c r="JW91" s="9"/>
      <c r="JX91" s="9"/>
      <c r="JY91" s="9"/>
      <c r="JZ91" s="9"/>
      <c r="KA91" s="9"/>
      <c r="KB91" s="9"/>
      <c r="KC91" s="9"/>
      <c r="KD91" s="9"/>
      <c r="KE91" s="9"/>
      <c r="KF91" s="9"/>
      <c r="KG91" s="9"/>
      <c r="KH91" s="9"/>
      <c r="KI91" s="9"/>
      <c r="KJ91" s="9"/>
      <c r="KK91" s="9"/>
      <c r="KL91" s="9"/>
      <c r="KM91" s="9"/>
      <c r="KN91" s="9"/>
      <c r="KO91" s="9"/>
      <c r="KP91" s="9"/>
      <c r="KQ91" s="9"/>
      <c r="KR91" s="9"/>
      <c r="KS91" s="9"/>
      <c r="KT91" s="9"/>
      <c r="KU91" s="9"/>
      <c r="KV91" s="9"/>
      <c r="KW91" s="9"/>
      <c r="KX91" s="9"/>
      <c r="KY91" s="9"/>
      <c r="KZ91" s="9"/>
      <c r="LA91" s="9"/>
      <c r="LB91" s="9"/>
      <c r="LC91" s="9"/>
      <c r="LD91" s="9"/>
      <c r="LE91" s="9"/>
      <c r="LF91" s="9"/>
      <c r="LG91" s="9"/>
      <c r="LH91" s="9"/>
      <c r="LI91" s="9"/>
      <c r="LJ91" s="9"/>
      <c r="LK91" s="9"/>
      <c r="LL91" s="9"/>
      <c r="LM91" s="9"/>
      <c r="LN91" s="9"/>
      <c r="LO91" s="9"/>
      <c r="LP91" s="9"/>
      <c r="LQ91" s="9"/>
      <c r="LR91" s="9"/>
      <c r="LS91" s="9"/>
      <c r="LT91" s="9"/>
      <c r="LU91" s="9"/>
      <c r="LV91" s="9"/>
      <c r="LW91" s="9"/>
      <c r="LX91" s="9"/>
      <c r="LY91" s="9"/>
      <c r="LZ91" s="9"/>
      <c r="MA91" s="9"/>
      <c r="MB91" s="9"/>
      <c r="MC91" s="9"/>
      <c r="MD91" s="9"/>
      <c r="ME91" s="9"/>
      <c r="MF91" s="9"/>
      <c r="MG91" s="9"/>
      <c r="MH91" s="9"/>
      <c r="MI91" s="9"/>
      <c r="MJ91" s="9"/>
      <c r="MK91" s="9"/>
    </row>
    <row r="92" spans="1:349" hidden="1" x14ac:dyDescent="0.25">
      <c r="A92" s="9"/>
      <c r="B92" s="9"/>
      <c r="C92" s="9"/>
      <c r="D92" s="9"/>
      <c r="E92" s="9"/>
      <c r="F92" s="9"/>
      <c r="G92" s="9"/>
      <c r="H92" s="9"/>
      <c r="I92" s="9"/>
      <c r="J92" s="9"/>
      <c r="K92" s="9"/>
      <c r="L92" s="9"/>
      <c r="M92" s="9"/>
      <c r="N92" s="9"/>
      <c r="O92" s="9"/>
      <c r="AG92" s="9"/>
      <c r="AH92" s="9"/>
      <c r="AI92" s="9"/>
      <c r="AJ92" s="9"/>
      <c r="AK92" s="9"/>
      <c r="AL92" s="9"/>
      <c r="AM92" s="9"/>
      <c r="AN92" s="9"/>
      <c r="AO92" s="9"/>
      <c r="AP92" s="9"/>
      <c r="AQ92" s="9"/>
      <c r="AR92" s="9"/>
      <c r="AS92" s="9"/>
      <c r="AT92" s="9"/>
      <c r="AU92" s="9"/>
      <c r="AV92" s="9"/>
      <c r="AW92" s="9"/>
      <c r="AX92" s="9"/>
      <c r="AY92" s="9"/>
      <c r="AZ92" s="9"/>
      <c r="BA92" s="9"/>
      <c r="BB92" s="9"/>
      <c r="BC92" s="9"/>
      <c r="BD92" s="9"/>
      <c r="BE92" s="9"/>
      <c r="BF92" s="9"/>
      <c r="BG92" s="9"/>
      <c r="BH92" s="9"/>
      <c r="BI92" s="9"/>
      <c r="BJ92" s="9"/>
      <c r="BK92" s="9"/>
      <c r="BL92" s="9"/>
      <c r="BM92" s="9"/>
      <c r="BN92" s="9"/>
      <c r="BO92" s="9"/>
      <c r="BP92" s="9"/>
      <c r="BQ92" s="9"/>
      <c r="BR92" s="9"/>
      <c r="BS92" s="9"/>
      <c r="BT92" s="9"/>
      <c r="BU92" s="9"/>
      <c r="BV92" s="9"/>
      <c r="BW92" s="9"/>
      <c r="BX92" s="9"/>
      <c r="BY92" s="9"/>
      <c r="BZ92" s="9"/>
      <c r="CA92" s="9"/>
      <c r="CB92" s="9"/>
      <c r="CC92" s="9"/>
      <c r="CD92" s="9"/>
      <c r="CE92" s="9"/>
      <c r="CF92" s="9"/>
      <c r="CG92" s="9"/>
      <c r="CH92" s="9"/>
      <c r="CI92" s="9"/>
      <c r="CJ92" s="9"/>
      <c r="CK92" s="9"/>
      <c r="CL92" s="9"/>
      <c r="CM92" s="9"/>
      <c r="CN92" s="9"/>
      <c r="CO92" s="9"/>
      <c r="CP92" s="9"/>
      <c r="CQ92" s="9"/>
      <c r="CR92" s="9"/>
      <c r="CS92" s="9"/>
      <c r="CT92" s="9"/>
      <c r="CU92" s="9"/>
      <c r="CV92" s="9"/>
      <c r="CW92" s="9"/>
      <c r="CX92" s="9"/>
      <c r="CY92" s="9"/>
      <c r="CZ92" s="9"/>
      <c r="DA92" s="9"/>
      <c r="DB92" s="9"/>
      <c r="DC92" s="9"/>
      <c r="DD92" s="9"/>
      <c r="DE92" s="9"/>
      <c r="DF92" s="9"/>
      <c r="DG92" s="9"/>
      <c r="DH92" s="9"/>
      <c r="DI92" s="9"/>
      <c r="DJ92" s="9"/>
      <c r="DK92" s="9"/>
      <c r="DL92" s="9"/>
      <c r="DM92" s="9"/>
      <c r="DN92" s="9"/>
      <c r="DO92" s="9"/>
      <c r="DP92" s="9"/>
      <c r="DQ92" s="9"/>
      <c r="DR92" s="9"/>
      <c r="DS92" s="9"/>
      <c r="DT92" s="9"/>
      <c r="DU92" s="9"/>
      <c r="DV92" s="9"/>
      <c r="DW92" s="9"/>
      <c r="DX92" s="9"/>
      <c r="DY92" s="9"/>
      <c r="DZ92" s="9"/>
      <c r="EA92" s="9"/>
      <c r="EB92" s="9"/>
      <c r="EC92" s="9"/>
      <c r="ED92" s="9"/>
      <c r="EE92" s="9"/>
      <c r="EF92" s="9"/>
      <c r="EG92" s="9"/>
      <c r="EH92" s="9"/>
      <c r="EI92" s="9"/>
      <c r="EJ92" s="9"/>
      <c r="EK92" s="9"/>
      <c r="EL92" s="9"/>
      <c r="EM92" s="9"/>
      <c r="EN92" s="9"/>
      <c r="EO92" s="9"/>
      <c r="EP92" s="9"/>
      <c r="EQ92" s="9"/>
      <c r="ER92" s="9"/>
      <c r="ES92" s="9"/>
      <c r="ET92" s="9"/>
      <c r="EU92" s="9"/>
      <c r="EV92" s="9"/>
      <c r="EW92" s="9"/>
      <c r="EX92" s="9"/>
      <c r="EY92" s="9"/>
      <c r="EZ92" s="9"/>
      <c r="FA92" s="9"/>
      <c r="FB92" s="9"/>
      <c r="FC92" s="9"/>
      <c r="FD92" s="9"/>
      <c r="FE92" s="9"/>
      <c r="FF92" s="9"/>
      <c r="FG92" s="9"/>
      <c r="FH92" s="9"/>
      <c r="FI92" s="9"/>
      <c r="FJ92" s="9"/>
      <c r="FK92" s="9"/>
      <c r="FL92" s="9"/>
      <c r="FM92" s="9"/>
      <c r="FN92" s="9"/>
      <c r="FO92" s="9"/>
      <c r="FP92" s="9"/>
      <c r="FQ92" s="9"/>
      <c r="FR92" s="9"/>
      <c r="FS92" s="9"/>
      <c r="FT92" s="9"/>
      <c r="FU92" s="9"/>
      <c r="FV92" s="9"/>
      <c r="FW92" s="9"/>
      <c r="FX92" s="9"/>
      <c r="FY92" s="9"/>
      <c r="FZ92" s="9"/>
      <c r="GA92" s="9"/>
      <c r="GB92" s="9"/>
      <c r="GC92" s="9"/>
      <c r="GD92" s="9"/>
      <c r="GE92" s="9"/>
      <c r="GF92" s="9"/>
      <c r="GG92" s="9"/>
      <c r="GH92" s="9"/>
      <c r="GI92" s="9"/>
      <c r="GJ92" s="9"/>
      <c r="GK92" s="9"/>
      <c r="GL92" s="9"/>
      <c r="GM92" s="9"/>
      <c r="GN92" s="9"/>
      <c r="GO92" s="9"/>
      <c r="GP92" s="9"/>
      <c r="GQ92" s="9"/>
      <c r="GR92" s="9"/>
      <c r="GS92" s="9"/>
      <c r="GT92" s="9"/>
      <c r="GU92" s="9"/>
      <c r="GV92" s="9"/>
      <c r="GW92" s="9"/>
      <c r="GX92" s="9"/>
      <c r="GY92" s="9"/>
      <c r="GZ92" s="9"/>
      <c r="HA92" s="9"/>
      <c r="HB92" s="9"/>
      <c r="HC92" s="9"/>
      <c r="HD92" s="9"/>
      <c r="HE92" s="9"/>
      <c r="HF92" s="9"/>
      <c r="HG92" s="9"/>
      <c r="HH92" s="9"/>
      <c r="HI92" s="9"/>
      <c r="HJ92" s="9"/>
      <c r="HK92" s="9"/>
      <c r="HL92" s="9"/>
      <c r="HM92" s="9"/>
      <c r="HN92" s="9"/>
      <c r="HO92" s="9"/>
      <c r="HP92" s="9"/>
      <c r="HQ92" s="9"/>
      <c r="HR92" s="9"/>
      <c r="HS92" s="9"/>
      <c r="HT92" s="9"/>
      <c r="HU92" s="9"/>
      <c r="HV92" s="9"/>
      <c r="HW92" s="9"/>
      <c r="HX92" s="9"/>
      <c r="HY92" s="9"/>
      <c r="HZ92" s="9"/>
      <c r="IA92" s="9"/>
      <c r="IB92" s="9"/>
      <c r="IC92" s="9"/>
      <c r="ID92" s="9"/>
      <c r="IE92" s="9"/>
      <c r="IF92" s="9"/>
      <c r="IG92" s="9"/>
      <c r="IH92" s="9"/>
      <c r="II92" s="9"/>
      <c r="IJ92" s="9"/>
      <c r="IK92" s="9"/>
      <c r="IL92" s="9"/>
      <c r="IM92" s="9"/>
      <c r="IN92" s="9"/>
      <c r="IO92" s="9"/>
      <c r="IP92" s="9"/>
      <c r="IQ92" s="9"/>
      <c r="IR92" s="9"/>
      <c r="IS92" s="9"/>
      <c r="IT92" s="9"/>
      <c r="IU92" s="9"/>
      <c r="IV92" s="9"/>
      <c r="IW92" s="9"/>
      <c r="IX92" s="9"/>
      <c r="IY92" s="9"/>
      <c r="IZ92" s="9"/>
      <c r="JA92" s="9"/>
      <c r="JB92" s="9"/>
      <c r="JC92" s="9"/>
      <c r="JD92" s="9"/>
      <c r="JE92" s="9"/>
      <c r="JF92" s="9"/>
      <c r="JG92" s="9"/>
      <c r="JH92" s="9"/>
      <c r="JI92" s="9"/>
      <c r="JJ92" s="9"/>
      <c r="JK92" s="9"/>
      <c r="JL92" s="9"/>
      <c r="JM92" s="9"/>
      <c r="JN92" s="9"/>
      <c r="JO92" s="9"/>
      <c r="JP92" s="9"/>
      <c r="JQ92" s="9"/>
      <c r="JR92" s="9"/>
      <c r="JS92" s="9"/>
      <c r="JT92" s="9"/>
      <c r="JU92" s="9"/>
      <c r="JV92" s="9"/>
      <c r="JW92" s="9"/>
      <c r="JX92" s="9"/>
      <c r="JY92" s="9"/>
      <c r="JZ92" s="9"/>
      <c r="KA92" s="9"/>
      <c r="KB92" s="9"/>
      <c r="KC92" s="9"/>
      <c r="KD92" s="9"/>
      <c r="KE92" s="9"/>
      <c r="KF92" s="9"/>
      <c r="KG92" s="9"/>
      <c r="KH92" s="9"/>
      <c r="KI92" s="9"/>
      <c r="KJ92" s="9"/>
      <c r="KK92" s="9"/>
      <c r="KL92" s="9"/>
      <c r="KM92" s="9"/>
      <c r="KN92" s="9"/>
      <c r="KO92" s="9"/>
      <c r="KP92" s="9"/>
      <c r="KQ92" s="9"/>
      <c r="KR92" s="9"/>
      <c r="KS92" s="9"/>
      <c r="KT92" s="9"/>
      <c r="KU92" s="9"/>
      <c r="KV92" s="9"/>
      <c r="KW92" s="9"/>
      <c r="KX92" s="9"/>
      <c r="KY92" s="9"/>
      <c r="KZ92" s="9"/>
      <c r="LA92" s="9"/>
      <c r="LB92" s="9"/>
      <c r="LC92" s="9"/>
      <c r="LD92" s="9"/>
      <c r="LE92" s="9"/>
      <c r="LF92" s="9"/>
      <c r="LG92" s="9"/>
      <c r="LH92" s="9"/>
      <c r="LI92" s="9"/>
      <c r="LJ92" s="9"/>
      <c r="LK92" s="9"/>
      <c r="LL92" s="9"/>
      <c r="LM92" s="9"/>
      <c r="LN92" s="9"/>
      <c r="LO92" s="9"/>
      <c r="LP92" s="9"/>
      <c r="LQ92" s="9"/>
      <c r="LR92" s="9"/>
      <c r="LS92" s="9"/>
      <c r="LT92" s="9"/>
      <c r="LU92" s="9"/>
      <c r="LV92" s="9"/>
      <c r="LW92" s="9"/>
      <c r="LX92" s="9"/>
      <c r="LY92" s="9"/>
      <c r="LZ92" s="9"/>
      <c r="MA92" s="9"/>
      <c r="MB92" s="9"/>
      <c r="MC92" s="9"/>
      <c r="MD92" s="9"/>
      <c r="ME92" s="9"/>
      <c r="MF92" s="9"/>
      <c r="MG92" s="9"/>
      <c r="MH92" s="9"/>
      <c r="MI92" s="9"/>
      <c r="MJ92" s="9"/>
      <c r="MK92" s="9"/>
    </row>
    <row r="93" spans="1:349" hidden="1" x14ac:dyDescent="0.25">
      <c r="A93" s="9"/>
      <c r="B93" s="9"/>
      <c r="C93" s="9"/>
      <c r="D93" s="9"/>
      <c r="E93" s="9"/>
      <c r="F93" s="9"/>
      <c r="G93" s="9"/>
      <c r="H93" s="9"/>
      <c r="I93" s="9"/>
      <c r="J93" s="9"/>
      <c r="K93" s="9"/>
      <c r="L93" s="9"/>
      <c r="M93" s="9"/>
      <c r="N93" s="9"/>
      <c r="O93" s="9"/>
      <c r="AG93" s="9"/>
      <c r="AH93" s="9"/>
      <c r="AI93" s="9"/>
      <c r="AJ93" s="9"/>
      <c r="AK93" s="9"/>
      <c r="AL93" s="9"/>
      <c r="AM93" s="9"/>
      <c r="AN93" s="9"/>
      <c r="AO93" s="9"/>
      <c r="AP93" s="9"/>
      <c r="AQ93" s="9"/>
      <c r="AR93" s="9"/>
      <c r="AS93" s="9"/>
      <c r="AT93" s="9"/>
      <c r="AU93" s="9"/>
      <c r="AV93" s="9"/>
      <c r="AW93" s="9"/>
      <c r="AX93" s="9"/>
      <c r="AY93" s="9"/>
      <c r="AZ93" s="9"/>
      <c r="BA93" s="9"/>
      <c r="BB93" s="9"/>
      <c r="BC93" s="9"/>
      <c r="BD93" s="9"/>
      <c r="BE93" s="9"/>
      <c r="BF93" s="9"/>
      <c r="BG93" s="9"/>
      <c r="BH93" s="9"/>
      <c r="BI93" s="9"/>
      <c r="BJ93" s="9"/>
      <c r="BK93" s="9"/>
      <c r="BL93" s="9"/>
      <c r="BM93" s="9"/>
      <c r="BN93" s="9"/>
      <c r="BO93" s="9"/>
      <c r="BP93" s="9"/>
      <c r="BQ93" s="9"/>
      <c r="BR93" s="9"/>
      <c r="BS93" s="9"/>
      <c r="BT93" s="9"/>
      <c r="BU93" s="9"/>
      <c r="BV93" s="9"/>
      <c r="BW93" s="9"/>
      <c r="BX93" s="9"/>
      <c r="BY93" s="9"/>
      <c r="BZ93" s="9"/>
      <c r="CA93" s="9"/>
      <c r="CB93" s="9"/>
      <c r="CC93" s="9"/>
      <c r="CD93" s="9"/>
      <c r="CE93" s="9"/>
      <c r="CF93" s="9"/>
      <c r="CG93" s="9"/>
      <c r="CH93" s="9"/>
      <c r="CI93" s="9"/>
      <c r="CJ93" s="9"/>
      <c r="CK93" s="9"/>
      <c r="CL93" s="9"/>
      <c r="CM93" s="9"/>
      <c r="CN93" s="9"/>
      <c r="CO93" s="9"/>
      <c r="CP93" s="9"/>
      <c r="CQ93" s="9"/>
      <c r="CR93" s="9"/>
      <c r="CS93" s="9"/>
      <c r="CT93" s="9"/>
      <c r="CU93" s="9"/>
      <c r="CV93" s="9"/>
      <c r="CW93" s="9"/>
      <c r="CX93" s="9"/>
      <c r="CY93" s="9"/>
      <c r="CZ93" s="9"/>
      <c r="DA93" s="9"/>
      <c r="DB93" s="9"/>
      <c r="DC93" s="9"/>
      <c r="DD93" s="9"/>
      <c r="DE93" s="9"/>
      <c r="DF93" s="9"/>
      <c r="DG93" s="9"/>
      <c r="DH93" s="9"/>
      <c r="DI93" s="9"/>
      <c r="DJ93" s="9"/>
      <c r="DK93" s="9"/>
      <c r="DL93" s="9"/>
      <c r="DM93" s="9"/>
      <c r="DN93" s="9"/>
      <c r="DO93" s="9"/>
      <c r="DP93" s="9"/>
      <c r="DQ93" s="9"/>
      <c r="DR93" s="9"/>
      <c r="DS93" s="9"/>
      <c r="DT93" s="9"/>
      <c r="DU93" s="9"/>
      <c r="DV93" s="9"/>
      <c r="DW93" s="9"/>
      <c r="DX93" s="9"/>
      <c r="DY93" s="9"/>
      <c r="DZ93" s="9"/>
      <c r="EA93" s="9"/>
      <c r="EB93" s="9"/>
      <c r="EC93" s="9"/>
      <c r="ED93" s="9"/>
      <c r="EE93" s="9"/>
      <c r="EF93" s="9"/>
      <c r="EG93" s="9"/>
      <c r="EH93" s="9"/>
      <c r="EI93" s="9"/>
      <c r="EJ93" s="9"/>
      <c r="EK93" s="9"/>
      <c r="EL93" s="9"/>
      <c r="EM93" s="9"/>
      <c r="EN93" s="9"/>
      <c r="EO93" s="9"/>
      <c r="EP93" s="9"/>
      <c r="EQ93" s="9"/>
      <c r="ER93" s="9"/>
      <c r="ES93" s="9"/>
      <c r="ET93" s="9"/>
      <c r="EU93" s="9"/>
      <c r="EV93" s="9"/>
      <c r="EW93" s="9"/>
      <c r="EX93" s="9"/>
      <c r="EY93" s="9"/>
      <c r="EZ93" s="9"/>
      <c r="FA93" s="9"/>
      <c r="FB93" s="9"/>
      <c r="FC93" s="9"/>
      <c r="FD93" s="9"/>
      <c r="FE93" s="9"/>
      <c r="FF93" s="9"/>
      <c r="FG93" s="9"/>
      <c r="FH93" s="9"/>
      <c r="FI93" s="9"/>
      <c r="FJ93" s="9"/>
      <c r="FK93" s="9"/>
      <c r="FL93" s="9"/>
      <c r="FM93" s="9"/>
      <c r="FN93" s="9"/>
      <c r="FO93" s="9"/>
      <c r="FP93" s="9"/>
      <c r="FQ93" s="9"/>
      <c r="FR93" s="9"/>
      <c r="FS93" s="9"/>
      <c r="FT93" s="9"/>
      <c r="FU93" s="9"/>
      <c r="FV93" s="9"/>
      <c r="FW93" s="9"/>
      <c r="FX93" s="9"/>
      <c r="FY93" s="9"/>
      <c r="FZ93" s="9"/>
      <c r="GA93" s="9"/>
      <c r="GB93" s="9"/>
      <c r="GC93" s="9"/>
      <c r="GD93" s="9"/>
      <c r="GE93" s="9"/>
      <c r="GF93" s="9"/>
      <c r="GG93" s="9"/>
      <c r="GH93" s="9"/>
      <c r="GI93" s="9"/>
      <c r="GJ93" s="9"/>
      <c r="GK93" s="9"/>
      <c r="GL93" s="9"/>
      <c r="GM93" s="9"/>
      <c r="GN93" s="9"/>
      <c r="GO93" s="9"/>
      <c r="GP93" s="9"/>
      <c r="GQ93" s="9"/>
      <c r="GR93" s="9"/>
      <c r="GS93" s="9"/>
      <c r="GT93" s="9"/>
      <c r="GU93" s="9"/>
      <c r="GV93" s="9"/>
      <c r="GW93" s="9"/>
      <c r="GX93" s="9"/>
      <c r="GY93" s="9"/>
      <c r="GZ93" s="9"/>
      <c r="HA93" s="9"/>
      <c r="HB93" s="9"/>
      <c r="HC93" s="9"/>
      <c r="HD93" s="9"/>
      <c r="HE93" s="9"/>
      <c r="HF93" s="9"/>
      <c r="HG93" s="9"/>
      <c r="HH93" s="9"/>
      <c r="HI93" s="9"/>
      <c r="HJ93" s="9"/>
      <c r="HK93" s="9"/>
      <c r="HL93" s="9"/>
      <c r="HM93" s="9"/>
      <c r="HN93" s="9"/>
      <c r="HO93" s="9"/>
      <c r="HP93" s="9"/>
      <c r="HQ93" s="9"/>
      <c r="HR93" s="9"/>
      <c r="HS93" s="9"/>
      <c r="HT93" s="9"/>
      <c r="HU93" s="9"/>
      <c r="HV93" s="9"/>
      <c r="HW93" s="9"/>
      <c r="HX93" s="9"/>
      <c r="HY93" s="9"/>
      <c r="HZ93" s="9"/>
      <c r="IA93" s="9"/>
      <c r="IB93" s="9"/>
      <c r="IC93" s="9"/>
      <c r="ID93" s="9"/>
      <c r="IE93" s="9"/>
      <c r="IF93" s="9"/>
      <c r="IG93" s="9"/>
      <c r="IH93" s="9"/>
      <c r="II93" s="9"/>
      <c r="IJ93" s="9"/>
      <c r="IK93" s="9"/>
      <c r="IL93" s="9"/>
      <c r="IM93" s="9"/>
      <c r="IN93" s="9"/>
      <c r="IO93" s="9"/>
      <c r="IP93" s="9"/>
      <c r="IQ93" s="9"/>
      <c r="IR93" s="9"/>
      <c r="IS93" s="9"/>
      <c r="IT93" s="9"/>
      <c r="IU93" s="9"/>
      <c r="IV93" s="9"/>
      <c r="IW93" s="9"/>
      <c r="IX93" s="9"/>
      <c r="IY93" s="9"/>
      <c r="IZ93" s="9"/>
      <c r="JA93" s="9"/>
      <c r="JB93" s="9"/>
      <c r="JC93" s="9"/>
      <c r="JD93" s="9"/>
      <c r="JE93" s="9"/>
      <c r="JF93" s="9"/>
      <c r="JG93" s="9"/>
      <c r="JH93" s="9"/>
      <c r="JI93" s="9"/>
      <c r="JJ93" s="9"/>
      <c r="JK93" s="9"/>
      <c r="JL93" s="9"/>
      <c r="JM93" s="9"/>
      <c r="JN93" s="9"/>
      <c r="JO93" s="9"/>
      <c r="JP93" s="9"/>
      <c r="JQ93" s="9"/>
      <c r="JR93" s="9"/>
      <c r="JS93" s="9"/>
      <c r="JT93" s="9"/>
      <c r="JU93" s="9"/>
      <c r="JV93" s="9"/>
      <c r="JW93" s="9"/>
      <c r="JX93" s="9"/>
      <c r="JY93" s="9"/>
      <c r="JZ93" s="9"/>
      <c r="KA93" s="9"/>
      <c r="KB93" s="9"/>
      <c r="KC93" s="9"/>
      <c r="KD93" s="9"/>
      <c r="KE93" s="9"/>
      <c r="KF93" s="9"/>
      <c r="KG93" s="9"/>
      <c r="KH93" s="9"/>
      <c r="KI93" s="9"/>
      <c r="KJ93" s="9"/>
      <c r="KK93" s="9"/>
      <c r="KL93" s="9"/>
      <c r="KM93" s="9"/>
      <c r="KN93" s="9"/>
      <c r="KO93" s="9"/>
      <c r="KP93" s="9"/>
      <c r="KQ93" s="9"/>
      <c r="KR93" s="9"/>
      <c r="KS93" s="9"/>
      <c r="KT93" s="9"/>
      <c r="KU93" s="9"/>
      <c r="KV93" s="9"/>
      <c r="KW93" s="9"/>
      <c r="KX93" s="9"/>
      <c r="KY93" s="9"/>
      <c r="KZ93" s="9"/>
      <c r="LA93" s="9"/>
      <c r="LB93" s="9"/>
      <c r="LC93" s="9"/>
      <c r="LD93" s="9"/>
      <c r="LE93" s="9"/>
      <c r="LF93" s="9"/>
      <c r="LG93" s="9"/>
      <c r="LH93" s="9"/>
      <c r="LI93" s="9"/>
      <c r="LJ93" s="9"/>
      <c r="LK93" s="9"/>
      <c r="LL93" s="9"/>
      <c r="LM93" s="9"/>
      <c r="LN93" s="9"/>
      <c r="LO93" s="9"/>
      <c r="LP93" s="9"/>
      <c r="LQ93" s="9"/>
      <c r="LR93" s="9"/>
      <c r="LS93" s="9"/>
      <c r="LT93" s="9"/>
      <c r="LU93" s="9"/>
      <c r="LV93" s="9"/>
      <c r="LW93" s="9"/>
      <c r="LX93" s="9"/>
      <c r="LY93" s="9"/>
      <c r="LZ93" s="9"/>
      <c r="MA93" s="9"/>
      <c r="MB93" s="9"/>
      <c r="MC93" s="9"/>
      <c r="MD93" s="9"/>
      <c r="ME93" s="9"/>
      <c r="MF93" s="9"/>
      <c r="MG93" s="9"/>
      <c r="MH93" s="9"/>
      <c r="MI93" s="9"/>
      <c r="MJ93" s="9"/>
      <c r="MK93" s="9"/>
    </row>
    <row r="94" spans="1:349" hidden="1" x14ac:dyDescent="0.25">
      <c r="A94" s="9"/>
      <c r="B94" s="9"/>
      <c r="C94" s="9"/>
      <c r="D94" s="9"/>
      <c r="E94" s="9"/>
      <c r="F94" s="9"/>
      <c r="G94" s="9"/>
      <c r="H94" s="9"/>
      <c r="I94" s="9"/>
      <c r="J94" s="9"/>
      <c r="K94" s="9"/>
      <c r="L94" s="9"/>
      <c r="M94" s="9"/>
      <c r="N94" s="9"/>
      <c r="O94" s="9"/>
      <c r="AG94" s="9"/>
      <c r="AH94" s="9"/>
      <c r="AI94" s="9"/>
      <c r="AJ94" s="9"/>
      <c r="AK94" s="9"/>
      <c r="AL94" s="9"/>
      <c r="AM94" s="9"/>
      <c r="AN94" s="9"/>
      <c r="AO94" s="9"/>
      <c r="AP94" s="9"/>
      <c r="AQ94" s="9"/>
      <c r="AR94" s="9"/>
      <c r="AS94" s="9"/>
      <c r="AT94" s="9"/>
      <c r="AU94" s="9"/>
      <c r="AV94" s="9"/>
      <c r="AW94" s="9"/>
      <c r="AX94" s="9"/>
      <c r="AY94" s="9"/>
      <c r="AZ94" s="9"/>
      <c r="BA94" s="9"/>
      <c r="BB94" s="9"/>
      <c r="BC94" s="9"/>
      <c r="BD94" s="9"/>
      <c r="BE94" s="9"/>
      <c r="BF94" s="9"/>
      <c r="BG94" s="9"/>
      <c r="BH94" s="9"/>
      <c r="BI94" s="9"/>
      <c r="BJ94" s="9"/>
      <c r="BK94" s="9"/>
      <c r="BL94" s="9"/>
      <c r="BM94" s="9"/>
      <c r="BN94" s="9"/>
      <c r="BO94" s="9"/>
      <c r="BP94" s="9"/>
      <c r="BQ94" s="9"/>
      <c r="BR94" s="9"/>
      <c r="BS94" s="9"/>
      <c r="BT94" s="9"/>
      <c r="BU94" s="9"/>
      <c r="BV94" s="9"/>
      <c r="BW94" s="9"/>
      <c r="BX94" s="9"/>
      <c r="BY94" s="9"/>
      <c r="BZ94" s="9"/>
      <c r="CA94" s="9"/>
      <c r="CB94" s="9"/>
      <c r="CC94" s="9"/>
      <c r="CD94" s="9"/>
      <c r="CE94" s="9"/>
      <c r="CF94" s="9"/>
      <c r="CG94" s="9"/>
      <c r="CH94" s="9"/>
      <c r="CI94" s="9"/>
      <c r="CJ94" s="9"/>
      <c r="CK94" s="9"/>
      <c r="CL94" s="9"/>
      <c r="CM94" s="9"/>
      <c r="CN94" s="9"/>
      <c r="CO94" s="9"/>
      <c r="CP94" s="9"/>
      <c r="CQ94" s="9"/>
      <c r="CR94" s="9"/>
      <c r="CS94" s="9"/>
      <c r="CT94" s="9"/>
      <c r="CU94" s="9"/>
      <c r="CV94" s="9"/>
      <c r="CW94" s="9"/>
      <c r="CX94" s="9"/>
      <c r="CY94" s="9"/>
      <c r="CZ94" s="9"/>
      <c r="DA94" s="9"/>
      <c r="DB94" s="9"/>
      <c r="DC94" s="9"/>
      <c r="DD94" s="9"/>
      <c r="DE94" s="9"/>
      <c r="DF94" s="9"/>
      <c r="DG94" s="9"/>
      <c r="DH94" s="9"/>
      <c r="DI94" s="9"/>
      <c r="DJ94" s="9"/>
      <c r="DK94" s="9"/>
      <c r="DL94" s="9"/>
      <c r="DM94" s="9"/>
      <c r="DN94" s="9"/>
      <c r="DO94" s="9"/>
      <c r="DP94" s="9"/>
      <c r="DQ94" s="9"/>
      <c r="DR94" s="9"/>
      <c r="DS94" s="9"/>
      <c r="DT94" s="9"/>
      <c r="DU94" s="9"/>
      <c r="DV94" s="9"/>
      <c r="DW94" s="9"/>
      <c r="DX94" s="9"/>
      <c r="DY94" s="9"/>
      <c r="DZ94" s="9"/>
      <c r="EA94" s="9"/>
      <c r="EB94" s="9"/>
      <c r="EC94" s="9"/>
      <c r="ED94" s="9"/>
      <c r="EE94" s="9"/>
      <c r="EF94" s="9"/>
      <c r="EG94" s="9"/>
      <c r="EH94" s="9"/>
      <c r="EI94" s="9"/>
      <c r="EJ94" s="9"/>
      <c r="EK94" s="9"/>
      <c r="EL94" s="9"/>
      <c r="EM94" s="9"/>
      <c r="EN94" s="9"/>
      <c r="EO94" s="9"/>
      <c r="EP94" s="9"/>
      <c r="EQ94" s="9"/>
      <c r="ER94" s="9"/>
      <c r="ES94" s="9"/>
      <c r="ET94" s="9"/>
      <c r="EU94" s="9"/>
      <c r="EV94" s="9"/>
      <c r="EW94" s="9"/>
      <c r="EX94" s="9"/>
      <c r="EY94" s="9"/>
      <c r="EZ94" s="9"/>
      <c r="FA94" s="9"/>
      <c r="FB94" s="9"/>
      <c r="FC94" s="9"/>
      <c r="FD94" s="9"/>
      <c r="FE94" s="9"/>
      <c r="FF94" s="9"/>
      <c r="FG94" s="9"/>
      <c r="FH94" s="9"/>
      <c r="FI94" s="9"/>
      <c r="FJ94" s="9"/>
      <c r="FK94" s="9"/>
      <c r="FL94" s="9"/>
      <c r="FM94" s="9"/>
      <c r="FN94" s="9"/>
      <c r="FO94" s="9"/>
      <c r="FP94" s="9"/>
      <c r="FQ94" s="9"/>
      <c r="FR94" s="9"/>
      <c r="FS94" s="9"/>
      <c r="FT94" s="9"/>
      <c r="FU94" s="9"/>
      <c r="FV94" s="9"/>
      <c r="FW94" s="9"/>
      <c r="FX94" s="9"/>
      <c r="FY94" s="9"/>
      <c r="FZ94" s="9"/>
      <c r="GA94" s="9"/>
      <c r="GB94" s="9"/>
      <c r="GC94" s="9"/>
      <c r="GD94" s="9"/>
      <c r="GE94" s="9"/>
      <c r="GF94" s="9"/>
      <c r="GG94" s="9"/>
      <c r="GH94" s="9"/>
      <c r="GI94" s="9"/>
      <c r="GJ94" s="9"/>
      <c r="GK94" s="9"/>
      <c r="GL94" s="9"/>
      <c r="GM94" s="9"/>
      <c r="GN94" s="9"/>
      <c r="GO94" s="9"/>
      <c r="GP94" s="9"/>
      <c r="GQ94" s="9"/>
      <c r="GR94" s="9"/>
      <c r="GS94" s="9"/>
      <c r="GT94" s="9"/>
      <c r="GU94" s="9"/>
      <c r="GV94" s="9"/>
      <c r="GW94" s="9"/>
      <c r="GX94" s="9"/>
      <c r="GY94" s="9"/>
      <c r="GZ94" s="9"/>
      <c r="HA94" s="9"/>
      <c r="HB94" s="9"/>
      <c r="HC94" s="9"/>
      <c r="HD94" s="9"/>
      <c r="HE94" s="9"/>
      <c r="HF94" s="9"/>
      <c r="HG94" s="9"/>
      <c r="HH94" s="9"/>
      <c r="HI94" s="9"/>
      <c r="HJ94" s="9"/>
      <c r="HK94" s="9"/>
      <c r="HL94" s="9"/>
      <c r="HM94" s="9"/>
      <c r="HN94" s="9"/>
      <c r="HO94" s="9"/>
      <c r="HP94" s="9"/>
      <c r="HQ94" s="9"/>
      <c r="HR94" s="9"/>
      <c r="HS94" s="9"/>
      <c r="HT94" s="9"/>
      <c r="HU94" s="9"/>
      <c r="HV94" s="9"/>
      <c r="HW94" s="9"/>
      <c r="HX94" s="9"/>
      <c r="HY94" s="9"/>
      <c r="HZ94" s="9"/>
      <c r="IA94" s="9"/>
      <c r="IB94" s="9"/>
      <c r="IC94" s="9"/>
      <c r="ID94" s="9"/>
      <c r="IE94" s="9"/>
      <c r="IF94" s="9"/>
      <c r="IG94" s="9"/>
      <c r="IH94" s="9"/>
      <c r="II94" s="9"/>
      <c r="IJ94" s="9"/>
      <c r="IK94" s="9"/>
      <c r="IL94" s="9"/>
      <c r="IM94" s="9"/>
      <c r="IN94" s="9"/>
      <c r="IO94" s="9"/>
      <c r="IP94" s="9"/>
      <c r="IQ94" s="9"/>
      <c r="IR94" s="9"/>
      <c r="IS94" s="9"/>
      <c r="IT94" s="9"/>
      <c r="IU94" s="9"/>
      <c r="IV94" s="9"/>
      <c r="IW94" s="9"/>
      <c r="IX94" s="9"/>
      <c r="IY94" s="9"/>
      <c r="IZ94" s="9"/>
      <c r="JA94" s="9"/>
      <c r="JB94" s="9"/>
      <c r="JC94" s="9"/>
      <c r="JD94" s="9"/>
      <c r="JE94" s="9"/>
      <c r="JF94" s="9"/>
      <c r="JG94" s="9"/>
      <c r="JH94" s="9"/>
      <c r="JI94" s="9"/>
      <c r="JJ94" s="9"/>
      <c r="JK94" s="9"/>
      <c r="JL94" s="9"/>
      <c r="JM94" s="9"/>
      <c r="JN94" s="9"/>
      <c r="JO94" s="9"/>
      <c r="JP94" s="9"/>
      <c r="JQ94" s="9"/>
      <c r="JR94" s="9"/>
      <c r="JS94" s="9"/>
      <c r="JT94" s="9"/>
      <c r="JU94" s="9"/>
      <c r="JV94" s="9"/>
      <c r="JW94" s="9"/>
      <c r="JX94" s="9"/>
      <c r="JY94" s="9"/>
      <c r="JZ94" s="9"/>
      <c r="KA94" s="9"/>
      <c r="KB94" s="9"/>
      <c r="KC94" s="9"/>
      <c r="KD94" s="9"/>
      <c r="KE94" s="9"/>
      <c r="KF94" s="9"/>
      <c r="KG94" s="9"/>
      <c r="KH94" s="9"/>
      <c r="KI94" s="9"/>
      <c r="KJ94" s="9"/>
      <c r="KK94" s="9"/>
      <c r="KL94" s="9"/>
      <c r="KM94" s="9"/>
      <c r="KN94" s="9"/>
      <c r="KO94" s="9"/>
      <c r="KP94" s="9"/>
      <c r="KQ94" s="9"/>
      <c r="KR94" s="9"/>
      <c r="KS94" s="9"/>
      <c r="KT94" s="9"/>
      <c r="KU94" s="9"/>
      <c r="KV94" s="9"/>
      <c r="KW94" s="9"/>
      <c r="KX94" s="9"/>
      <c r="KY94" s="9"/>
      <c r="KZ94" s="9"/>
      <c r="LA94" s="9"/>
      <c r="LB94" s="9"/>
      <c r="LC94" s="9"/>
      <c r="LD94" s="9"/>
      <c r="LE94" s="9"/>
      <c r="LF94" s="9"/>
      <c r="LG94" s="9"/>
      <c r="LH94" s="9"/>
      <c r="LI94" s="9"/>
      <c r="LJ94" s="9"/>
      <c r="LK94" s="9"/>
      <c r="LL94" s="9"/>
      <c r="LM94" s="9"/>
      <c r="LN94" s="9"/>
      <c r="LO94" s="9"/>
      <c r="LP94" s="9"/>
      <c r="LQ94" s="9"/>
      <c r="LR94" s="9"/>
      <c r="LS94" s="9"/>
      <c r="LT94" s="9"/>
      <c r="LU94" s="9"/>
      <c r="LV94" s="9"/>
      <c r="LW94" s="9"/>
      <c r="LX94" s="9"/>
      <c r="LY94" s="9"/>
      <c r="LZ94" s="9"/>
      <c r="MA94" s="9"/>
      <c r="MB94" s="9"/>
      <c r="MC94" s="9"/>
      <c r="MD94" s="9"/>
      <c r="ME94" s="9"/>
      <c r="MF94" s="9"/>
      <c r="MG94" s="9"/>
      <c r="MH94" s="9"/>
      <c r="MI94" s="9"/>
      <c r="MJ94" s="9"/>
      <c r="MK94" s="9"/>
    </row>
    <row r="95" spans="1:349" hidden="1" x14ac:dyDescent="0.25">
      <c r="A95" s="9"/>
      <c r="B95" s="9"/>
      <c r="C95" s="9"/>
      <c r="D95" s="9"/>
      <c r="E95" s="9"/>
      <c r="F95" s="9"/>
      <c r="G95" s="9"/>
      <c r="H95" s="9"/>
      <c r="I95" s="9"/>
      <c r="J95" s="9"/>
      <c r="K95" s="9"/>
      <c r="L95" s="9"/>
      <c r="M95" s="9"/>
      <c r="N95" s="9"/>
      <c r="O95" s="9"/>
      <c r="AG95" s="9"/>
      <c r="AH95" s="9"/>
      <c r="AI95" s="9"/>
      <c r="AJ95" s="9"/>
      <c r="AK95" s="9"/>
      <c r="AL95" s="9"/>
      <c r="AM95" s="9"/>
      <c r="AN95" s="9"/>
      <c r="AO95" s="9"/>
      <c r="AP95" s="9"/>
      <c r="AQ95" s="9"/>
      <c r="AR95" s="9"/>
      <c r="AS95" s="9"/>
      <c r="AT95" s="9"/>
      <c r="AU95" s="9"/>
      <c r="AV95" s="9"/>
      <c r="AW95" s="9"/>
      <c r="AX95" s="9"/>
      <c r="AY95" s="9"/>
      <c r="AZ95" s="9"/>
      <c r="BA95" s="9"/>
      <c r="BB95" s="9"/>
      <c r="BC95" s="9"/>
      <c r="BD95" s="9"/>
      <c r="BE95" s="9"/>
      <c r="BF95" s="9"/>
      <c r="BG95" s="9"/>
      <c r="BH95" s="9"/>
      <c r="BI95" s="9"/>
      <c r="BJ95" s="9"/>
      <c r="BK95" s="9"/>
      <c r="BL95" s="9"/>
      <c r="BM95" s="9"/>
      <c r="BN95" s="9"/>
      <c r="BO95" s="9"/>
      <c r="BP95" s="9"/>
      <c r="BQ95" s="9"/>
      <c r="BR95" s="9"/>
      <c r="BS95" s="9"/>
      <c r="BT95" s="9"/>
      <c r="BU95" s="9"/>
      <c r="BV95" s="9"/>
      <c r="BW95" s="9"/>
      <c r="BX95" s="9"/>
      <c r="BY95" s="9"/>
      <c r="BZ95" s="9"/>
      <c r="CA95" s="9"/>
      <c r="CB95" s="9"/>
      <c r="CC95" s="9"/>
      <c r="CD95" s="9"/>
      <c r="CE95" s="9"/>
      <c r="CF95" s="9"/>
      <c r="CG95" s="9"/>
      <c r="CH95" s="9"/>
      <c r="CI95" s="9"/>
      <c r="CJ95" s="9"/>
      <c r="CK95" s="9"/>
      <c r="CL95" s="9"/>
      <c r="CM95" s="9"/>
      <c r="CN95" s="9"/>
      <c r="CO95" s="9"/>
      <c r="CP95" s="9"/>
      <c r="CQ95" s="9"/>
      <c r="CR95" s="9"/>
      <c r="CS95" s="9"/>
      <c r="CT95" s="9"/>
      <c r="CU95" s="9"/>
      <c r="CV95" s="9"/>
      <c r="CW95" s="9"/>
      <c r="CX95" s="9"/>
      <c r="CY95" s="9"/>
      <c r="CZ95" s="9"/>
      <c r="DA95" s="9"/>
      <c r="DB95" s="9"/>
      <c r="DC95" s="9"/>
      <c r="DD95" s="9"/>
      <c r="DE95" s="9"/>
      <c r="DF95" s="9"/>
      <c r="DG95" s="9"/>
      <c r="DH95" s="9"/>
      <c r="DI95" s="9"/>
      <c r="DJ95" s="9"/>
      <c r="DK95" s="9"/>
      <c r="DL95" s="9"/>
      <c r="DM95" s="9"/>
      <c r="DN95" s="9"/>
      <c r="DO95" s="9"/>
      <c r="DP95" s="9"/>
      <c r="DQ95" s="9"/>
      <c r="DR95" s="9"/>
      <c r="DS95" s="9"/>
      <c r="DT95" s="9"/>
      <c r="DU95" s="9"/>
      <c r="DV95" s="9"/>
      <c r="DW95" s="9"/>
      <c r="DX95" s="9"/>
      <c r="DY95" s="9"/>
      <c r="DZ95" s="9"/>
      <c r="EA95" s="9"/>
      <c r="EB95" s="9"/>
      <c r="EC95" s="9"/>
      <c r="ED95" s="9"/>
      <c r="EE95" s="9"/>
      <c r="EF95" s="9"/>
      <c r="EG95" s="9"/>
      <c r="EH95" s="9"/>
      <c r="EI95" s="9"/>
      <c r="EJ95" s="9"/>
      <c r="EK95" s="9"/>
      <c r="EL95" s="9"/>
      <c r="EM95" s="9"/>
      <c r="EN95" s="9"/>
      <c r="EO95" s="9"/>
      <c r="EP95" s="9"/>
      <c r="EQ95" s="9"/>
      <c r="ER95" s="9"/>
      <c r="ES95" s="9"/>
      <c r="ET95" s="9"/>
      <c r="EU95" s="9"/>
      <c r="EV95" s="9"/>
      <c r="EW95" s="9"/>
      <c r="EX95" s="9"/>
      <c r="EY95" s="9"/>
      <c r="EZ95" s="9"/>
      <c r="FA95" s="9"/>
      <c r="FB95" s="9"/>
      <c r="FC95" s="9"/>
      <c r="FD95" s="9"/>
      <c r="FE95" s="9"/>
      <c r="FF95" s="9"/>
      <c r="FG95" s="9"/>
      <c r="FH95" s="9"/>
      <c r="FI95" s="9"/>
      <c r="FJ95" s="9"/>
      <c r="FK95" s="9"/>
      <c r="FL95" s="9"/>
      <c r="FM95" s="9"/>
      <c r="FN95" s="9"/>
      <c r="FO95" s="9"/>
      <c r="FP95" s="9"/>
      <c r="FQ95" s="9"/>
      <c r="FR95" s="9"/>
      <c r="FS95" s="9"/>
      <c r="FT95" s="9"/>
      <c r="FU95" s="9"/>
      <c r="FV95" s="9"/>
      <c r="FW95" s="9"/>
      <c r="FX95" s="9"/>
      <c r="FY95" s="9"/>
      <c r="FZ95" s="9"/>
      <c r="GA95" s="9"/>
      <c r="GB95" s="9"/>
      <c r="GC95" s="9"/>
      <c r="GD95" s="9"/>
      <c r="GE95" s="9"/>
      <c r="GF95" s="9"/>
      <c r="GG95" s="9"/>
      <c r="GH95" s="9"/>
      <c r="GI95" s="9"/>
      <c r="GJ95" s="9"/>
      <c r="GK95" s="9"/>
      <c r="GL95" s="9"/>
      <c r="GM95" s="9"/>
      <c r="GN95" s="9"/>
      <c r="GO95" s="9"/>
      <c r="GP95" s="9"/>
      <c r="GQ95" s="9"/>
      <c r="GR95" s="9"/>
      <c r="GS95" s="9"/>
      <c r="GT95" s="9"/>
      <c r="GU95" s="9"/>
      <c r="GV95" s="9"/>
      <c r="GW95" s="9"/>
      <c r="GX95" s="9"/>
      <c r="GY95" s="9"/>
      <c r="GZ95" s="9"/>
      <c r="HA95" s="9"/>
      <c r="HB95" s="9"/>
      <c r="HC95" s="9"/>
      <c r="HD95" s="9"/>
      <c r="HE95" s="9"/>
      <c r="HF95" s="9"/>
      <c r="HG95" s="9"/>
      <c r="HH95" s="9"/>
      <c r="HI95" s="9"/>
      <c r="HJ95" s="9"/>
      <c r="HK95" s="9"/>
      <c r="HL95" s="9"/>
      <c r="HM95" s="9"/>
      <c r="HN95" s="9"/>
      <c r="HO95" s="9"/>
      <c r="HP95" s="9"/>
      <c r="HQ95" s="9"/>
      <c r="HR95" s="9"/>
      <c r="HS95" s="9"/>
      <c r="HT95" s="9"/>
      <c r="HU95" s="9"/>
      <c r="HV95" s="9"/>
      <c r="HW95" s="9"/>
      <c r="HX95" s="9"/>
      <c r="HY95" s="9"/>
      <c r="HZ95" s="9"/>
      <c r="IA95" s="9"/>
      <c r="IB95" s="9"/>
      <c r="IC95" s="9"/>
      <c r="ID95" s="9"/>
      <c r="IE95" s="9"/>
      <c r="IF95" s="9"/>
      <c r="IG95" s="9"/>
      <c r="IH95" s="9"/>
      <c r="II95" s="9"/>
      <c r="IJ95" s="9"/>
      <c r="IK95" s="9"/>
      <c r="IL95" s="9"/>
      <c r="IM95" s="9"/>
      <c r="IN95" s="9"/>
      <c r="IO95" s="9"/>
      <c r="IP95" s="9"/>
      <c r="IQ95" s="9"/>
      <c r="IR95" s="9"/>
      <c r="IS95" s="9"/>
      <c r="IT95" s="9"/>
      <c r="IU95" s="9"/>
      <c r="IV95" s="9"/>
      <c r="IW95" s="9"/>
      <c r="IX95" s="9"/>
      <c r="IY95" s="9"/>
      <c r="IZ95" s="9"/>
      <c r="JA95" s="9"/>
      <c r="JB95" s="9"/>
      <c r="JC95" s="9"/>
      <c r="JD95" s="9"/>
      <c r="JE95" s="9"/>
      <c r="JF95" s="9"/>
      <c r="JG95" s="9"/>
      <c r="JH95" s="9"/>
      <c r="JI95" s="9"/>
      <c r="JJ95" s="9"/>
      <c r="JK95" s="9"/>
      <c r="JL95" s="9"/>
      <c r="JM95" s="9"/>
      <c r="JN95" s="9"/>
      <c r="JO95" s="9"/>
      <c r="JP95" s="9"/>
      <c r="JQ95" s="9"/>
      <c r="JR95" s="9"/>
      <c r="JS95" s="9"/>
      <c r="JT95" s="9"/>
      <c r="JU95" s="9"/>
      <c r="JV95" s="9"/>
      <c r="JW95" s="9"/>
      <c r="JX95" s="9"/>
      <c r="JY95" s="9"/>
      <c r="JZ95" s="9"/>
      <c r="KA95" s="9"/>
      <c r="KB95" s="9"/>
      <c r="KC95" s="9"/>
      <c r="KD95" s="9"/>
      <c r="KE95" s="9"/>
      <c r="KF95" s="9"/>
      <c r="KG95" s="9"/>
      <c r="KH95" s="9"/>
      <c r="KI95" s="9"/>
      <c r="KJ95" s="9"/>
      <c r="KK95" s="9"/>
      <c r="KL95" s="9"/>
      <c r="KM95" s="9"/>
      <c r="KN95" s="9"/>
      <c r="KO95" s="9"/>
      <c r="KP95" s="9"/>
      <c r="KQ95" s="9"/>
      <c r="KR95" s="9"/>
      <c r="KS95" s="9"/>
      <c r="KT95" s="9"/>
      <c r="KU95" s="9"/>
      <c r="KV95" s="9"/>
      <c r="KW95" s="9"/>
      <c r="KX95" s="9"/>
      <c r="KY95" s="9"/>
      <c r="KZ95" s="9"/>
      <c r="LA95" s="9"/>
      <c r="LB95" s="9"/>
      <c r="LC95" s="9"/>
      <c r="LD95" s="9"/>
      <c r="LE95" s="9"/>
      <c r="LF95" s="9"/>
      <c r="LG95" s="9"/>
      <c r="LH95" s="9"/>
      <c r="LI95" s="9"/>
      <c r="LJ95" s="9"/>
      <c r="LK95" s="9"/>
      <c r="LL95" s="9"/>
      <c r="LM95" s="9"/>
      <c r="LN95" s="9"/>
      <c r="LO95" s="9"/>
      <c r="LP95" s="9"/>
      <c r="LQ95" s="9"/>
      <c r="LR95" s="9"/>
      <c r="LS95" s="9"/>
      <c r="LT95" s="9"/>
      <c r="LU95" s="9"/>
      <c r="LV95" s="9"/>
      <c r="LW95" s="9"/>
      <c r="LX95" s="9"/>
      <c r="LY95" s="9"/>
      <c r="LZ95" s="9"/>
      <c r="MA95" s="9"/>
      <c r="MB95" s="9"/>
      <c r="MC95" s="9"/>
      <c r="MD95" s="9"/>
      <c r="ME95" s="9"/>
      <c r="MF95" s="9"/>
      <c r="MG95" s="9"/>
      <c r="MH95" s="9"/>
      <c r="MI95" s="9"/>
      <c r="MJ95" s="9"/>
      <c r="MK95" s="9"/>
    </row>
    <row r="96" spans="1:349" hidden="1" x14ac:dyDescent="0.25">
      <c r="A96" s="9"/>
      <c r="B96" s="9"/>
      <c r="C96" s="9"/>
      <c r="D96" s="9"/>
      <c r="E96" s="9"/>
      <c r="F96" s="9"/>
      <c r="G96" s="9"/>
      <c r="H96" s="9"/>
      <c r="I96" s="9"/>
      <c r="J96" s="9"/>
      <c r="K96" s="9"/>
      <c r="L96" s="9"/>
      <c r="M96" s="9"/>
      <c r="N96" s="9"/>
      <c r="O96" s="9"/>
      <c r="AG96" s="9"/>
      <c r="AH96" s="9"/>
      <c r="AI96" s="9"/>
      <c r="AJ96" s="9"/>
      <c r="AK96" s="9"/>
      <c r="AL96" s="9"/>
      <c r="AM96" s="9"/>
      <c r="AN96" s="9"/>
      <c r="AO96" s="9"/>
      <c r="AP96" s="9"/>
      <c r="AQ96" s="9"/>
      <c r="AR96" s="9"/>
      <c r="AS96" s="9"/>
      <c r="AT96" s="9"/>
      <c r="AU96" s="9"/>
      <c r="AV96" s="9"/>
      <c r="AW96" s="9"/>
      <c r="AX96" s="9"/>
      <c r="AY96" s="9"/>
      <c r="AZ96" s="9"/>
      <c r="BA96" s="9"/>
      <c r="BB96" s="9"/>
      <c r="BC96" s="9"/>
      <c r="BD96" s="9"/>
      <c r="BE96" s="9"/>
      <c r="BF96" s="9"/>
      <c r="BG96" s="9"/>
      <c r="BH96" s="9"/>
      <c r="BI96" s="9"/>
      <c r="BJ96" s="9"/>
      <c r="BK96" s="9"/>
      <c r="BL96" s="9"/>
      <c r="BM96" s="9"/>
      <c r="BN96" s="9"/>
      <c r="BO96" s="9"/>
      <c r="BP96" s="9"/>
      <c r="BQ96" s="9"/>
      <c r="BR96" s="9"/>
      <c r="BS96" s="9"/>
      <c r="BT96" s="9"/>
      <c r="BU96" s="9"/>
      <c r="BV96" s="9"/>
      <c r="BW96" s="9"/>
      <c r="BX96" s="9"/>
      <c r="BY96" s="9"/>
      <c r="BZ96" s="9"/>
      <c r="CA96" s="9"/>
      <c r="CB96" s="9"/>
      <c r="CC96" s="9"/>
      <c r="CD96" s="9"/>
      <c r="CE96" s="9"/>
      <c r="CF96" s="9"/>
      <c r="CG96" s="9"/>
      <c r="CH96" s="9"/>
      <c r="CI96" s="9"/>
      <c r="CJ96" s="9"/>
      <c r="CK96" s="9"/>
      <c r="CL96" s="9"/>
      <c r="CM96" s="9"/>
      <c r="CN96" s="9"/>
      <c r="CO96" s="9"/>
      <c r="CP96" s="9"/>
      <c r="CQ96" s="9"/>
      <c r="CR96" s="9"/>
      <c r="CS96" s="9"/>
      <c r="CT96" s="9"/>
      <c r="CU96" s="9"/>
      <c r="CV96" s="9"/>
      <c r="CW96" s="9"/>
      <c r="CX96" s="9"/>
      <c r="CY96" s="9"/>
      <c r="CZ96" s="9"/>
      <c r="DA96" s="9"/>
      <c r="DB96" s="9"/>
      <c r="DC96" s="9"/>
      <c r="DD96" s="9"/>
      <c r="DE96" s="9"/>
      <c r="DF96" s="9"/>
      <c r="DG96" s="9"/>
      <c r="DH96" s="9"/>
      <c r="DI96" s="9"/>
      <c r="DJ96" s="9"/>
      <c r="DK96" s="9"/>
      <c r="DL96" s="9"/>
      <c r="DM96" s="9"/>
      <c r="DN96" s="9"/>
      <c r="DO96" s="9"/>
      <c r="DP96" s="9"/>
      <c r="DQ96" s="9"/>
      <c r="DR96" s="9"/>
      <c r="DS96" s="9"/>
      <c r="DT96" s="9"/>
      <c r="DU96" s="9"/>
      <c r="DV96" s="9"/>
      <c r="DW96" s="9"/>
      <c r="DX96" s="9"/>
      <c r="DY96" s="9"/>
      <c r="DZ96" s="9"/>
      <c r="EA96" s="9"/>
      <c r="EB96" s="9"/>
      <c r="EC96" s="9"/>
      <c r="ED96" s="9"/>
      <c r="EE96" s="9"/>
      <c r="EF96" s="9"/>
      <c r="EG96" s="9"/>
      <c r="EH96" s="9"/>
      <c r="EI96" s="9"/>
      <c r="EJ96" s="9"/>
      <c r="EK96" s="9"/>
      <c r="EL96" s="9"/>
      <c r="EM96" s="9"/>
      <c r="EN96" s="9"/>
      <c r="EO96" s="9"/>
      <c r="EP96" s="9"/>
      <c r="EQ96" s="9"/>
      <c r="ER96" s="9"/>
      <c r="ES96" s="9"/>
      <c r="ET96" s="9"/>
      <c r="EU96" s="9"/>
      <c r="EV96" s="9"/>
      <c r="EW96" s="9"/>
      <c r="EX96" s="9"/>
      <c r="EY96" s="9"/>
      <c r="EZ96" s="9"/>
      <c r="FA96" s="9"/>
      <c r="FB96" s="9"/>
      <c r="FC96" s="9"/>
      <c r="FD96" s="9"/>
      <c r="FE96" s="9"/>
      <c r="FF96" s="9"/>
      <c r="FG96" s="9"/>
      <c r="FH96" s="9"/>
      <c r="FI96" s="9"/>
      <c r="FJ96" s="9"/>
      <c r="FK96" s="9"/>
      <c r="FL96" s="9"/>
      <c r="FM96" s="9"/>
      <c r="FN96" s="9"/>
      <c r="FO96" s="9"/>
      <c r="FP96" s="9"/>
      <c r="FQ96" s="9"/>
      <c r="FR96" s="9"/>
      <c r="FS96" s="9"/>
      <c r="FT96" s="9"/>
      <c r="FU96" s="9"/>
      <c r="FV96" s="9"/>
      <c r="FW96" s="9"/>
      <c r="FX96" s="9"/>
      <c r="FY96" s="9"/>
      <c r="FZ96" s="9"/>
      <c r="GA96" s="9"/>
      <c r="GB96" s="9"/>
      <c r="GC96" s="9"/>
      <c r="GD96" s="9"/>
      <c r="GE96" s="9"/>
      <c r="GF96" s="9"/>
      <c r="GG96" s="9"/>
      <c r="GH96" s="9"/>
      <c r="GI96" s="9"/>
      <c r="GJ96" s="9"/>
      <c r="GK96" s="9"/>
      <c r="GL96" s="9"/>
      <c r="GM96" s="9"/>
      <c r="GN96" s="9"/>
      <c r="GO96" s="9"/>
      <c r="GP96" s="9"/>
      <c r="GQ96" s="9"/>
      <c r="GR96" s="9"/>
      <c r="GS96" s="9"/>
      <c r="GT96" s="9"/>
      <c r="GU96" s="9"/>
      <c r="GV96" s="9"/>
      <c r="GW96" s="9"/>
      <c r="GX96" s="9"/>
      <c r="GY96" s="9"/>
      <c r="GZ96" s="9"/>
      <c r="HA96" s="9"/>
      <c r="HB96" s="9"/>
      <c r="HC96" s="9"/>
      <c r="HD96" s="9"/>
      <c r="HE96" s="9"/>
      <c r="HF96" s="9"/>
      <c r="HG96" s="9"/>
      <c r="HH96" s="9"/>
      <c r="HI96" s="9"/>
      <c r="HJ96" s="9"/>
      <c r="HK96" s="9"/>
      <c r="HL96" s="9"/>
      <c r="HM96" s="9"/>
      <c r="HN96" s="9"/>
      <c r="HO96" s="9"/>
      <c r="HP96" s="9"/>
      <c r="HQ96" s="9"/>
      <c r="HR96" s="9"/>
      <c r="HS96" s="9"/>
      <c r="HT96" s="9"/>
      <c r="HU96" s="9"/>
      <c r="HV96" s="9"/>
      <c r="HW96" s="9"/>
      <c r="HX96" s="9"/>
      <c r="HY96" s="9"/>
      <c r="HZ96" s="9"/>
      <c r="IA96" s="9"/>
      <c r="IB96" s="9"/>
      <c r="IC96" s="9"/>
      <c r="ID96" s="9"/>
      <c r="IE96" s="9"/>
      <c r="IF96" s="9"/>
      <c r="IG96" s="9"/>
      <c r="IH96" s="9"/>
      <c r="II96" s="9"/>
      <c r="IJ96" s="9"/>
      <c r="IK96" s="9"/>
      <c r="IL96" s="9"/>
      <c r="IM96" s="9"/>
      <c r="IN96" s="9"/>
      <c r="IO96" s="9"/>
      <c r="IP96" s="9"/>
      <c r="IQ96" s="9"/>
      <c r="IR96" s="9"/>
      <c r="IS96" s="9"/>
      <c r="IT96" s="9"/>
      <c r="IU96" s="9"/>
      <c r="IV96" s="9"/>
      <c r="IW96" s="9"/>
      <c r="IX96" s="9"/>
      <c r="IY96" s="9"/>
      <c r="IZ96" s="9"/>
      <c r="JA96" s="9"/>
      <c r="JB96" s="9"/>
      <c r="JC96" s="9"/>
      <c r="JD96" s="9"/>
      <c r="JE96" s="9"/>
      <c r="JF96" s="9"/>
      <c r="JG96" s="9"/>
      <c r="JH96" s="9"/>
      <c r="JI96" s="9"/>
      <c r="JJ96" s="9"/>
      <c r="JK96" s="9"/>
      <c r="JL96" s="9"/>
      <c r="JM96" s="9"/>
      <c r="JN96" s="9"/>
      <c r="JO96" s="9"/>
      <c r="JP96" s="9"/>
      <c r="JQ96" s="9"/>
      <c r="JR96" s="9"/>
      <c r="JS96" s="9"/>
      <c r="JT96" s="9"/>
      <c r="JU96" s="9"/>
      <c r="JV96" s="9"/>
      <c r="JW96" s="9"/>
      <c r="JX96" s="9"/>
      <c r="JY96" s="9"/>
      <c r="JZ96" s="9"/>
      <c r="KA96" s="9"/>
      <c r="KB96" s="9"/>
      <c r="KC96" s="9"/>
      <c r="KD96" s="9"/>
      <c r="KE96" s="9"/>
      <c r="KF96" s="9"/>
      <c r="KG96" s="9"/>
      <c r="KH96" s="9"/>
      <c r="KI96" s="9"/>
      <c r="KJ96" s="9"/>
      <c r="KK96" s="9"/>
      <c r="KL96" s="9"/>
      <c r="KM96" s="9"/>
      <c r="KN96" s="9"/>
      <c r="KO96" s="9"/>
      <c r="KP96" s="9"/>
      <c r="KQ96" s="9"/>
      <c r="KR96" s="9"/>
      <c r="KS96" s="9"/>
      <c r="KT96" s="9"/>
      <c r="KU96" s="9"/>
      <c r="KV96" s="9"/>
      <c r="KW96" s="9"/>
      <c r="KX96" s="9"/>
      <c r="KY96" s="9"/>
      <c r="KZ96" s="9"/>
      <c r="LA96" s="9"/>
      <c r="LB96" s="9"/>
      <c r="LC96" s="9"/>
      <c r="LD96" s="9"/>
      <c r="LE96" s="9"/>
      <c r="LF96" s="9"/>
      <c r="LG96" s="9"/>
      <c r="LH96" s="9"/>
      <c r="LI96" s="9"/>
      <c r="LJ96" s="9"/>
      <c r="LK96" s="9"/>
      <c r="LL96" s="9"/>
      <c r="LM96" s="9"/>
      <c r="LN96" s="9"/>
      <c r="LO96" s="9"/>
      <c r="LP96" s="9"/>
      <c r="LQ96" s="9"/>
      <c r="LR96" s="9"/>
      <c r="LS96" s="9"/>
      <c r="LT96" s="9"/>
      <c r="LU96" s="9"/>
      <c r="LV96" s="9"/>
      <c r="LW96" s="9"/>
      <c r="LX96" s="9"/>
      <c r="LY96" s="9"/>
      <c r="LZ96" s="9"/>
      <c r="MA96" s="9"/>
      <c r="MB96" s="9"/>
      <c r="MC96" s="9"/>
      <c r="MD96" s="9"/>
      <c r="ME96" s="9"/>
      <c r="MF96" s="9"/>
      <c r="MG96" s="9"/>
      <c r="MH96" s="9"/>
      <c r="MI96" s="9"/>
      <c r="MJ96" s="9"/>
      <c r="MK96" s="9"/>
    </row>
    <row r="97" spans="1:349" hidden="1" x14ac:dyDescent="0.25">
      <c r="A97" s="9"/>
      <c r="B97" s="9"/>
      <c r="C97" s="9"/>
      <c r="D97" s="9"/>
      <c r="E97" s="9"/>
      <c r="F97" s="9"/>
      <c r="G97" s="9"/>
      <c r="H97" s="9"/>
      <c r="I97" s="9"/>
      <c r="J97" s="9"/>
      <c r="K97" s="9"/>
      <c r="L97" s="9"/>
      <c r="M97" s="9"/>
      <c r="N97" s="9"/>
      <c r="O97" s="9"/>
      <c r="AG97" s="9"/>
      <c r="AH97" s="9"/>
      <c r="AI97" s="9"/>
      <c r="AJ97" s="9"/>
      <c r="AK97" s="9"/>
      <c r="AL97" s="9"/>
      <c r="AM97" s="9"/>
      <c r="AN97" s="9"/>
      <c r="AO97" s="9"/>
      <c r="AP97" s="9"/>
      <c r="AQ97" s="9"/>
      <c r="AR97" s="9"/>
      <c r="AS97" s="9"/>
      <c r="AT97" s="9"/>
      <c r="AU97" s="9"/>
      <c r="AV97" s="9"/>
      <c r="AW97" s="9"/>
      <c r="AX97" s="9"/>
      <c r="AY97" s="9"/>
      <c r="AZ97" s="9"/>
      <c r="BA97" s="9"/>
      <c r="BB97" s="9"/>
      <c r="BC97" s="9"/>
      <c r="BD97" s="9"/>
      <c r="BE97" s="9"/>
      <c r="BF97" s="9"/>
      <c r="BG97" s="9"/>
      <c r="BH97" s="9"/>
      <c r="BI97" s="9"/>
      <c r="BJ97" s="9"/>
      <c r="BK97" s="9"/>
      <c r="BL97" s="9"/>
      <c r="BM97" s="9"/>
      <c r="BN97" s="9"/>
      <c r="BO97" s="9"/>
      <c r="BP97" s="9"/>
      <c r="BQ97" s="9"/>
      <c r="BR97" s="9"/>
      <c r="BS97" s="9"/>
      <c r="BT97" s="9"/>
      <c r="BU97" s="9"/>
      <c r="BV97" s="9"/>
      <c r="BW97" s="9"/>
      <c r="BX97" s="9"/>
      <c r="BY97" s="9"/>
      <c r="BZ97" s="9"/>
      <c r="CA97" s="9"/>
      <c r="CB97" s="9"/>
      <c r="CC97" s="9"/>
      <c r="CD97" s="9"/>
      <c r="CE97" s="9"/>
      <c r="CF97" s="9"/>
      <c r="CG97" s="9"/>
      <c r="CH97" s="9"/>
      <c r="CI97" s="9"/>
      <c r="CJ97" s="9"/>
      <c r="CK97" s="9"/>
      <c r="CL97" s="9"/>
      <c r="CM97" s="9"/>
      <c r="CN97" s="9"/>
      <c r="CO97" s="9"/>
      <c r="CP97" s="9"/>
      <c r="CQ97" s="9"/>
      <c r="CR97" s="9"/>
      <c r="CS97" s="9"/>
      <c r="CT97" s="9"/>
      <c r="CU97" s="9"/>
      <c r="CV97" s="9"/>
      <c r="CW97" s="9"/>
      <c r="CX97" s="9"/>
      <c r="CY97" s="9"/>
      <c r="CZ97" s="9"/>
      <c r="DA97" s="9"/>
      <c r="DB97" s="9"/>
      <c r="DC97" s="9"/>
      <c r="DD97" s="9"/>
      <c r="DE97" s="9"/>
      <c r="DF97" s="9"/>
      <c r="DG97" s="9"/>
      <c r="DH97" s="9"/>
      <c r="DI97" s="9"/>
      <c r="DJ97" s="9"/>
      <c r="DK97" s="9"/>
      <c r="DL97" s="9"/>
      <c r="DM97" s="9"/>
      <c r="DN97" s="9"/>
      <c r="DO97" s="9"/>
      <c r="DP97" s="9"/>
      <c r="DQ97" s="9"/>
      <c r="DR97" s="9"/>
      <c r="DS97" s="9"/>
      <c r="DT97" s="9"/>
      <c r="DU97" s="9"/>
      <c r="DV97" s="9"/>
      <c r="DW97" s="9"/>
      <c r="DX97" s="9"/>
      <c r="DY97" s="9"/>
      <c r="DZ97" s="9"/>
      <c r="EA97" s="9"/>
      <c r="EB97" s="9"/>
      <c r="EC97" s="9"/>
      <c r="ED97" s="9"/>
      <c r="EE97" s="9"/>
      <c r="EF97" s="9"/>
      <c r="EG97" s="9"/>
      <c r="EH97" s="9"/>
      <c r="EI97" s="9"/>
      <c r="EJ97" s="9"/>
      <c r="EK97" s="9"/>
      <c r="EL97" s="9"/>
      <c r="EM97" s="9"/>
      <c r="EN97" s="9"/>
      <c r="EO97" s="9"/>
      <c r="EP97" s="9"/>
      <c r="EQ97" s="9"/>
      <c r="ER97" s="9"/>
      <c r="ES97" s="9"/>
      <c r="ET97" s="9"/>
      <c r="EU97" s="9"/>
      <c r="EV97" s="9"/>
      <c r="EW97" s="9"/>
      <c r="EX97" s="9"/>
      <c r="EY97" s="9"/>
      <c r="EZ97" s="9"/>
      <c r="FA97" s="9"/>
      <c r="FB97" s="9"/>
      <c r="FC97" s="9"/>
      <c r="FD97" s="9"/>
      <c r="FE97" s="9"/>
      <c r="FF97" s="9"/>
      <c r="FG97" s="9"/>
      <c r="FH97" s="9"/>
      <c r="FI97" s="9"/>
      <c r="FJ97" s="9"/>
      <c r="FK97" s="9"/>
      <c r="FL97" s="9"/>
      <c r="FM97" s="9"/>
      <c r="FN97" s="9"/>
      <c r="FO97" s="9"/>
      <c r="FP97" s="9"/>
      <c r="FQ97" s="9"/>
      <c r="FR97" s="9"/>
      <c r="FS97" s="9"/>
      <c r="FT97" s="9"/>
      <c r="FU97" s="9"/>
      <c r="FV97" s="9"/>
      <c r="FW97" s="9"/>
      <c r="FX97" s="9"/>
      <c r="FY97" s="9"/>
      <c r="FZ97" s="9"/>
      <c r="GA97" s="9"/>
      <c r="GB97" s="9"/>
      <c r="GC97" s="9"/>
      <c r="GD97" s="9"/>
      <c r="GE97" s="9"/>
      <c r="GF97" s="9"/>
      <c r="GG97" s="9"/>
      <c r="GH97" s="9"/>
      <c r="GI97" s="9"/>
      <c r="GJ97" s="9"/>
      <c r="GK97" s="9"/>
      <c r="GL97" s="9"/>
      <c r="GM97" s="9"/>
      <c r="GN97" s="9"/>
      <c r="GO97" s="9"/>
      <c r="GP97" s="9"/>
      <c r="GQ97" s="9"/>
      <c r="GR97" s="9"/>
      <c r="GS97" s="9"/>
      <c r="GT97" s="9"/>
      <c r="GU97" s="9"/>
      <c r="GV97" s="9"/>
      <c r="GW97" s="9"/>
      <c r="GX97" s="9"/>
      <c r="GY97" s="9"/>
      <c r="GZ97" s="9"/>
      <c r="HA97" s="9"/>
      <c r="HB97" s="9"/>
      <c r="HC97" s="9"/>
      <c r="HD97" s="9"/>
      <c r="HE97" s="9"/>
      <c r="HF97" s="9"/>
      <c r="HG97" s="9"/>
      <c r="HH97" s="9"/>
      <c r="HI97" s="9"/>
      <c r="HJ97" s="9"/>
      <c r="HK97" s="9"/>
      <c r="HL97" s="9"/>
      <c r="HM97" s="9"/>
      <c r="HN97" s="9"/>
      <c r="HO97" s="9"/>
      <c r="HP97" s="9"/>
      <c r="HQ97" s="9"/>
      <c r="HR97" s="9"/>
      <c r="HS97" s="9"/>
      <c r="HT97" s="9"/>
      <c r="HU97" s="9"/>
      <c r="HV97" s="9"/>
      <c r="HW97" s="9"/>
      <c r="HX97" s="9"/>
      <c r="HY97" s="9"/>
      <c r="HZ97" s="9"/>
      <c r="IA97" s="9"/>
      <c r="IB97" s="9"/>
      <c r="IC97" s="9"/>
      <c r="ID97" s="9"/>
      <c r="IE97" s="9"/>
      <c r="IF97" s="9"/>
      <c r="IG97" s="9"/>
      <c r="IH97" s="9"/>
      <c r="II97" s="9"/>
      <c r="IJ97" s="9"/>
      <c r="IK97" s="9"/>
      <c r="IL97" s="9"/>
      <c r="IM97" s="9"/>
      <c r="IN97" s="9"/>
      <c r="IO97" s="9"/>
      <c r="IP97" s="9"/>
      <c r="IQ97" s="9"/>
      <c r="IR97" s="9"/>
      <c r="IS97" s="9"/>
      <c r="IT97" s="9"/>
      <c r="IU97" s="9"/>
      <c r="IV97" s="9"/>
      <c r="IW97" s="9"/>
      <c r="IX97" s="9"/>
      <c r="IY97" s="9"/>
      <c r="IZ97" s="9"/>
      <c r="JA97" s="9"/>
      <c r="JB97" s="9"/>
      <c r="JC97" s="9"/>
      <c r="JD97" s="9"/>
      <c r="JE97" s="9"/>
      <c r="JF97" s="9"/>
      <c r="JG97" s="9"/>
      <c r="JH97" s="9"/>
      <c r="JI97" s="9"/>
      <c r="JJ97" s="9"/>
      <c r="JK97" s="9"/>
      <c r="JL97" s="9"/>
      <c r="JM97" s="9"/>
      <c r="JN97" s="9"/>
      <c r="JO97" s="9"/>
      <c r="JP97" s="9"/>
      <c r="JQ97" s="9"/>
      <c r="JR97" s="9"/>
      <c r="JS97" s="9"/>
      <c r="JT97" s="9"/>
      <c r="JU97" s="9"/>
      <c r="JV97" s="9"/>
      <c r="JW97" s="9"/>
      <c r="JX97" s="9"/>
      <c r="JY97" s="9"/>
      <c r="JZ97" s="9"/>
      <c r="KA97" s="9"/>
      <c r="KB97" s="9"/>
      <c r="KC97" s="9"/>
      <c r="KD97" s="9"/>
      <c r="KE97" s="9"/>
      <c r="KF97" s="9"/>
      <c r="KG97" s="9"/>
      <c r="KH97" s="9"/>
      <c r="KI97" s="9"/>
      <c r="KJ97" s="9"/>
      <c r="KK97" s="9"/>
      <c r="KL97" s="9"/>
      <c r="KM97" s="9"/>
      <c r="KN97" s="9"/>
      <c r="KO97" s="9"/>
      <c r="KP97" s="9"/>
      <c r="KQ97" s="9"/>
      <c r="KR97" s="9"/>
      <c r="KS97" s="9"/>
      <c r="KT97" s="9"/>
      <c r="KU97" s="9"/>
      <c r="KV97" s="9"/>
      <c r="KW97" s="9"/>
      <c r="KX97" s="9"/>
      <c r="KY97" s="9"/>
      <c r="KZ97" s="9"/>
      <c r="LA97" s="9"/>
      <c r="LB97" s="9"/>
      <c r="LC97" s="9"/>
      <c r="LD97" s="9"/>
      <c r="LE97" s="9"/>
      <c r="LF97" s="9"/>
      <c r="LG97" s="9"/>
      <c r="LH97" s="9"/>
      <c r="LI97" s="9"/>
      <c r="LJ97" s="9"/>
      <c r="LK97" s="9"/>
      <c r="LL97" s="9"/>
      <c r="LM97" s="9"/>
      <c r="LN97" s="9"/>
      <c r="LO97" s="9"/>
      <c r="LP97" s="9"/>
      <c r="LQ97" s="9"/>
      <c r="LR97" s="9"/>
      <c r="LS97" s="9"/>
      <c r="LT97" s="9"/>
      <c r="LU97" s="9"/>
      <c r="LV97" s="9"/>
      <c r="LW97" s="9"/>
      <c r="LX97" s="9"/>
      <c r="LY97" s="9"/>
      <c r="LZ97" s="9"/>
      <c r="MA97" s="9"/>
      <c r="MB97" s="9"/>
      <c r="MC97" s="9"/>
      <c r="MD97" s="9"/>
      <c r="ME97" s="9"/>
      <c r="MF97" s="9"/>
      <c r="MG97" s="9"/>
      <c r="MH97" s="9"/>
      <c r="MI97" s="9"/>
      <c r="MJ97" s="9"/>
      <c r="MK97" s="9"/>
    </row>
    <row r="98" spans="1:349" hidden="1" x14ac:dyDescent="0.25">
      <c r="A98" s="9"/>
      <c r="B98" s="9"/>
      <c r="C98" s="9"/>
      <c r="D98" s="9"/>
      <c r="E98" s="9"/>
      <c r="F98" s="9"/>
      <c r="G98" s="9"/>
      <c r="H98" s="9"/>
      <c r="I98" s="9"/>
      <c r="J98" s="9"/>
      <c r="K98" s="9"/>
      <c r="L98" s="9"/>
      <c r="M98" s="9"/>
      <c r="N98" s="9"/>
      <c r="O98" s="9"/>
      <c r="AG98" s="9"/>
      <c r="AH98" s="9"/>
      <c r="AI98" s="9"/>
      <c r="AJ98" s="9"/>
      <c r="AK98" s="9"/>
      <c r="AL98" s="9"/>
      <c r="AM98" s="9"/>
      <c r="AN98" s="9"/>
      <c r="AO98" s="9"/>
      <c r="AP98" s="9"/>
      <c r="AQ98" s="9"/>
      <c r="AR98" s="9"/>
      <c r="AS98" s="9"/>
      <c r="AT98" s="9"/>
      <c r="AU98" s="9"/>
      <c r="AV98" s="9"/>
      <c r="AW98" s="9"/>
      <c r="AX98" s="9"/>
      <c r="AY98" s="9"/>
      <c r="AZ98" s="9"/>
      <c r="BA98" s="9"/>
      <c r="BB98" s="9"/>
      <c r="BC98" s="9"/>
      <c r="BD98" s="9"/>
      <c r="BE98" s="9"/>
      <c r="BF98" s="9"/>
      <c r="BG98" s="9"/>
      <c r="BH98" s="9"/>
      <c r="BI98" s="9"/>
      <c r="BJ98" s="9"/>
      <c r="BK98" s="9"/>
      <c r="BL98" s="9"/>
      <c r="BM98" s="9"/>
      <c r="BN98" s="9"/>
      <c r="BO98" s="9"/>
      <c r="BP98" s="9"/>
      <c r="BQ98" s="9"/>
      <c r="BR98" s="9"/>
      <c r="BS98" s="9"/>
      <c r="BT98" s="9"/>
      <c r="BU98" s="9"/>
      <c r="BV98" s="9"/>
      <c r="BW98" s="9"/>
      <c r="BX98" s="9"/>
      <c r="BY98" s="9"/>
      <c r="BZ98" s="9"/>
      <c r="CA98" s="9"/>
      <c r="CB98" s="9"/>
      <c r="CC98" s="9"/>
      <c r="CD98" s="9"/>
      <c r="CE98" s="9"/>
      <c r="CF98" s="9"/>
      <c r="CG98" s="9"/>
      <c r="CH98" s="9"/>
      <c r="CI98" s="9"/>
      <c r="CJ98" s="9"/>
      <c r="CK98" s="9"/>
      <c r="CL98" s="9"/>
      <c r="CM98" s="9"/>
      <c r="CN98" s="9"/>
      <c r="CO98" s="9"/>
      <c r="CP98" s="9"/>
      <c r="CQ98" s="9"/>
      <c r="CR98" s="9"/>
      <c r="CS98" s="9"/>
      <c r="CT98" s="9"/>
      <c r="CU98" s="9"/>
      <c r="CV98" s="9"/>
      <c r="CW98" s="9"/>
      <c r="CX98" s="9"/>
      <c r="CY98" s="9"/>
      <c r="CZ98" s="9"/>
      <c r="DA98" s="9"/>
      <c r="DB98" s="9"/>
      <c r="DC98" s="9"/>
      <c r="DD98" s="9"/>
      <c r="DE98" s="9"/>
      <c r="DF98" s="9"/>
      <c r="DG98" s="9"/>
      <c r="DH98" s="9"/>
      <c r="DI98" s="9"/>
      <c r="DJ98" s="9"/>
      <c r="DK98" s="9"/>
      <c r="DL98" s="9"/>
      <c r="DM98" s="9"/>
      <c r="DN98" s="9"/>
      <c r="DO98" s="9"/>
      <c r="DP98" s="9"/>
      <c r="DQ98" s="9"/>
      <c r="DR98" s="9"/>
      <c r="DS98" s="9"/>
      <c r="DT98" s="9"/>
      <c r="DU98" s="9"/>
      <c r="DV98" s="9"/>
      <c r="DW98" s="9"/>
      <c r="DX98" s="9"/>
      <c r="DY98" s="9"/>
      <c r="DZ98" s="9"/>
      <c r="EA98" s="9"/>
      <c r="EB98" s="9"/>
      <c r="EC98" s="9"/>
      <c r="ED98" s="9"/>
      <c r="EE98" s="9"/>
      <c r="EF98" s="9"/>
      <c r="EG98" s="9"/>
      <c r="EH98" s="9"/>
      <c r="EI98" s="9"/>
      <c r="EJ98" s="9"/>
      <c r="EK98" s="9"/>
      <c r="EL98" s="9"/>
      <c r="EM98" s="9"/>
      <c r="EN98" s="9"/>
      <c r="EO98" s="9"/>
      <c r="EP98" s="9"/>
      <c r="EQ98" s="9"/>
      <c r="ER98" s="9"/>
      <c r="ES98" s="9"/>
      <c r="ET98" s="9"/>
      <c r="EU98" s="9"/>
      <c r="EV98" s="9"/>
      <c r="EW98" s="9"/>
      <c r="EX98" s="9"/>
      <c r="EY98" s="9"/>
      <c r="EZ98" s="9"/>
      <c r="FA98" s="9"/>
      <c r="FB98" s="9"/>
      <c r="FC98" s="9"/>
      <c r="FD98" s="9"/>
      <c r="FE98" s="9"/>
      <c r="FF98" s="9"/>
      <c r="FG98" s="9"/>
      <c r="FH98" s="9"/>
      <c r="FI98" s="9"/>
      <c r="FJ98" s="9"/>
      <c r="FK98" s="9"/>
      <c r="FL98" s="9"/>
      <c r="FM98" s="9"/>
      <c r="FN98" s="9"/>
      <c r="FO98" s="9"/>
      <c r="FP98" s="9"/>
      <c r="FQ98" s="9"/>
      <c r="FR98" s="9"/>
      <c r="FS98" s="9"/>
      <c r="FT98" s="9"/>
      <c r="FU98" s="9"/>
      <c r="FV98" s="9"/>
      <c r="FW98" s="9"/>
      <c r="FX98" s="9"/>
      <c r="FY98" s="9"/>
      <c r="FZ98" s="9"/>
      <c r="GA98" s="9"/>
      <c r="GB98" s="9"/>
      <c r="GC98" s="9"/>
      <c r="GD98" s="9"/>
      <c r="GE98" s="9"/>
      <c r="GF98" s="9"/>
      <c r="GG98" s="9"/>
      <c r="GH98" s="9"/>
      <c r="GI98" s="9"/>
      <c r="GJ98" s="9"/>
      <c r="GK98" s="9"/>
      <c r="GL98" s="9"/>
      <c r="GM98" s="9"/>
      <c r="GN98" s="9"/>
      <c r="GO98" s="9"/>
      <c r="GP98" s="9"/>
      <c r="GQ98" s="9"/>
      <c r="GR98" s="9"/>
      <c r="GS98" s="9"/>
      <c r="GT98" s="9"/>
      <c r="GU98" s="9"/>
      <c r="GV98" s="9"/>
      <c r="GW98" s="9"/>
      <c r="GX98" s="9"/>
      <c r="GY98" s="9"/>
      <c r="GZ98" s="9"/>
      <c r="HA98" s="9"/>
      <c r="HB98" s="9"/>
      <c r="HC98" s="9"/>
      <c r="HD98" s="9"/>
      <c r="HE98" s="9"/>
      <c r="HF98" s="9"/>
      <c r="HG98" s="9"/>
      <c r="HH98" s="9"/>
      <c r="HI98" s="9"/>
      <c r="HJ98" s="9"/>
      <c r="HK98" s="9"/>
      <c r="HL98" s="9"/>
      <c r="HM98" s="9"/>
      <c r="HN98" s="9"/>
      <c r="HO98" s="9"/>
      <c r="HP98" s="9"/>
      <c r="HQ98" s="9"/>
      <c r="HR98" s="9"/>
      <c r="HS98" s="9"/>
      <c r="HT98" s="9"/>
      <c r="HU98" s="9"/>
      <c r="HV98" s="9"/>
      <c r="HW98" s="9"/>
      <c r="HX98" s="9"/>
      <c r="HY98" s="9"/>
      <c r="HZ98" s="9"/>
      <c r="IA98" s="9"/>
      <c r="IB98" s="9"/>
      <c r="IC98" s="9"/>
      <c r="ID98" s="9"/>
      <c r="IE98" s="9"/>
      <c r="IF98" s="9"/>
      <c r="IG98" s="9"/>
      <c r="IH98" s="9"/>
      <c r="II98" s="9"/>
      <c r="IJ98" s="9"/>
      <c r="IK98" s="9"/>
      <c r="IL98" s="9"/>
      <c r="IM98" s="9"/>
      <c r="IN98" s="9"/>
      <c r="IO98" s="9"/>
      <c r="IP98" s="9"/>
      <c r="IQ98" s="9"/>
      <c r="IR98" s="9"/>
      <c r="IS98" s="9"/>
      <c r="IT98" s="9"/>
      <c r="IU98" s="9"/>
      <c r="IV98" s="9"/>
      <c r="IW98" s="9"/>
      <c r="IX98" s="9"/>
      <c r="IY98" s="9"/>
      <c r="IZ98" s="9"/>
      <c r="JA98" s="9"/>
      <c r="JB98" s="9"/>
      <c r="JC98" s="9"/>
      <c r="JD98" s="9"/>
      <c r="JE98" s="9"/>
      <c r="JF98" s="9"/>
      <c r="JG98" s="9"/>
      <c r="JH98" s="9"/>
      <c r="JI98" s="9"/>
      <c r="JJ98" s="9"/>
      <c r="JK98" s="9"/>
      <c r="JL98" s="9"/>
      <c r="JM98" s="9"/>
      <c r="JN98" s="9"/>
      <c r="JO98" s="9"/>
      <c r="JP98" s="9"/>
      <c r="JQ98" s="9"/>
      <c r="JR98" s="9"/>
      <c r="JS98" s="9"/>
      <c r="JT98" s="9"/>
      <c r="JU98" s="9"/>
      <c r="JV98" s="9"/>
      <c r="JW98" s="9"/>
      <c r="JX98" s="9"/>
      <c r="JY98" s="9"/>
      <c r="JZ98" s="9"/>
      <c r="KA98" s="9"/>
      <c r="KB98" s="9"/>
      <c r="KC98" s="9"/>
      <c r="KD98" s="9"/>
      <c r="KE98" s="9"/>
      <c r="KF98" s="9"/>
      <c r="KG98" s="9"/>
      <c r="KH98" s="9"/>
      <c r="KI98" s="9"/>
      <c r="KJ98" s="9"/>
      <c r="KK98" s="9"/>
      <c r="KL98" s="9"/>
      <c r="KM98" s="9"/>
      <c r="KN98" s="9"/>
      <c r="KO98" s="9"/>
      <c r="KP98" s="9"/>
      <c r="KQ98" s="9"/>
      <c r="KR98" s="9"/>
      <c r="KS98" s="9"/>
      <c r="KT98" s="9"/>
      <c r="KU98" s="9"/>
      <c r="KV98" s="9"/>
      <c r="KW98" s="9"/>
      <c r="KX98" s="9"/>
      <c r="KY98" s="9"/>
      <c r="KZ98" s="9"/>
      <c r="LA98" s="9"/>
      <c r="LB98" s="9"/>
      <c r="LC98" s="9"/>
      <c r="LD98" s="9"/>
      <c r="LE98" s="9"/>
      <c r="LF98" s="9"/>
      <c r="LG98" s="9"/>
      <c r="LH98" s="9"/>
      <c r="LI98" s="9"/>
      <c r="LJ98" s="9"/>
      <c r="LK98" s="9"/>
      <c r="LL98" s="9"/>
      <c r="LM98" s="9"/>
      <c r="LN98" s="9"/>
      <c r="LO98" s="9"/>
      <c r="LP98" s="9"/>
      <c r="LQ98" s="9"/>
      <c r="LR98" s="9"/>
      <c r="LS98" s="9"/>
      <c r="LT98" s="9"/>
      <c r="LU98" s="9"/>
      <c r="LV98" s="9"/>
      <c r="LW98" s="9"/>
      <c r="LX98" s="9"/>
      <c r="LY98" s="9"/>
      <c r="LZ98" s="9"/>
      <c r="MA98" s="9"/>
      <c r="MB98" s="9"/>
      <c r="MC98" s="9"/>
      <c r="MD98" s="9"/>
      <c r="ME98" s="9"/>
      <c r="MF98" s="9"/>
      <c r="MG98" s="9"/>
      <c r="MH98" s="9"/>
      <c r="MI98" s="9"/>
      <c r="MJ98" s="9"/>
      <c r="MK98" s="9"/>
    </row>
    <row r="99" spans="1:349" hidden="1" x14ac:dyDescent="0.25">
      <c r="A99" s="9"/>
      <c r="B99" s="9"/>
      <c r="C99" s="9"/>
      <c r="D99" s="9"/>
      <c r="E99" s="9"/>
      <c r="F99" s="9"/>
      <c r="G99" s="9"/>
      <c r="H99" s="9"/>
      <c r="I99" s="9"/>
      <c r="J99" s="9"/>
      <c r="K99" s="9"/>
      <c r="L99" s="9"/>
      <c r="M99" s="9"/>
      <c r="N99" s="9"/>
      <c r="O99" s="9"/>
      <c r="AG99" s="9"/>
      <c r="AH99" s="9"/>
      <c r="AI99" s="9"/>
      <c r="AJ99" s="9"/>
      <c r="AK99" s="9"/>
      <c r="AL99" s="9"/>
      <c r="AM99" s="9"/>
      <c r="AN99" s="9"/>
      <c r="AO99" s="9"/>
      <c r="AP99" s="9"/>
      <c r="AQ99" s="9"/>
      <c r="AR99" s="9"/>
      <c r="AS99" s="9"/>
      <c r="AT99" s="9"/>
      <c r="AU99" s="9"/>
      <c r="AV99" s="9"/>
      <c r="AW99" s="9"/>
      <c r="AX99" s="9"/>
      <c r="AY99" s="9"/>
      <c r="AZ99" s="9"/>
      <c r="BA99" s="9"/>
      <c r="BB99" s="9"/>
      <c r="BC99" s="9"/>
      <c r="BD99" s="9"/>
      <c r="BE99" s="9"/>
      <c r="BF99" s="9"/>
      <c r="BG99" s="9"/>
      <c r="BH99" s="9"/>
      <c r="BI99" s="9"/>
      <c r="BJ99" s="9"/>
      <c r="BK99" s="9"/>
      <c r="BL99" s="9"/>
      <c r="BM99" s="9"/>
      <c r="BN99" s="9"/>
      <c r="BO99" s="9"/>
      <c r="BP99" s="9"/>
      <c r="BQ99" s="9"/>
      <c r="BR99" s="9"/>
      <c r="BS99" s="9"/>
      <c r="BT99" s="9"/>
      <c r="BU99" s="9"/>
      <c r="BV99" s="9"/>
      <c r="BW99" s="9"/>
      <c r="BX99" s="9"/>
      <c r="BY99" s="9"/>
      <c r="BZ99" s="9"/>
      <c r="CA99" s="9"/>
      <c r="CB99" s="9"/>
      <c r="CC99" s="9"/>
      <c r="CD99" s="9"/>
      <c r="CE99" s="9"/>
      <c r="CF99" s="9"/>
      <c r="CG99" s="9"/>
      <c r="CH99" s="9"/>
      <c r="CI99" s="9"/>
      <c r="CJ99" s="9"/>
      <c r="CK99" s="9"/>
      <c r="CL99" s="9"/>
      <c r="CM99" s="9"/>
      <c r="CN99" s="9"/>
      <c r="CO99" s="9"/>
      <c r="CP99" s="9"/>
      <c r="CQ99" s="9"/>
      <c r="CR99" s="9"/>
      <c r="CS99" s="9"/>
      <c r="CT99" s="9"/>
      <c r="CU99" s="9"/>
      <c r="CV99" s="9"/>
      <c r="CW99" s="9"/>
      <c r="CX99" s="9"/>
      <c r="CY99" s="9"/>
      <c r="CZ99" s="9"/>
      <c r="DA99" s="9"/>
      <c r="DB99" s="9"/>
      <c r="DC99" s="9"/>
      <c r="DD99" s="9"/>
      <c r="DE99" s="9"/>
      <c r="DF99" s="9"/>
      <c r="DG99" s="9"/>
      <c r="DH99" s="9"/>
      <c r="DI99" s="9"/>
      <c r="DJ99" s="9"/>
      <c r="DK99" s="9"/>
      <c r="DL99" s="9"/>
      <c r="DM99" s="9"/>
      <c r="DN99" s="9"/>
      <c r="DO99" s="9"/>
      <c r="DP99" s="9"/>
      <c r="DQ99" s="9"/>
      <c r="DR99" s="9"/>
      <c r="DS99" s="9"/>
      <c r="DT99" s="9"/>
      <c r="DU99" s="9"/>
      <c r="DV99" s="9"/>
      <c r="DW99" s="9"/>
      <c r="DX99" s="9"/>
      <c r="DY99" s="9"/>
      <c r="DZ99" s="9"/>
      <c r="EA99" s="9"/>
      <c r="EB99" s="9"/>
      <c r="EC99" s="9"/>
      <c r="ED99" s="9"/>
      <c r="EE99" s="9"/>
      <c r="EF99" s="9"/>
      <c r="EG99" s="9"/>
      <c r="EH99" s="9"/>
      <c r="EI99" s="9"/>
      <c r="EJ99" s="9"/>
      <c r="EK99" s="9"/>
      <c r="EL99" s="9"/>
      <c r="EM99" s="9"/>
      <c r="EN99" s="9"/>
      <c r="EO99" s="9"/>
      <c r="EP99" s="9"/>
      <c r="EQ99" s="9"/>
      <c r="ER99" s="9"/>
      <c r="ES99" s="9"/>
      <c r="ET99" s="9"/>
      <c r="EU99" s="9"/>
      <c r="EV99" s="9"/>
      <c r="EW99" s="9"/>
      <c r="EX99" s="9"/>
      <c r="EY99" s="9"/>
      <c r="EZ99" s="9"/>
      <c r="FA99" s="9"/>
      <c r="FB99" s="9"/>
      <c r="FC99" s="9"/>
      <c r="FD99" s="9"/>
      <c r="FE99" s="9"/>
      <c r="FF99" s="9"/>
      <c r="FG99" s="9"/>
      <c r="FH99" s="9"/>
      <c r="FI99" s="9"/>
      <c r="FJ99" s="9"/>
      <c r="FK99" s="9"/>
      <c r="FL99" s="9"/>
      <c r="FM99" s="9"/>
      <c r="FN99" s="9"/>
      <c r="FO99" s="9"/>
      <c r="FP99" s="9"/>
      <c r="FQ99" s="9"/>
      <c r="FR99" s="9"/>
      <c r="FS99" s="9"/>
      <c r="FT99" s="9"/>
      <c r="FU99" s="9"/>
      <c r="FV99" s="9"/>
      <c r="FW99" s="9"/>
      <c r="FX99" s="9"/>
      <c r="FY99" s="9"/>
      <c r="FZ99" s="9"/>
      <c r="GA99" s="9"/>
      <c r="GB99" s="9"/>
      <c r="GC99" s="9"/>
      <c r="GD99" s="9"/>
      <c r="GE99" s="9"/>
      <c r="GF99" s="9"/>
      <c r="GG99" s="9"/>
      <c r="GH99" s="9"/>
      <c r="GI99" s="9"/>
      <c r="GJ99" s="9"/>
      <c r="GK99" s="9"/>
      <c r="GL99" s="9"/>
      <c r="GM99" s="9"/>
      <c r="GN99" s="9"/>
      <c r="GO99" s="9"/>
      <c r="GP99" s="9"/>
      <c r="GQ99" s="9"/>
      <c r="GR99" s="9"/>
      <c r="GS99" s="9"/>
      <c r="GT99" s="9"/>
      <c r="GU99" s="9"/>
      <c r="GV99" s="9"/>
      <c r="GW99" s="9"/>
      <c r="GX99" s="9"/>
      <c r="GY99" s="9"/>
      <c r="GZ99" s="9"/>
      <c r="HA99" s="9"/>
      <c r="HB99" s="9"/>
      <c r="HC99" s="9"/>
      <c r="HD99" s="9"/>
      <c r="HE99" s="9"/>
      <c r="HF99" s="9"/>
      <c r="HG99" s="9"/>
      <c r="HH99" s="9"/>
      <c r="HI99" s="9"/>
      <c r="HJ99" s="9"/>
      <c r="HK99" s="9"/>
      <c r="HL99" s="9"/>
      <c r="HM99" s="9"/>
      <c r="HN99" s="9"/>
      <c r="HO99" s="9"/>
      <c r="HP99" s="9"/>
      <c r="HQ99" s="9"/>
      <c r="HR99" s="9"/>
      <c r="HS99" s="9"/>
      <c r="HT99" s="9"/>
      <c r="HU99" s="9"/>
      <c r="HV99" s="9"/>
      <c r="HW99" s="9"/>
      <c r="HX99" s="9"/>
      <c r="HY99" s="9"/>
      <c r="HZ99" s="9"/>
      <c r="IA99" s="9"/>
      <c r="IB99" s="9"/>
      <c r="IC99" s="9"/>
      <c r="ID99" s="9"/>
      <c r="IE99" s="9"/>
      <c r="IF99" s="9"/>
      <c r="IG99" s="9"/>
      <c r="IH99" s="9"/>
      <c r="II99" s="9"/>
      <c r="IJ99" s="9"/>
      <c r="IK99" s="9"/>
      <c r="IL99" s="9"/>
      <c r="IM99" s="9"/>
      <c r="IN99" s="9"/>
      <c r="IO99" s="9"/>
      <c r="IP99" s="9"/>
      <c r="IQ99" s="9"/>
      <c r="IR99" s="9"/>
      <c r="IS99" s="9"/>
      <c r="IT99" s="9"/>
      <c r="IU99" s="9"/>
      <c r="IV99" s="9"/>
      <c r="IW99" s="9"/>
      <c r="IX99" s="9"/>
      <c r="IY99" s="9"/>
      <c r="IZ99" s="9"/>
      <c r="JA99" s="9"/>
      <c r="JB99" s="9"/>
      <c r="JC99" s="9"/>
      <c r="JD99" s="9"/>
      <c r="JE99" s="9"/>
      <c r="JF99" s="9"/>
      <c r="JG99" s="9"/>
      <c r="JH99" s="9"/>
      <c r="JI99" s="9"/>
      <c r="JJ99" s="9"/>
      <c r="JK99" s="9"/>
      <c r="JL99" s="9"/>
      <c r="JM99" s="9"/>
      <c r="JN99" s="9"/>
      <c r="JO99" s="9"/>
      <c r="JP99" s="9"/>
      <c r="JQ99" s="9"/>
      <c r="JR99" s="9"/>
      <c r="JS99" s="9"/>
      <c r="JT99" s="9"/>
      <c r="JU99" s="9"/>
      <c r="JV99" s="9"/>
      <c r="JW99" s="9"/>
      <c r="JX99" s="9"/>
      <c r="JY99" s="9"/>
      <c r="JZ99" s="9"/>
      <c r="KA99" s="9"/>
      <c r="KB99" s="9"/>
      <c r="KC99" s="9"/>
      <c r="KD99" s="9"/>
      <c r="KE99" s="9"/>
      <c r="KF99" s="9"/>
      <c r="KG99" s="9"/>
      <c r="KH99" s="9"/>
      <c r="KI99" s="9"/>
      <c r="KJ99" s="9"/>
      <c r="KK99" s="9"/>
      <c r="KL99" s="9"/>
      <c r="KM99" s="9"/>
      <c r="KN99" s="9"/>
      <c r="KO99" s="9"/>
      <c r="KP99" s="9"/>
      <c r="KQ99" s="9"/>
      <c r="KR99" s="9"/>
      <c r="KS99" s="9"/>
      <c r="KT99" s="9"/>
      <c r="KU99" s="9"/>
      <c r="KV99" s="9"/>
      <c r="KW99" s="9"/>
      <c r="KX99" s="9"/>
      <c r="KY99" s="9"/>
      <c r="KZ99" s="9"/>
      <c r="LA99" s="9"/>
      <c r="LB99" s="9"/>
      <c r="LC99" s="9"/>
      <c r="LD99" s="9"/>
      <c r="LE99" s="9"/>
      <c r="LF99" s="9"/>
      <c r="LG99" s="9"/>
      <c r="LH99" s="9"/>
      <c r="LI99" s="9"/>
      <c r="LJ99" s="9"/>
      <c r="LK99" s="9"/>
      <c r="LL99" s="9"/>
      <c r="LM99" s="9"/>
      <c r="LN99" s="9"/>
      <c r="LO99" s="9"/>
      <c r="LP99" s="9"/>
      <c r="LQ99" s="9"/>
      <c r="LR99" s="9"/>
      <c r="LS99" s="9"/>
      <c r="LT99" s="9"/>
      <c r="LU99" s="9"/>
      <c r="LV99" s="9"/>
      <c r="LW99" s="9"/>
      <c r="LX99" s="9"/>
      <c r="LY99" s="9"/>
      <c r="LZ99" s="9"/>
      <c r="MA99" s="9"/>
      <c r="MB99" s="9"/>
      <c r="MC99" s="9"/>
      <c r="MD99" s="9"/>
      <c r="ME99" s="9"/>
      <c r="MF99" s="9"/>
      <c r="MG99" s="9"/>
      <c r="MH99" s="9"/>
      <c r="MI99" s="9"/>
      <c r="MJ99" s="9"/>
      <c r="MK99" s="9"/>
    </row>
    <row r="100" spans="1:349" hidden="1" x14ac:dyDescent="0.25">
      <c r="A100" s="9"/>
      <c r="B100" s="9"/>
      <c r="C100" s="9"/>
      <c r="D100" s="9"/>
      <c r="E100" s="9"/>
      <c r="F100" s="9"/>
      <c r="G100" s="9"/>
      <c r="H100" s="9"/>
      <c r="I100" s="9"/>
      <c r="J100" s="9"/>
      <c r="K100" s="9"/>
      <c r="L100" s="9"/>
      <c r="M100" s="9"/>
      <c r="N100" s="9"/>
      <c r="O100" s="9"/>
      <c r="AG100" s="9"/>
      <c r="AH100" s="9"/>
      <c r="AI100" s="9"/>
      <c r="AJ100" s="9"/>
      <c r="AK100" s="9"/>
      <c r="AL100" s="9"/>
      <c r="AM100" s="9"/>
      <c r="AN100" s="9"/>
      <c r="AO100" s="9"/>
      <c r="AP100" s="9"/>
      <c r="AQ100" s="9"/>
      <c r="AR100" s="9"/>
      <c r="AS100" s="9"/>
      <c r="AT100" s="9"/>
      <c r="AU100" s="9"/>
      <c r="AV100" s="9"/>
      <c r="AW100" s="9"/>
      <c r="AX100" s="9"/>
      <c r="AY100" s="9"/>
      <c r="AZ100" s="9"/>
      <c r="BA100" s="9"/>
      <c r="BB100" s="9"/>
      <c r="BC100" s="9"/>
      <c r="BD100" s="9"/>
      <c r="BE100" s="9"/>
      <c r="BF100" s="9"/>
      <c r="BG100" s="9"/>
      <c r="BH100" s="9"/>
      <c r="BI100" s="9"/>
      <c r="BJ100" s="9"/>
      <c r="BK100" s="9"/>
      <c r="BL100" s="9"/>
      <c r="BM100" s="9"/>
      <c r="BN100" s="9"/>
      <c r="BO100" s="9"/>
      <c r="BP100" s="9"/>
      <c r="BQ100" s="9"/>
      <c r="BR100" s="9"/>
      <c r="BS100" s="9"/>
      <c r="BT100" s="9"/>
      <c r="BU100" s="9"/>
      <c r="BV100" s="9"/>
      <c r="BW100" s="9"/>
      <c r="BX100" s="9"/>
      <c r="BY100" s="9"/>
      <c r="BZ100" s="9"/>
      <c r="CA100" s="9"/>
      <c r="CB100" s="9"/>
      <c r="CC100" s="9"/>
      <c r="CD100" s="9"/>
      <c r="CE100" s="9"/>
      <c r="CF100" s="9"/>
      <c r="CG100" s="9"/>
      <c r="CH100" s="9"/>
      <c r="CI100" s="9"/>
      <c r="CJ100" s="9"/>
      <c r="CK100" s="9"/>
      <c r="CL100" s="9"/>
      <c r="CM100" s="9"/>
      <c r="CN100" s="9"/>
      <c r="CO100" s="9"/>
      <c r="CP100" s="9"/>
      <c r="CQ100" s="9"/>
      <c r="CR100" s="9"/>
      <c r="CS100" s="9"/>
      <c r="CT100" s="9"/>
      <c r="CU100" s="9"/>
      <c r="CV100" s="9"/>
      <c r="CW100" s="9"/>
      <c r="CX100" s="9"/>
      <c r="CY100" s="9"/>
      <c r="CZ100" s="9"/>
      <c r="DA100" s="9"/>
      <c r="DB100" s="9"/>
      <c r="DC100" s="9"/>
      <c r="DD100" s="9"/>
      <c r="DE100" s="9"/>
      <c r="DF100" s="9"/>
      <c r="DG100" s="9"/>
      <c r="DH100" s="9"/>
      <c r="DI100" s="9"/>
      <c r="DJ100" s="9"/>
      <c r="DK100" s="9"/>
      <c r="DL100" s="9"/>
      <c r="DM100" s="9"/>
      <c r="DN100" s="9"/>
      <c r="DO100" s="9"/>
      <c r="DP100" s="9"/>
      <c r="DQ100" s="9"/>
      <c r="DR100" s="9"/>
      <c r="DS100" s="9"/>
      <c r="DT100" s="9"/>
      <c r="DU100" s="9"/>
      <c r="DV100" s="9"/>
      <c r="DW100" s="9"/>
      <c r="DX100" s="9"/>
      <c r="DY100" s="9"/>
      <c r="DZ100" s="9"/>
      <c r="EA100" s="9"/>
      <c r="EB100" s="9"/>
      <c r="EC100" s="9"/>
      <c r="ED100" s="9"/>
      <c r="EE100" s="9"/>
      <c r="EF100" s="9"/>
      <c r="EG100" s="9"/>
      <c r="EH100" s="9"/>
      <c r="EI100" s="9"/>
      <c r="EJ100" s="9"/>
      <c r="EK100" s="9"/>
      <c r="EL100" s="9"/>
      <c r="EM100" s="9"/>
      <c r="EN100" s="9"/>
      <c r="EO100" s="9"/>
      <c r="EP100" s="9"/>
      <c r="EQ100" s="9"/>
      <c r="ER100" s="9"/>
      <c r="ES100" s="9"/>
      <c r="ET100" s="9"/>
      <c r="EU100" s="9"/>
      <c r="EV100" s="9"/>
      <c r="EW100" s="9"/>
      <c r="EX100" s="9"/>
      <c r="EY100" s="9"/>
      <c r="EZ100" s="9"/>
      <c r="FA100" s="9"/>
      <c r="FB100" s="9"/>
      <c r="FC100" s="9"/>
      <c r="FD100" s="9"/>
      <c r="FE100" s="9"/>
      <c r="FF100" s="9"/>
      <c r="FG100" s="9"/>
      <c r="FH100" s="9"/>
      <c r="FI100" s="9"/>
      <c r="FJ100" s="9"/>
      <c r="FK100" s="9"/>
      <c r="FL100" s="9"/>
      <c r="FM100" s="9"/>
      <c r="FN100" s="9"/>
      <c r="FO100" s="9"/>
      <c r="FP100" s="9"/>
      <c r="FQ100" s="9"/>
      <c r="FR100" s="9"/>
      <c r="FS100" s="9"/>
      <c r="FT100" s="9"/>
      <c r="FU100" s="9"/>
      <c r="FV100" s="9"/>
      <c r="FW100" s="9"/>
      <c r="FX100" s="9"/>
      <c r="FY100" s="9"/>
      <c r="FZ100" s="9"/>
      <c r="GA100" s="9"/>
      <c r="GB100" s="9"/>
      <c r="GC100" s="9"/>
      <c r="GD100" s="9"/>
      <c r="GE100" s="9"/>
      <c r="GF100" s="9"/>
      <c r="GG100" s="9"/>
      <c r="GH100" s="9"/>
      <c r="GI100" s="9"/>
      <c r="GJ100" s="9"/>
      <c r="GK100" s="9"/>
      <c r="GL100" s="9"/>
      <c r="GM100" s="9"/>
      <c r="GN100" s="9"/>
      <c r="GO100" s="9"/>
      <c r="GP100" s="9"/>
      <c r="GQ100" s="9"/>
      <c r="GR100" s="9"/>
      <c r="GS100" s="9"/>
      <c r="GT100" s="9"/>
      <c r="GU100" s="9"/>
      <c r="GV100" s="9"/>
      <c r="GW100" s="9"/>
      <c r="GX100" s="9"/>
      <c r="GY100" s="9"/>
      <c r="GZ100" s="9"/>
      <c r="HA100" s="9"/>
      <c r="HB100" s="9"/>
      <c r="HC100" s="9"/>
      <c r="HD100" s="9"/>
      <c r="HE100" s="9"/>
      <c r="HF100" s="9"/>
      <c r="HG100" s="9"/>
      <c r="HH100" s="9"/>
      <c r="HI100" s="9"/>
      <c r="HJ100" s="9"/>
      <c r="HK100" s="9"/>
      <c r="HL100" s="9"/>
      <c r="HM100" s="9"/>
      <c r="HN100" s="9"/>
      <c r="HO100" s="9"/>
      <c r="HP100" s="9"/>
      <c r="HQ100" s="9"/>
      <c r="HR100" s="9"/>
      <c r="HS100" s="9"/>
      <c r="HT100" s="9"/>
      <c r="HU100" s="9"/>
      <c r="HV100" s="9"/>
      <c r="HW100" s="9"/>
      <c r="HX100" s="9"/>
      <c r="HY100" s="9"/>
      <c r="HZ100" s="9"/>
      <c r="IA100" s="9"/>
      <c r="IB100" s="9"/>
      <c r="IC100" s="9"/>
      <c r="ID100" s="9"/>
      <c r="IE100" s="9"/>
      <c r="IF100" s="9"/>
      <c r="IG100" s="9"/>
      <c r="IH100" s="9"/>
      <c r="II100" s="9"/>
      <c r="IJ100" s="9"/>
      <c r="IK100" s="9"/>
      <c r="IL100" s="9"/>
      <c r="IM100" s="9"/>
      <c r="IN100" s="9"/>
      <c r="IO100" s="9"/>
      <c r="IP100" s="9"/>
      <c r="IQ100" s="9"/>
      <c r="IR100" s="9"/>
      <c r="IS100" s="9"/>
      <c r="IT100" s="9"/>
      <c r="IU100" s="9"/>
      <c r="IV100" s="9"/>
      <c r="IW100" s="9"/>
      <c r="IX100" s="9"/>
      <c r="IY100" s="9"/>
      <c r="IZ100" s="9"/>
      <c r="JA100" s="9"/>
      <c r="JB100" s="9"/>
      <c r="JC100" s="9"/>
      <c r="JD100" s="9"/>
      <c r="JE100" s="9"/>
      <c r="JF100" s="9"/>
      <c r="JG100" s="9"/>
      <c r="JH100" s="9"/>
      <c r="JI100" s="9"/>
      <c r="JJ100" s="9"/>
      <c r="JK100" s="9"/>
      <c r="JL100" s="9"/>
      <c r="JM100" s="9"/>
      <c r="JN100" s="9"/>
      <c r="JO100" s="9"/>
      <c r="JP100" s="9"/>
      <c r="JQ100" s="9"/>
      <c r="JR100" s="9"/>
      <c r="JS100" s="9"/>
      <c r="JT100" s="9"/>
      <c r="JU100" s="9"/>
      <c r="JV100" s="9"/>
      <c r="JW100" s="9"/>
      <c r="JX100" s="9"/>
      <c r="JY100" s="9"/>
      <c r="JZ100" s="9"/>
      <c r="KA100" s="9"/>
      <c r="KB100" s="9"/>
      <c r="KC100" s="9"/>
      <c r="KD100" s="9"/>
      <c r="KE100" s="9"/>
      <c r="KF100" s="9"/>
      <c r="KG100" s="9"/>
      <c r="KH100" s="9"/>
      <c r="KI100" s="9"/>
      <c r="KJ100" s="9"/>
      <c r="KK100" s="9"/>
      <c r="KL100" s="9"/>
      <c r="KM100" s="9"/>
      <c r="KN100" s="9"/>
      <c r="KO100" s="9"/>
      <c r="KP100" s="9"/>
      <c r="KQ100" s="9"/>
      <c r="KR100" s="9"/>
      <c r="KS100" s="9"/>
      <c r="KT100" s="9"/>
      <c r="KU100" s="9"/>
      <c r="KV100" s="9"/>
      <c r="KW100" s="9"/>
      <c r="KX100" s="9"/>
      <c r="KY100" s="9"/>
      <c r="KZ100" s="9"/>
      <c r="LA100" s="9"/>
      <c r="LB100" s="9"/>
      <c r="LC100" s="9"/>
      <c r="LD100" s="9"/>
      <c r="LE100" s="9"/>
      <c r="LF100" s="9"/>
      <c r="LG100" s="9"/>
      <c r="LH100" s="9"/>
      <c r="LI100" s="9"/>
      <c r="LJ100" s="9"/>
      <c r="LK100" s="9"/>
      <c r="LL100" s="9"/>
      <c r="LM100" s="9"/>
      <c r="LN100" s="9"/>
      <c r="LO100" s="9"/>
      <c r="LP100" s="9"/>
      <c r="LQ100" s="9"/>
      <c r="LR100" s="9"/>
      <c r="LS100" s="9"/>
      <c r="LT100" s="9"/>
      <c r="LU100" s="9"/>
      <c r="LV100" s="9"/>
      <c r="LW100" s="9"/>
      <c r="LX100" s="9"/>
      <c r="LY100" s="9"/>
      <c r="LZ100" s="9"/>
      <c r="MA100" s="9"/>
      <c r="MB100" s="9"/>
      <c r="MC100" s="9"/>
      <c r="MD100" s="9"/>
      <c r="ME100" s="9"/>
      <c r="MF100" s="9"/>
      <c r="MG100" s="9"/>
      <c r="MH100" s="9"/>
      <c r="MI100" s="9"/>
      <c r="MJ100" s="9"/>
      <c r="MK100" s="9"/>
    </row>
    <row r="101" spans="1:349" hidden="1" x14ac:dyDescent="0.25">
      <c r="A101" s="9"/>
      <c r="B101" s="9"/>
      <c r="C101" s="9"/>
      <c r="D101" s="9"/>
      <c r="E101" s="9"/>
      <c r="F101" s="9"/>
      <c r="G101" s="9"/>
      <c r="H101" s="9"/>
      <c r="I101" s="9"/>
      <c r="J101" s="9"/>
      <c r="K101" s="9"/>
      <c r="L101" s="9"/>
      <c r="M101" s="9"/>
      <c r="N101" s="9"/>
      <c r="O101" s="9"/>
      <c r="AG101" s="9"/>
      <c r="AH101" s="9"/>
      <c r="AI101" s="9"/>
      <c r="AJ101" s="9"/>
      <c r="AK101" s="9"/>
      <c r="AL101" s="9"/>
      <c r="AM101" s="9"/>
      <c r="AN101" s="9"/>
      <c r="AO101" s="9"/>
      <c r="AP101" s="9"/>
      <c r="AQ101" s="9"/>
      <c r="AR101" s="9"/>
      <c r="AS101" s="9"/>
      <c r="AT101" s="9"/>
      <c r="AU101" s="9"/>
      <c r="AV101" s="9"/>
      <c r="AW101" s="9"/>
      <c r="AX101" s="9"/>
      <c r="AY101" s="9"/>
      <c r="AZ101" s="9"/>
      <c r="BA101" s="9"/>
      <c r="BB101" s="9"/>
      <c r="BC101" s="9"/>
      <c r="BD101" s="9"/>
      <c r="BE101" s="9"/>
      <c r="BF101" s="9"/>
      <c r="BG101" s="9"/>
      <c r="BH101" s="9"/>
      <c r="BI101" s="9"/>
      <c r="BJ101" s="9"/>
      <c r="BK101" s="9"/>
      <c r="BL101" s="9"/>
      <c r="BM101" s="9"/>
      <c r="BN101" s="9"/>
      <c r="BO101" s="9"/>
      <c r="BP101" s="9"/>
      <c r="BQ101" s="9"/>
      <c r="BR101" s="9"/>
      <c r="BS101" s="9"/>
      <c r="BT101" s="9"/>
      <c r="BU101" s="9"/>
      <c r="BV101" s="9"/>
      <c r="BW101" s="9"/>
      <c r="BX101" s="9"/>
      <c r="BY101" s="9"/>
      <c r="BZ101" s="9"/>
      <c r="CA101" s="9"/>
      <c r="CB101" s="9"/>
      <c r="CC101" s="9"/>
      <c r="CD101" s="9"/>
      <c r="CE101" s="9"/>
      <c r="CF101" s="9"/>
      <c r="CG101" s="9"/>
      <c r="CH101" s="9"/>
      <c r="CI101" s="9"/>
      <c r="CJ101" s="9"/>
      <c r="CK101" s="9"/>
      <c r="CL101" s="9"/>
      <c r="CM101" s="9"/>
      <c r="CN101" s="9"/>
      <c r="CO101" s="9"/>
      <c r="CP101" s="9"/>
      <c r="CQ101" s="9"/>
      <c r="CR101" s="9"/>
      <c r="CS101" s="9"/>
      <c r="CT101" s="9"/>
      <c r="CU101" s="9"/>
      <c r="CV101" s="9"/>
      <c r="CW101" s="9"/>
      <c r="CX101" s="9"/>
      <c r="CY101" s="9"/>
      <c r="CZ101" s="9"/>
      <c r="DA101" s="9"/>
      <c r="DB101" s="9"/>
      <c r="DC101" s="9"/>
      <c r="DD101" s="9"/>
      <c r="DE101" s="9"/>
      <c r="DF101" s="9"/>
      <c r="DG101" s="9"/>
      <c r="DH101" s="9"/>
      <c r="DI101" s="9"/>
      <c r="DJ101" s="9"/>
      <c r="DK101" s="9"/>
      <c r="DL101" s="9"/>
      <c r="DM101" s="9"/>
      <c r="DN101" s="9"/>
      <c r="DO101" s="9"/>
      <c r="DP101" s="9"/>
      <c r="DQ101" s="9"/>
      <c r="DR101" s="9"/>
      <c r="DS101" s="9"/>
      <c r="DT101" s="9"/>
      <c r="DU101" s="9"/>
      <c r="DV101" s="9"/>
      <c r="DW101" s="9"/>
      <c r="DX101" s="9"/>
      <c r="DY101" s="9"/>
      <c r="DZ101" s="9"/>
      <c r="EA101" s="9"/>
      <c r="EB101" s="9"/>
      <c r="EC101" s="9"/>
      <c r="ED101" s="9"/>
      <c r="EE101" s="9"/>
      <c r="EF101" s="9"/>
      <c r="EG101" s="9"/>
      <c r="EH101" s="9"/>
      <c r="EI101" s="9"/>
      <c r="EJ101" s="9"/>
      <c r="EK101" s="9"/>
      <c r="EL101" s="9"/>
      <c r="EM101" s="9"/>
      <c r="EN101" s="9"/>
      <c r="EO101" s="9"/>
      <c r="EP101" s="9"/>
      <c r="EQ101" s="9"/>
      <c r="ER101" s="9"/>
      <c r="ES101" s="9"/>
      <c r="ET101" s="9"/>
      <c r="EU101" s="9"/>
      <c r="EV101" s="9"/>
      <c r="EW101" s="9"/>
      <c r="EX101" s="9"/>
      <c r="EY101" s="9"/>
      <c r="EZ101" s="9"/>
      <c r="FA101" s="9"/>
      <c r="FB101" s="9"/>
      <c r="FC101" s="9"/>
      <c r="FD101" s="9"/>
      <c r="FE101" s="9"/>
      <c r="FF101" s="9"/>
      <c r="FG101" s="9"/>
      <c r="FH101" s="9"/>
      <c r="FI101" s="9"/>
      <c r="FJ101" s="9"/>
      <c r="FK101" s="9"/>
      <c r="FL101" s="9"/>
      <c r="FM101" s="9"/>
      <c r="FN101" s="9"/>
      <c r="FO101" s="9"/>
      <c r="FP101" s="9"/>
      <c r="FQ101" s="9"/>
      <c r="FR101" s="9"/>
      <c r="FS101" s="9"/>
      <c r="FT101" s="9"/>
      <c r="FU101" s="9"/>
      <c r="FV101" s="9"/>
      <c r="FW101" s="9"/>
      <c r="FX101" s="9"/>
      <c r="FY101" s="9"/>
      <c r="FZ101" s="9"/>
      <c r="GA101" s="9"/>
      <c r="GB101" s="9"/>
      <c r="GC101" s="9"/>
      <c r="GD101" s="9"/>
      <c r="GE101" s="9"/>
      <c r="GF101" s="9"/>
      <c r="GG101" s="9"/>
      <c r="GH101" s="9"/>
      <c r="GI101" s="9"/>
      <c r="GJ101" s="9"/>
      <c r="GK101" s="9"/>
      <c r="GL101" s="9"/>
      <c r="GM101" s="9"/>
      <c r="GN101" s="9"/>
      <c r="GO101" s="9"/>
      <c r="GP101" s="9"/>
      <c r="GQ101" s="9"/>
      <c r="GR101" s="9"/>
      <c r="GS101" s="9"/>
      <c r="GT101" s="9"/>
      <c r="GU101" s="9"/>
      <c r="GV101" s="9"/>
      <c r="GW101" s="9"/>
      <c r="GX101" s="9"/>
      <c r="GY101" s="9"/>
      <c r="GZ101" s="9"/>
      <c r="HA101" s="9"/>
      <c r="HB101" s="9"/>
      <c r="HC101" s="9"/>
      <c r="HD101" s="9"/>
      <c r="HE101" s="9"/>
      <c r="HF101" s="9"/>
      <c r="HG101" s="9"/>
      <c r="HH101" s="9"/>
      <c r="HI101" s="9"/>
      <c r="HJ101" s="9"/>
      <c r="HK101" s="9"/>
      <c r="HL101" s="9"/>
      <c r="HM101" s="9"/>
      <c r="HN101" s="9"/>
      <c r="HO101" s="9"/>
      <c r="HP101" s="9"/>
      <c r="HQ101" s="9"/>
      <c r="HR101" s="9"/>
      <c r="HS101" s="9"/>
      <c r="HT101" s="9"/>
      <c r="HU101" s="9"/>
      <c r="HV101" s="9"/>
      <c r="HW101" s="9"/>
      <c r="HX101" s="9"/>
      <c r="HY101" s="9"/>
      <c r="HZ101" s="9"/>
      <c r="IA101" s="9"/>
      <c r="IB101" s="9"/>
      <c r="IC101" s="9"/>
      <c r="ID101" s="9"/>
      <c r="IE101" s="9"/>
      <c r="IF101" s="9"/>
      <c r="IG101" s="9"/>
      <c r="IH101" s="9"/>
      <c r="II101" s="9"/>
      <c r="IJ101" s="9"/>
      <c r="IK101" s="9"/>
      <c r="IL101" s="9"/>
      <c r="IM101" s="9"/>
      <c r="IN101" s="9"/>
      <c r="IO101" s="9"/>
      <c r="IP101" s="9"/>
      <c r="IQ101" s="9"/>
      <c r="IR101" s="9"/>
      <c r="IS101" s="9"/>
      <c r="IT101" s="9"/>
      <c r="IU101" s="9"/>
      <c r="IV101" s="9"/>
      <c r="IW101" s="9"/>
      <c r="IX101" s="9"/>
      <c r="IY101" s="9"/>
      <c r="IZ101" s="9"/>
      <c r="JA101" s="9"/>
      <c r="JB101" s="9"/>
      <c r="JC101" s="9"/>
      <c r="JD101" s="9"/>
      <c r="JE101" s="9"/>
      <c r="JF101" s="9"/>
      <c r="JG101" s="9"/>
      <c r="JH101" s="9"/>
      <c r="JI101" s="9"/>
      <c r="JJ101" s="9"/>
      <c r="JK101" s="9"/>
      <c r="JL101" s="9"/>
      <c r="JM101" s="9"/>
      <c r="JN101" s="9"/>
      <c r="JO101" s="9"/>
      <c r="JP101" s="9"/>
      <c r="JQ101" s="9"/>
      <c r="JR101" s="9"/>
      <c r="JS101" s="9"/>
      <c r="JT101" s="9"/>
      <c r="JU101" s="9"/>
      <c r="JV101" s="9"/>
      <c r="JW101" s="9"/>
      <c r="JX101" s="9"/>
      <c r="JY101" s="9"/>
      <c r="JZ101" s="9"/>
      <c r="KA101" s="9"/>
      <c r="KB101" s="9"/>
      <c r="KC101" s="9"/>
      <c r="KD101" s="9"/>
      <c r="KE101" s="9"/>
      <c r="KF101" s="9"/>
      <c r="KG101" s="9"/>
      <c r="KH101" s="9"/>
      <c r="KI101" s="9"/>
      <c r="KJ101" s="9"/>
      <c r="KK101" s="9"/>
      <c r="KL101" s="9"/>
      <c r="KM101" s="9"/>
      <c r="KN101" s="9"/>
      <c r="KO101" s="9"/>
      <c r="KP101" s="9"/>
      <c r="KQ101" s="9"/>
      <c r="KR101" s="9"/>
      <c r="KS101" s="9"/>
      <c r="KT101" s="9"/>
      <c r="KU101" s="9"/>
      <c r="KV101" s="9"/>
      <c r="KW101" s="9"/>
      <c r="KX101" s="9"/>
      <c r="KY101" s="9"/>
      <c r="KZ101" s="9"/>
      <c r="LA101" s="9"/>
      <c r="LB101" s="9"/>
      <c r="LC101" s="9"/>
      <c r="LD101" s="9"/>
      <c r="LE101" s="9"/>
      <c r="LF101" s="9"/>
      <c r="LG101" s="9"/>
      <c r="LH101" s="9"/>
      <c r="LI101" s="9"/>
      <c r="LJ101" s="9"/>
      <c r="LK101" s="9"/>
      <c r="LL101" s="9"/>
      <c r="LM101" s="9"/>
      <c r="LN101" s="9"/>
      <c r="LO101" s="9"/>
      <c r="LP101" s="9"/>
      <c r="LQ101" s="9"/>
      <c r="LR101" s="9"/>
      <c r="LS101" s="9"/>
      <c r="LT101" s="9"/>
      <c r="LU101" s="9"/>
      <c r="LV101" s="9"/>
      <c r="LW101" s="9"/>
      <c r="LX101" s="9"/>
      <c r="LY101" s="9"/>
      <c r="LZ101" s="9"/>
      <c r="MA101" s="9"/>
      <c r="MB101" s="9"/>
      <c r="MC101" s="9"/>
      <c r="MD101" s="9"/>
      <c r="ME101" s="9"/>
      <c r="MF101" s="9"/>
      <c r="MG101" s="9"/>
      <c r="MH101" s="9"/>
      <c r="MI101" s="9"/>
      <c r="MJ101" s="9"/>
      <c r="MK101" s="9"/>
    </row>
    <row r="102" spans="1:349" hidden="1" x14ac:dyDescent="0.25">
      <c r="A102" s="9"/>
      <c r="B102" s="9"/>
      <c r="C102" s="9"/>
      <c r="D102" s="9"/>
      <c r="E102" s="9"/>
      <c r="F102" s="9"/>
      <c r="G102" s="9"/>
      <c r="H102" s="9"/>
      <c r="I102" s="9"/>
      <c r="J102" s="9"/>
      <c r="K102" s="9"/>
      <c r="L102" s="9"/>
      <c r="M102" s="9"/>
      <c r="N102" s="9"/>
      <c r="O102" s="9"/>
      <c r="AG102" s="9"/>
      <c r="AH102" s="9"/>
      <c r="AI102" s="9"/>
      <c r="AJ102" s="9"/>
      <c r="AK102" s="9"/>
      <c r="AL102" s="9"/>
      <c r="AM102" s="9"/>
      <c r="AN102" s="9"/>
      <c r="AO102" s="9"/>
      <c r="AP102" s="9"/>
      <c r="AQ102" s="9"/>
      <c r="AR102" s="9"/>
      <c r="AS102" s="9"/>
      <c r="AT102" s="9"/>
      <c r="AU102" s="9"/>
      <c r="AV102" s="9"/>
      <c r="AW102" s="9"/>
      <c r="AX102" s="9"/>
      <c r="AY102" s="9"/>
      <c r="AZ102" s="9"/>
      <c r="BA102" s="9"/>
      <c r="BB102" s="9"/>
      <c r="BC102" s="9"/>
      <c r="BD102" s="9"/>
      <c r="BE102" s="9"/>
      <c r="BF102" s="9"/>
      <c r="BG102" s="9"/>
      <c r="BH102" s="9"/>
      <c r="BI102" s="9"/>
      <c r="BJ102" s="9"/>
      <c r="BK102" s="9"/>
      <c r="BL102" s="9"/>
      <c r="BM102" s="9"/>
      <c r="BN102" s="9"/>
      <c r="BO102" s="9"/>
      <c r="BP102" s="9"/>
      <c r="BQ102" s="9"/>
      <c r="BR102" s="9"/>
      <c r="BS102" s="9"/>
      <c r="BT102" s="9"/>
      <c r="BU102" s="9"/>
      <c r="BV102" s="9"/>
      <c r="BW102" s="9"/>
      <c r="BX102" s="9"/>
      <c r="BY102" s="9"/>
      <c r="BZ102" s="9"/>
      <c r="CA102" s="9"/>
      <c r="CB102" s="9"/>
      <c r="CC102" s="9"/>
      <c r="CD102" s="9"/>
      <c r="CE102" s="9"/>
      <c r="CF102" s="9"/>
      <c r="CG102" s="9"/>
      <c r="CH102" s="9"/>
      <c r="CI102" s="9"/>
      <c r="CJ102" s="9"/>
      <c r="CK102" s="9"/>
      <c r="CL102" s="9"/>
      <c r="CM102" s="9"/>
      <c r="CN102" s="9"/>
      <c r="CO102" s="9"/>
      <c r="CP102" s="9"/>
      <c r="CQ102" s="9"/>
      <c r="CR102" s="9"/>
      <c r="CS102" s="9"/>
      <c r="CT102" s="9"/>
      <c r="CU102" s="9"/>
      <c r="CV102" s="9"/>
      <c r="CW102" s="9"/>
      <c r="CX102" s="9"/>
      <c r="CY102" s="9"/>
      <c r="CZ102" s="9"/>
      <c r="DA102" s="9"/>
      <c r="DB102" s="9"/>
      <c r="DC102" s="9"/>
      <c r="DD102" s="9"/>
      <c r="DE102" s="9"/>
      <c r="DF102" s="9"/>
      <c r="DG102" s="9"/>
      <c r="DH102" s="9"/>
      <c r="DI102" s="9"/>
      <c r="DJ102" s="9"/>
      <c r="DK102" s="9"/>
      <c r="DL102" s="9"/>
      <c r="DM102" s="9"/>
      <c r="DN102" s="9"/>
      <c r="DO102" s="9"/>
      <c r="DP102" s="9"/>
      <c r="DQ102" s="9"/>
      <c r="DR102" s="9"/>
      <c r="DS102" s="9"/>
      <c r="DT102" s="9"/>
      <c r="DU102" s="9"/>
      <c r="DV102" s="9"/>
      <c r="DW102" s="9"/>
      <c r="DX102" s="9"/>
      <c r="DY102" s="9"/>
      <c r="DZ102" s="9"/>
      <c r="EA102" s="9"/>
      <c r="EB102" s="9"/>
      <c r="EC102" s="9"/>
      <c r="ED102" s="9"/>
      <c r="EE102" s="9"/>
      <c r="EF102" s="9"/>
      <c r="EG102" s="9"/>
      <c r="EH102" s="9"/>
      <c r="EI102" s="9"/>
      <c r="EJ102" s="9"/>
      <c r="EK102" s="9"/>
      <c r="EL102" s="9"/>
      <c r="EM102" s="9"/>
      <c r="EN102" s="9"/>
      <c r="EO102" s="9"/>
      <c r="EP102" s="9"/>
      <c r="EQ102" s="9"/>
      <c r="ER102" s="9"/>
      <c r="ES102" s="9"/>
      <c r="ET102" s="9"/>
      <c r="EU102" s="9"/>
      <c r="EV102" s="9"/>
      <c r="EW102" s="9"/>
      <c r="EX102" s="9"/>
      <c r="EY102" s="9"/>
      <c r="EZ102" s="9"/>
      <c r="FA102" s="9"/>
      <c r="FB102" s="9"/>
      <c r="FC102" s="9"/>
      <c r="FD102" s="9"/>
      <c r="FE102" s="9"/>
      <c r="FF102" s="9"/>
      <c r="FG102" s="9"/>
      <c r="FH102" s="9"/>
      <c r="FI102" s="9"/>
      <c r="FJ102" s="9"/>
      <c r="FK102" s="9"/>
      <c r="FL102" s="9"/>
      <c r="FM102" s="9"/>
      <c r="FN102" s="9"/>
      <c r="FO102" s="9"/>
      <c r="FP102" s="9"/>
      <c r="FQ102" s="9"/>
      <c r="FR102" s="9"/>
      <c r="FS102" s="9"/>
      <c r="FT102" s="9"/>
      <c r="FU102" s="9"/>
      <c r="FV102" s="9"/>
      <c r="FW102" s="9"/>
      <c r="FX102" s="9"/>
      <c r="FY102" s="9"/>
      <c r="FZ102" s="9"/>
      <c r="GA102" s="9"/>
      <c r="GB102" s="9"/>
      <c r="GC102" s="9"/>
      <c r="GD102" s="9"/>
      <c r="GE102" s="9"/>
      <c r="GF102" s="9"/>
      <c r="GG102" s="9"/>
      <c r="GH102" s="9"/>
      <c r="GI102" s="9"/>
      <c r="GJ102" s="9"/>
      <c r="GK102" s="9"/>
      <c r="GL102" s="9"/>
      <c r="GM102" s="9"/>
      <c r="GN102" s="9"/>
      <c r="GO102" s="9"/>
      <c r="GP102" s="9"/>
      <c r="GQ102" s="9"/>
      <c r="GR102" s="9"/>
      <c r="GS102" s="9"/>
      <c r="GT102" s="9"/>
      <c r="GU102" s="9"/>
      <c r="GV102" s="9"/>
      <c r="GW102" s="9"/>
      <c r="GX102" s="9"/>
      <c r="GY102" s="9"/>
      <c r="GZ102" s="9"/>
      <c r="HA102" s="9"/>
      <c r="HB102" s="9"/>
      <c r="HC102" s="9"/>
      <c r="HD102" s="9"/>
      <c r="HE102" s="9"/>
      <c r="HF102" s="9"/>
      <c r="HG102" s="9"/>
      <c r="HH102" s="9"/>
      <c r="HI102" s="9"/>
      <c r="HJ102" s="9"/>
      <c r="HK102" s="9"/>
      <c r="HL102" s="9"/>
      <c r="HM102" s="9"/>
      <c r="HN102" s="9"/>
      <c r="HO102" s="9"/>
      <c r="HP102" s="9"/>
      <c r="HQ102" s="9"/>
      <c r="HR102" s="9"/>
      <c r="HS102" s="9"/>
      <c r="HT102" s="9"/>
      <c r="HU102" s="9"/>
      <c r="HV102" s="9"/>
      <c r="HW102" s="9"/>
      <c r="HX102" s="9"/>
      <c r="HY102" s="9"/>
      <c r="HZ102" s="9"/>
      <c r="IA102" s="9"/>
      <c r="IB102" s="9"/>
      <c r="IC102" s="9"/>
      <c r="ID102" s="9"/>
      <c r="IE102" s="9"/>
      <c r="IF102" s="9"/>
      <c r="IG102" s="9"/>
      <c r="IH102" s="9"/>
      <c r="II102" s="9"/>
      <c r="IJ102" s="9"/>
      <c r="IK102" s="9"/>
      <c r="IL102" s="9"/>
      <c r="IM102" s="9"/>
      <c r="IN102" s="9"/>
      <c r="IO102" s="9"/>
      <c r="IP102" s="9"/>
      <c r="IQ102" s="9"/>
      <c r="IR102" s="9"/>
      <c r="IS102" s="9"/>
      <c r="IT102" s="9"/>
      <c r="IU102" s="9"/>
      <c r="IV102" s="9"/>
      <c r="IW102" s="9"/>
      <c r="IX102" s="9"/>
      <c r="IY102" s="9"/>
      <c r="IZ102" s="9"/>
      <c r="JA102" s="9"/>
      <c r="JB102" s="9"/>
      <c r="JC102" s="9"/>
      <c r="JD102" s="9"/>
      <c r="JE102" s="9"/>
      <c r="JF102" s="9"/>
      <c r="JG102" s="9"/>
      <c r="JH102" s="9"/>
      <c r="JI102" s="9"/>
      <c r="JJ102" s="9"/>
      <c r="JK102" s="9"/>
      <c r="JL102" s="9"/>
      <c r="JM102" s="9"/>
      <c r="JN102" s="9"/>
      <c r="JO102" s="9"/>
      <c r="JP102" s="9"/>
      <c r="JQ102" s="9"/>
      <c r="JR102" s="9"/>
      <c r="JS102" s="9"/>
      <c r="JT102" s="9"/>
      <c r="JU102" s="9"/>
      <c r="JV102" s="9"/>
      <c r="JW102" s="9"/>
      <c r="JX102" s="9"/>
      <c r="JY102" s="9"/>
      <c r="JZ102" s="9"/>
      <c r="KA102" s="9"/>
      <c r="KB102" s="9"/>
      <c r="KC102" s="9"/>
      <c r="KD102" s="9"/>
      <c r="KE102" s="9"/>
      <c r="KF102" s="9"/>
      <c r="KG102" s="9"/>
      <c r="KH102" s="9"/>
      <c r="KI102" s="9"/>
      <c r="KJ102" s="9"/>
      <c r="KK102" s="9"/>
      <c r="KL102" s="9"/>
      <c r="KM102" s="9"/>
      <c r="KN102" s="9"/>
      <c r="KO102" s="9"/>
      <c r="KP102" s="9"/>
      <c r="KQ102" s="9"/>
      <c r="KR102" s="9"/>
      <c r="KS102" s="9"/>
      <c r="KT102" s="9"/>
      <c r="KU102" s="9"/>
      <c r="KV102" s="9"/>
      <c r="KW102" s="9"/>
      <c r="KX102" s="9"/>
      <c r="KY102" s="9"/>
      <c r="KZ102" s="9"/>
      <c r="LA102" s="9"/>
      <c r="LB102" s="9"/>
      <c r="LC102" s="9"/>
      <c r="LD102" s="9"/>
      <c r="LE102" s="9"/>
      <c r="LF102" s="9"/>
      <c r="LG102" s="9"/>
      <c r="LH102" s="9"/>
      <c r="LI102" s="9"/>
      <c r="LJ102" s="9"/>
      <c r="LK102" s="9"/>
      <c r="LL102" s="9"/>
      <c r="LM102" s="9"/>
      <c r="LN102" s="9"/>
      <c r="LO102" s="9"/>
      <c r="LP102" s="9"/>
      <c r="LQ102" s="9"/>
      <c r="LR102" s="9"/>
      <c r="LS102" s="9"/>
      <c r="LT102" s="9"/>
      <c r="LU102" s="9"/>
      <c r="LV102" s="9"/>
      <c r="LW102" s="9"/>
      <c r="LX102" s="9"/>
      <c r="LY102" s="9"/>
      <c r="LZ102" s="9"/>
      <c r="MA102" s="9"/>
      <c r="MB102" s="9"/>
      <c r="MC102" s="9"/>
      <c r="MD102" s="9"/>
      <c r="ME102" s="9"/>
      <c r="MF102" s="9"/>
      <c r="MG102" s="9"/>
      <c r="MH102" s="9"/>
      <c r="MI102" s="9"/>
      <c r="MJ102" s="9"/>
      <c r="MK102" s="9"/>
    </row>
    <row r="103" spans="1:349" hidden="1" x14ac:dyDescent="0.25">
      <c r="A103" s="9"/>
      <c r="B103" s="9"/>
      <c r="C103" s="9"/>
      <c r="D103" s="9"/>
      <c r="E103" s="9"/>
      <c r="F103" s="9"/>
      <c r="G103" s="9"/>
      <c r="H103" s="9"/>
      <c r="I103" s="9"/>
      <c r="J103" s="9"/>
      <c r="K103" s="9"/>
      <c r="L103" s="9"/>
      <c r="M103" s="9"/>
      <c r="N103" s="9"/>
      <c r="O103" s="9"/>
      <c r="AG103" s="9"/>
      <c r="AH103" s="9"/>
      <c r="AI103" s="9"/>
      <c r="AJ103" s="9"/>
      <c r="AK103" s="9"/>
      <c r="AL103" s="9"/>
      <c r="AM103" s="9"/>
      <c r="AN103" s="9"/>
      <c r="AO103" s="9"/>
      <c r="AP103" s="9"/>
      <c r="AQ103" s="9"/>
      <c r="AR103" s="9"/>
      <c r="AS103" s="9"/>
      <c r="AT103" s="9"/>
      <c r="AU103" s="9"/>
      <c r="AV103" s="9"/>
      <c r="AW103" s="9"/>
      <c r="AX103" s="9"/>
      <c r="AY103" s="9"/>
      <c r="AZ103" s="9"/>
      <c r="BA103" s="9"/>
      <c r="BB103" s="9"/>
      <c r="BC103" s="9"/>
      <c r="BD103" s="9"/>
      <c r="BE103" s="9"/>
      <c r="BF103" s="9"/>
      <c r="BG103" s="9"/>
      <c r="BH103" s="9"/>
      <c r="BI103" s="9"/>
      <c r="BJ103" s="9"/>
      <c r="BK103" s="9"/>
      <c r="BL103" s="9"/>
      <c r="BM103" s="9"/>
      <c r="BN103" s="9"/>
      <c r="BO103" s="9"/>
      <c r="BP103" s="9"/>
      <c r="BQ103" s="9"/>
      <c r="BR103" s="9"/>
      <c r="BS103" s="9"/>
      <c r="BT103" s="9"/>
      <c r="BU103" s="9"/>
      <c r="BV103" s="9"/>
      <c r="BW103" s="9"/>
      <c r="BX103" s="9"/>
      <c r="BY103" s="9"/>
      <c r="BZ103" s="9"/>
      <c r="CA103" s="9"/>
      <c r="CB103" s="9"/>
      <c r="CC103" s="9"/>
      <c r="CD103" s="9"/>
      <c r="CE103" s="9"/>
      <c r="CF103" s="9"/>
      <c r="CG103" s="9"/>
      <c r="CH103" s="9"/>
      <c r="CI103" s="9"/>
      <c r="CJ103" s="9"/>
      <c r="CK103" s="9"/>
      <c r="CL103" s="9"/>
      <c r="CM103" s="9"/>
      <c r="CN103" s="9"/>
      <c r="CO103" s="9"/>
      <c r="CP103" s="9"/>
      <c r="CQ103" s="9"/>
      <c r="CR103" s="9"/>
      <c r="CS103" s="9"/>
      <c r="CT103" s="9"/>
      <c r="CU103" s="9"/>
      <c r="CV103" s="9"/>
      <c r="CW103" s="9"/>
      <c r="CX103" s="9"/>
      <c r="CY103" s="9"/>
      <c r="CZ103" s="9"/>
      <c r="DA103" s="9"/>
      <c r="DB103" s="9"/>
      <c r="DC103" s="9"/>
      <c r="DD103" s="9"/>
      <c r="DE103" s="9"/>
      <c r="DF103" s="9"/>
      <c r="DG103" s="9"/>
      <c r="DH103" s="9"/>
      <c r="DI103" s="9"/>
      <c r="DJ103" s="9"/>
      <c r="DK103" s="9"/>
      <c r="DL103" s="9"/>
      <c r="DM103" s="9"/>
      <c r="DN103" s="9"/>
      <c r="DO103" s="9"/>
      <c r="DP103" s="9"/>
      <c r="DQ103" s="9"/>
      <c r="DR103" s="9"/>
      <c r="DS103" s="9"/>
      <c r="DT103" s="9"/>
      <c r="DU103" s="9"/>
      <c r="DV103" s="9"/>
      <c r="DW103" s="9"/>
      <c r="DX103" s="9"/>
      <c r="DY103" s="9"/>
      <c r="DZ103" s="9"/>
      <c r="EA103" s="9"/>
      <c r="EB103" s="9"/>
      <c r="EC103" s="9"/>
      <c r="ED103" s="9"/>
      <c r="EE103" s="9"/>
      <c r="EF103" s="9"/>
      <c r="EG103" s="9"/>
      <c r="EH103" s="9"/>
      <c r="EI103" s="9"/>
      <c r="EJ103" s="9"/>
      <c r="EK103" s="9"/>
      <c r="EL103" s="9"/>
      <c r="EM103" s="9"/>
      <c r="EN103" s="9"/>
      <c r="EO103" s="9"/>
      <c r="EP103" s="9"/>
      <c r="EQ103" s="9"/>
      <c r="ER103" s="9"/>
      <c r="ES103" s="9"/>
      <c r="ET103" s="9"/>
      <c r="EU103" s="9"/>
      <c r="EV103" s="9"/>
      <c r="EW103" s="9"/>
      <c r="EX103" s="9"/>
      <c r="EY103" s="9"/>
      <c r="EZ103" s="9"/>
      <c r="FA103" s="9"/>
      <c r="FB103" s="9"/>
      <c r="FC103" s="9"/>
      <c r="FD103" s="9"/>
      <c r="FE103" s="9"/>
      <c r="FF103" s="9"/>
      <c r="FG103" s="9"/>
      <c r="FH103" s="9"/>
      <c r="FI103" s="9"/>
      <c r="FJ103" s="9"/>
      <c r="FK103" s="9"/>
      <c r="FL103" s="9"/>
      <c r="FM103" s="9"/>
      <c r="FN103" s="9"/>
      <c r="FO103" s="9"/>
      <c r="FP103" s="9"/>
      <c r="FQ103" s="9"/>
      <c r="FR103" s="9"/>
      <c r="FS103" s="9"/>
      <c r="FT103" s="9"/>
      <c r="FU103" s="9"/>
      <c r="FV103" s="9"/>
      <c r="FW103" s="9"/>
      <c r="FX103" s="9"/>
      <c r="FY103" s="9"/>
      <c r="FZ103" s="9"/>
      <c r="GA103" s="9"/>
      <c r="GB103" s="9"/>
      <c r="GC103" s="9"/>
      <c r="GD103" s="9"/>
      <c r="GE103" s="9"/>
      <c r="GF103" s="9"/>
      <c r="GG103" s="9"/>
      <c r="GH103" s="9"/>
      <c r="GI103" s="9"/>
      <c r="GJ103" s="9"/>
      <c r="GK103" s="9"/>
      <c r="GL103" s="9"/>
      <c r="GM103" s="9"/>
      <c r="GN103" s="9"/>
      <c r="GO103" s="9"/>
      <c r="GP103" s="9"/>
      <c r="GQ103" s="9"/>
      <c r="GR103" s="9"/>
      <c r="GS103" s="9"/>
      <c r="GT103" s="9"/>
      <c r="GU103" s="9"/>
      <c r="GV103" s="9"/>
      <c r="GW103" s="9"/>
      <c r="GX103" s="9"/>
      <c r="GY103" s="9"/>
      <c r="GZ103" s="9"/>
      <c r="HA103" s="9"/>
      <c r="HB103" s="9"/>
      <c r="HC103" s="9"/>
      <c r="HD103" s="9"/>
      <c r="HE103" s="9"/>
      <c r="HF103" s="9"/>
      <c r="HG103" s="9"/>
      <c r="HH103" s="9"/>
      <c r="HI103" s="9"/>
      <c r="HJ103" s="9"/>
      <c r="HK103" s="9"/>
      <c r="HL103" s="9"/>
      <c r="HM103" s="9"/>
      <c r="HN103" s="9"/>
      <c r="HO103" s="9"/>
      <c r="HP103" s="9"/>
      <c r="HQ103" s="9"/>
      <c r="HR103" s="9"/>
      <c r="HS103" s="9"/>
      <c r="HT103" s="9"/>
      <c r="HU103" s="9"/>
      <c r="HV103" s="9"/>
      <c r="HW103" s="9"/>
      <c r="HX103" s="9"/>
      <c r="HY103" s="9"/>
      <c r="HZ103" s="9"/>
      <c r="IA103" s="9"/>
      <c r="IB103" s="9"/>
      <c r="IC103" s="9"/>
      <c r="ID103" s="9"/>
      <c r="IE103" s="9"/>
      <c r="IF103" s="9"/>
      <c r="IG103" s="9"/>
      <c r="IH103" s="9"/>
      <c r="II103" s="9"/>
      <c r="IJ103" s="9"/>
      <c r="IK103" s="9"/>
      <c r="IL103" s="9"/>
      <c r="IM103" s="9"/>
      <c r="IN103" s="9"/>
      <c r="IO103" s="9"/>
      <c r="IP103" s="9"/>
      <c r="IQ103" s="9"/>
      <c r="IR103" s="9"/>
      <c r="IS103" s="9"/>
      <c r="IT103" s="9"/>
      <c r="IU103" s="9"/>
      <c r="IV103" s="9"/>
      <c r="IW103" s="9"/>
      <c r="IX103" s="9"/>
      <c r="IY103" s="9"/>
      <c r="IZ103" s="9"/>
      <c r="JA103" s="9"/>
      <c r="JB103" s="9"/>
      <c r="JC103" s="9"/>
      <c r="JD103" s="9"/>
      <c r="JE103" s="9"/>
      <c r="JF103" s="9"/>
      <c r="JG103" s="9"/>
      <c r="JH103" s="9"/>
      <c r="JI103" s="9"/>
      <c r="JJ103" s="9"/>
      <c r="JK103" s="9"/>
      <c r="JL103" s="9"/>
      <c r="JM103" s="9"/>
      <c r="JN103" s="9"/>
      <c r="JO103" s="9"/>
      <c r="JP103" s="9"/>
      <c r="JQ103" s="9"/>
      <c r="JR103" s="9"/>
      <c r="JS103" s="9"/>
      <c r="JT103" s="9"/>
      <c r="JU103" s="9"/>
      <c r="JV103" s="9"/>
      <c r="JW103" s="9"/>
      <c r="JX103" s="9"/>
      <c r="JY103" s="9"/>
      <c r="JZ103" s="9"/>
      <c r="KA103" s="9"/>
      <c r="KB103" s="9"/>
      <c r="KC103" s="9"/>
      <c r="KD103" s="9"/>
      <c r="KE103" s="9"/>
      <c r="KF103" s="9"/>
      <c r="KG103" s="9"/>
      <c r="KH103" s="9"/>
      <c r="KI103" s="9"/>
      <c r="KJ103" s="9"/>
      <c r="KK103" s="9"/>
      <c r="KL103" s="9"/>
      <c r="KM103" s="9"/>
      <c r="KN103" s="9"/>
      <c r="KO103" s="9"/>
      <c r="KP103" s="9"/>
      <c r="KQ103" s="9"/>
      <c r="KR103" s="9"/>
      <c r="KS103" s="9"/>
      <c r="KT103" s="9"/>
      <c r="KU103" s="9"/>
      <c r="KV103" s="9"/>
      <c r="KW103" s="9"/>
      <c r="KX103" s="9"/>
      <c r="KY103" s="9"/>
      <c r="KZ103" s="9"/>
      <c r="LA103" s="9"/>
      <c r="LB103" s="9"/>
      <c r="LC103" s="9"/>
      <c r="LD103" s="9"/>
      <c r="LE103" s="9"/>
      <c r="LF103" s="9"/>
      <c r="LG103" s="9"/>
      <c r="LH103" s="9"/>
      <c r="LI103" s="9"/>
      <c r="LJ103" s="9"/>
      <c r="LK103" s="9"/>
      <c r="LL103" s="9"/>
      <c r="LM103" s="9"/>
      <c r="LN103" s="9"/>
      <c r="LO103" s="9"/>
      <c r="LP103" s="9"/>
      <c r="LQ103" s="9"/>
      <c r="LR103" s="9"/>
      <c r="LS103" s="9"/>
      <c r="LT103" s="9"/>
      <c r="LU103" s="9"/>
      <c r="LV103" s="9"/>
      <c r="LW103" s="9"/>
      <c r="LX103" s="9"/>
      <c r="LY103" s="9"/>
      <c r="LZ103" s="9"/>
      <c r="MA103" s="9"/>
      <c r="MB103" s="9"/>
      <c r="MC103" s="9"/>
      <c r="MD103" s="9"/>
      <c r="ME103" s="9"/>
      <c r="MF103" s="9"/>
      <c r="MG103" s="9"/>
      <c r="MH103" s="9"/>
      <c r="MI103" s="9"/>
      <c r="MJ103" s="9"/>
      <c r="MK103" s="9"/>
    </row>
    <row r="104" spans="1:349" hidden="1" x14ac:dyDescent="0.25">
      <c r="A104" s="9"/>
      <c r="B104" s="9"/>
      <c r="C104" s="9"/>
      <c r="D104" s="9"/>
      <c r="E104" s="9"/>
      <c r="F104" s="9"/>
      <c r="G104" s="9"/>
      <c r="H104" s="9"/>
      <c r="I104" s="9"/>
      <c r="J104" s="9"/>
      <c r="K104" s="9"/>
      <c r="L104" s="9"/>
      <c r="M104" s="9"/>
      <c r="N104" s="9"/>
      <c r="O104" s="9"/>
      <c r="AG104" s="9"/>
      <c r="AH104" s="9"/>
      <c r="AI104" s="9"/>
      <c r="AJ104" s="9"/>
      <c r="AK104" s="9"/>
      <c r="AL104" s="9"/>
      <c r="AM104" s="9"/>
      <c r="AN104" s="9"/>
      <c r="AO104" s="9"/>
      <c r="AP104" s="9"/>
      <c r="AQ104" s="9"/>
      <c r="AR104" s="9"/>
      <c r="AS104" s="9"/>
      <c r="AT104" s="9"/>
      <c r="AU104" s="9"/>
      <c r="AV104" s="9"/>
      <c r="AW104" s="9"/>
      <c r="AX104" s="9"/>
      <c r="AY104" s="9"/>
      <c r="AZ104" s="9"/>
      <c r="BA104" s="9"/>
      <c r="BB104" s="9"/>
      <c r="BC104" s="9"/>
      <c r="BD104" s="9"/>
      <c r="BE104" s="9"/>
      <c r="BF104" s="9"/>
      <c r="BG104" s="9"/>
      <c r="BH104" s="9"/>
      <c r="BI104" s="9"/>
      <c r="BJ104" s="9"/>
      <c r="BK104" s="9"/>
      <c r="BL104" s="9"/>
      <c r="BM104" s="9"/>
      <c r="BN104" s="9"/>
      <c r="BO104" s="9"/>
      <c r="BP104" s="9"/>
      <c r="BQ104" s="9"/>
      <c r="BR104" s="9"/>
      <c r="BS104" s="9"/>
      <c r="BT104" s="9"/>
      <c r="BU104" s="9"/>
      <c r="BV104" s="9"/>
      <c r="BW104" s="9"/>
      <c r="BX104" s="9"/>
      <c r="BY104" s="9"/>
      <c r="BZ104" s="9"/>
      <c r="CA104" s="9"/>
      <c r="CB104" s="9"/>
      <c r="CC104" s="9"/>
      <c r="CD104" s="9"/>
      <c r="CE104" s="9"/>
      <c r="CF104" s="9"/>
      <c r="CG104" s="9"/>
      <c r="CH104" s="9"/>
      <c r="CI104" s="9"/>
      <c r="CJ104" s="9"/>
      <c r="CK104" s="9"/>
      <c r="CL104" s="9"/>
      <c r="CM104" s="9"/>
      <c r="CN104" s="9"/>
      <c r="CO104" s="9"/>
      <c r="CP104" s="9"/>
      <c r="CQ104" s="9"/>
      <c r="CR104" s="9"/>
      <c r="CS104" s="9"/>
      <c r="CT104" s="9"/>
      <c r="CU104" s="9"/>
      <c r="CV104" s="9"/>
      <c r="CW104" s="9"/>
      <c r="CX104" s="9"/>
      <c r="CY104" s="9"/>
      <c r="CZ104" s="9"/>
      <c r="DA104" s="9"/>
      <c r="DB104" s="9"/>
      <c r="DC104" s="9"/>
      <c r="DD104" s="9"/>
      <c r="DE104" s="9"/>
      <c r="DF104" s="9"/>
      <c r="DG104" s="9"/>
      <c r="DH104" s="9"/>
      <c r="DI104" s="9"/>
      <c r="DJ104" s="9"/>
      <c r="DK104" s="9"/>
      <c r="DL104" s="9"/>
      <c r="DM104" s="9"/>
      <c r="DN104" s="9"/>
      <c r="DO104" s="9"/>
      <c r="DP104" s="9"/>
      <c r="DQ104" s="9"/>
      <c r="DR104" s="9"/>
      <c r="DS104" s="9"/>
      <c r="DT104" s="9"/>
      <c r="DU104" s="9"/>
      <c r="DV104" s="9"/>
      <c r="DW104" s="9"/>
      <c r="DX104" s="9"/>
      <c r="DY104" s="9"/>
      <c r="DZ104" s="9"/>
      <c r="EA104" s="9"/>
      <c r="EB104" s="9"/>
      <c r="EC104" s="9"/>
      <c r="ED104" s="9"/>
      <c r="EE104" s="9"/>
      <c r="EF104" s="9"/>
      <c r="EG104" s="9"/>
      <c r="EH104" s="9"/>
      <c r="EI104" s="9"/>
      <c r="EJ104" s="9"/>
      <c r="EK104" s="9"/>
      <c r="EL104" s="9"/>
      <c r="EM104" s="9"/>
      <c r="EN104" s="9"/>
      <c r="EO104" s="9"/>
      <c r="EP104" s="9"/>
      <c r="EQ104" s="9"/>
      <c r="ER104" s="9"/>
      <c r="ES104" s="9"/>
      <c r="ET104" s="9"/>
      <c r="EU104" s="9"/>
      <c r="EV104" s="9"/>
      <c r="EW104" s="9"/>
      <c r="EX104" s="9"/>
      <c r="EY104" s="9"/>
      <c r="EZ104" s="9"/>
      <c r="FA104" s="9"/>
      <c r="FB104" s="9"/>
      <c r="FC104" s="9"/>
      <c r="FD104" s="9"/>
      <c r="FE104" s="9"/>
      <c r="FF104" s="9"/>
      <c r="FG104" s="9"/>
      <c r="FH104" s="9"/>
      <c r="FI104" s="9"/>
      <c r="FJ104" s="9"/>
      <c r="FK104" s="9"/>
      <c r="FL104" s="9"/>
      <c r="FM104" s="9"/>
      <c r="FN104" s="9"/>
      <c r="FO104" s="9"/>
      <c r="FP104" s="9"/>
      <c r="FQ104" s="9"/>
      <c r="FR104" s="9"/>
      <c r="FS104" s="9"/>
      <c r="FT104" s="9"/>
      <c r="FU104" s="9"/>
      <c r="FV104" s="9"/>
      <c r="FW104" s="9"/>
      <c r="FX104" s="9"/>
      <c r="FY104" s="9"/>
      <c r="FZ104" s="9"/>
      <c r="GA104" s="9"/>
      <c r="GB104" s="9"/>
      <c r="GC104" s="9"/>
      <c r="GD104" s="9"/>
      <c r="GE104" s="9"/>
      <c r="GF104" s="9"/>
      <c r="GG104" s="9"/>
      <c r="GH104" s="9"/>
      <c r="GI104" s="9"/>
      <c r="GJ104" s="9"/>
      <c r="GK104" s="9"/>
      <c r="GL104" s="9"/>
      <c r="GM104" s="9"/>
      <c r="GN104" s="9"/>
      <c r="GO104" s="9"/>
      <c r="GP104" s="9"/>
      <c r="GQ104" s="9"/>
      <c r="GR104" s="9"/>
      <c r="GS104" s="9"/>
      <c r="GT104" s="9"/>
      <c r="GU104" s="9"/>
      <c r="GV104" s="9"/>
      <c r="GW104" s="9"/>
      <c r="GX104" s="9"/>
      <c r="GY104" s="9"/>
      <c r="GZ104" s="9"/>
      <c r="HA104" s="9"/>
      <c r="HB104" s="9"/>
      <c r="HC104" s="9"/>
      <c r="HD104" s="9"/>
      <c r="HE104" s="9"/>
      <c r="HF104" s="9"/>
      <c r="HG104" s="9"/>
      <c r="HH104" s="9"/>
      <c r="HI104" s="9"/>
      <c r="HJ104" s="9"/>
      <c r="HK104" s="9"/>
      <c r="HL104" s="9"/>
      <c r="HM104" s="9"/>
      <c r="HN104" s="9"/>
      <c r="HO104" s="9"/>
      <c r="HP104" s="9"/>
      <c r="HQ104" s="9"/>
      <c r="HR104" s="9"/>
      <c r="HS104" s="9"/>
      <c r="HT104" s="9"/>
      <c r="HU104" s="9"/>
      <c r="HV104" s="9"/>
      <c r="HW104" s="9"/>
      <c r="HX104" s="9"/>
      <c r="HY104" s="9"/>
      <c r="HZ104" s="9"/>
      <c r="IA104" s="9"/>
      <c r="IB104" s="9"/>
      <c r="IC104" s="9"/>
      <c r="ID104" s="9"/>
      <c r="IE104" s="9"/>
      <c r="IF104" s="9"/>
      <c r="IG104" s="9"/>
      <c r="IH104" s="9"/>
      <c r="II104" s="9"/>
      <c r="IJ104" s="9"/>
      <c r="IK104" s="9"/>
      <c r="IL104" s="9"/>
      <c r="IM104" s="9"/>
      <c r="IN104" s="9"/>
      <c r="IO104" s="9"/>
      <c r="IP104" s="9"/>
      <c r="IQ104" s="9"/>
      <c r="IR104" s="9"/>
      <c r="IS104" s="9"/>
      <c r="IT104" s="9"/>
      <c r="IU104" s="9"/>
      <c r="IV104" s="9"/>
      <c r="IW104" s="9"/>
      <c r="IX104" s="9"/>
      <c r="IY104" s="9"/>
      <c r="IZ104" s="9"/>
      <c r="JA104" s="9"/>
      <c r="JB104" s="9"/>
      <c r="JC104" s="9"/>
      <c r="JD104" s="9"/>
      <c r="JE104" s="9"/>
      <c r="JF104" s="9"/>
      <c r="JG104" s="9"/>
      <c r="JH104" s="9"/>
      <c r="JI104" s="9"/>
      <c r="JJ104" s="9"/>
      <c r="JK104" s="9"/>
      <c r="JL104" s="9"/>
      <c r="JM104" s="9"/>
      <c r="JN104" s="9"/>
      <c r="JO104" s="9"/>
      <c r="JP104" s="9"/>
      <c r="JQ104" s="9"/>
      <c r="JR104" s="9"/>
      <c r="JS104" s="9"/>
      <c r="JT104" s="9"/>
      <c r="JU104" s="9"/>
      <c r="JV104" s="9"/>
      <c r="JW104" s="9"/>
      <c r="JX104" s="9"/>
      <c r="JY104" s="9"/>
      <c r="JZ104" s="9"/>
      <c r="KA104" s="9"/>
      <c r="KB104" s="9"/>
      <c r="KC104" s="9"/>
      <c r="KD104" s="9"/>
      <c r="KE104" s="9"/>
      <c r="KF104" s="9"/>
      <c r="KG104" s="9"/>
      <c r="KH104" s="9"/>
      <c r="KI104" s="9"/>
      <c r="KJ104" s="9"/>
      <c r="KK104" s="9"/>
      <c r="KL104" s="9"/>
      <c r="KM104" s="9"/>
      <c r="KN104" s="9"/>
      <c r="KO104" s="9"/>
      <c r="KP104" s="9"/>
      <c r="KQ104" s="9"/>
      <c r="KR104" s="9"/>
      <c r="KS104" s="9"/>
      <c r="KT104" s="9"/>
      <c r="KU104" s="9"/>
      <c r="KV104" s="9"/>
      <c r="KW104" s="9"/>
      <c r="KX104" s="9"/>
      <c r="KY104" s="9"/>
      <c r="KZ104" s="9"/>
      <c r="LA104" s="9"/>
      <c r="LB104" s="9"/>
      <c r="LC104" s="9"/>
      <c r="LD104" s="9"/>
      <c r="LE104" s="9"/>
      <c r="LF104" s="9"/>
      <c r="LG104" s="9"/>
      <c r="LH104" s="9"/>
      <c r="LI104" s="9"/>
      <c r="LJ104" s="9"/>
      <c r="LK104" s="9"/>
      <c r="LL104" s="9"/>
      <c r="LM104" s="9"/>
      <c r="LN104" s="9"/>
      <c r="LO104" s="9"/>
      <c r="LP104" s="9"/>
      <c r="LQ104" s="9"/>
      <c r="LR104" s="9"/>
      <c r="LS104" s="9"/>
      <c r="LT104" s="9"/>
      <c r="LU104" s="9"/>
      <c r="LV104" s="9"/>
      <c r="LW104" s="9"/>
      <c r="LX104" s="9"/>
      <c r="LY104" s="9"/>
      <c r="LZ104" s="9"/>
      <c r="MA104" s="9"/>
      <c r="MB104" s="9"/>
      <c r="MC104" s="9"/>
      <c r="MD104" s="9"/>
      <c r="ME104" s="9"/>
      <c r="MF104" s="9"/>
      <c r="MG104" s="9"/>
      <c r="MH104" s="9"/>
      <c r="MI104" s="9"/>
      <c r="MJ104" s="9"/>
      <c r="MK104" s="9"/>
    </row>
    <row r="105" spans="1:349" hidden="1" x14ac:dyDescent="0.25">
      <c r="A105" s="9"/>
      <c r="B105" s="9"/>
      <c r="C105" s="9"/>
      <c r="D105" s="9"/>
      <c r="E105" s="9"/>
      <c r="F105" s="9"/>
      <c r="G105" s="9"/>
      <c r="H105" s="9"/>
      <c r="I105" s="9"/>
      <c r="J105" s="9"/>
      <c r="K105" s="9"/>
      <c r="L105" s="9"/>
      <c r="M105" s="9"/>
      <c r="N105" s="9"/>
      <c r="O105" s="9"/>
      <c r="AG105" s="9"/>
      <c r="AH105" s="9"/>
      <c r="AI105" s="9"/>
      <c r="AJ105" s="9"/>
      <c r="AK105" s="9"/>
      <c r="AL105" s="9"/>
      <c r="AM105" s="9"/>
      <c r="AN105" s="9"/>
      <c r="AO105" s="9"/>
      <c r="AP105" s="9"/>
      <c r="AQ105" s="9"/>
      <c r="AR105" s="9"/>
      <c r="AS105" s="9"/>
      <c r="AT105" s="9"/>
      <c r="AU105" s="9"/>
      <c r="AV105" s="9"/>
      <c r="AW105" s="9"/>
      <c r="AX105" s="9"/>
      <c r="AY105" s="9"/>
      <c r="AZ105" s="9"/>
      <c r="BA105" s="9"/>
      <c r="BB105" s="9"/>
      <c r="BC105" s="9"/>
      <c r="BD105" s="9"/>
      <c r="BE105" s="9"/>
      <c r="BF105" s="9"/>
      <c r="BG105" s="9"/>
      <c r="BH105" s="9"/>
      <c r="BI105" s="9"/>
      <c r="BJ105" s="9"/>
      <c r="BK105" s="9"/>
      <c r="BL105" s="9"/>
      <c r="BM105" s="9"/>
      <c r="BN105" s="9"/>
      <c r="BO105" s="9"/>
      <c r="BP105" s="9"/>
      <c r="BQ105" s="9"/>
      <c r="BR105" s="9"/>
      <c r="BS105" s="9"/>
      <c r="BT105" s="9"/>
      <c r="BU105" s="9"/>
      <c r="BV105" s="9"/>
      <c r="BW105" s="9"/>
      <c r="BX105" s="9"/>
      <c r="BY105" s="9"/>
      <c r="BZ105" s="9"/>
      <c r="CA105" s="9"/>
      <c r="CB105" s="9"/>
      <c r="CC105" s="9"/>
      <c r="CD105" s="9"/>
      <c r="CE105" s="9"/>
      <c r="CF105" s="9"/>
      <c r="CG105" s="9"/>
      <c r="CH105" s="9"/>
      <c r="CI105" s="9"/>
      <c r="CJ105" s="9"/>
      <c r="CK105" s="9"/>
      <c r="CL105" s="9"/>
      <c r="CM105" s="9"/>
      <c r="CN105" s="9"/>
      <c r="CO105" s="9"/>
      <c r="CP105" s="9"/>
      <c r="CQ105" s="9"/>
      <c r="CR105" s="9"/>
      <c r="CS105" s="9"/>
      <c r="CT105" s="9"/>
      <c r="CU105" s="9"/>
      <c r="CV105" s="9"/>
      <c r="CW105" s="9"/>
      <c r="CX105" s="9"/>
      <c r="CY105" s="9"/>
      <c r="CZ105" s="9"/>
      <c r="DA105" s="9"/>
      <c r="DB105" s="9"/>
      <c r="DC105" s="9"/>
      <c r="DD105" s="9"/>
      <c r="DE105" s="9"/>
      <c r="DF105" s="9"/>
      <c r="DG105" s="9"/>
      <c r="DH105" s="9"/>
      <c r="DI105" s="9"/>
      <c r="DJ105" s="9"/>
      <c r="DK105" s="9"/>
      <c r="DL105" s="9"/>
      <c r="DM105" s="9"/>
      <c r="DN105" s="9"/>
      <c r="DO105" s="9"/>
      <c r="DP105" s="9"/>
      <c r="DQ105" s="9"/>
      <c r="DR105" s="9"/>
      <c r="DS105" s="9"/>
      <c r="DT105" s="9"/>
      <c r="DU105" s="9"/>
      <c r="DV105" s="9"/>
      <c r="DW105" s="9"/>
      <c r="DX105" s="9"/>
      <c r="DY105" s="9"/>
      <c r="DZ105" s="9"/>
      <c r="EA105" s="9"/>
      <c r="EB105" s="9"/>
      <c r="EC105" s="9"/>
      <c r="ED105" s="9"/>
      <c r="EE105" s="9"/>
      <c r="EF105" s="9"/>
      <c r="EG105" s="9"/>
      <c r="EH105" s="9"/>
      <c r="EI105" s="9"/>
      <c r="EJ105" s="9"/>
      <c r="EK105" s="9"/>
      <c r="EL105" s="9"/>
      <c r="EM105" s="9"/>
      <c r="EN105" s="9"/>
      <c r="EO105" s="9"/>
      <c r="EP105" s="9"/>
      <c r="EQ105" s="9"/>
      <c r="ER105" s="9"/>
      <c r="ES105" s="9"/>
      <c r="ET105" s="9"/>
      <c r="EU105" s="9"/>
      <c r="EV105" s="9"/>
      <c r="EW105" s="9"/>
      <c r="EX105" s="9"/>
      <c r="EY105" s="9"/>
      <c r="EZ105" s="9"/>
      <c r="FA105" s="9"/>
      <c r="FB105" s="9"/>
      <c r="FC105" s="9"/>
      <c r="FD105" s="9"/>
      <c r="FE105" s="9"/>
      <c r="FF105" s="9"/>
      <c r="FG105" s="9"/>
      <c r="FH105" s="9"/>
      <c r="FI105" s="9"/>
      <c r="FJ105" s="9"/>
      <c r="FK105" s="9"/>
      <c r="FL105" s="9"/>
      <c r="FM105" s="9"/>
      <c r="FN105" s="9"/>
      <c r="FO105" s="9"/>
      <c r="FP105" s="9"/>
      <c r="FQ105" s="9"/>
      <c r="FR105" s="9"/>
      <c r="FS105" s="9"/>
      <c r="FT105" s="9"/>
      <c r="FU105" s="9"/>
      <c r="FV105" s="9"/>
      <c r="FW105" s="9"/>
      <c r="FX105" s="9"/>
      <c r="FY105" s="9"/>
      <c r="FZ105" s="9"/>
      <c r="GA105" s="9"/>
      <c r="GB105" s="9"/>
      <c r="GC105" s="9"/>
      <c r="GD105" s="9"/>
      <c r="GE105" s="9"/>
      <c r="GF105" s="9"/>
      <c r="GG105" s="9"/>
      <c r="GH105" s="9"/>
      <c r="GI105" s="9"/>
      <c r="GJ105" s="9"/>
      <c r="GK105" s="9"/>
      <c r="GL105" s="9"/>
      <c r="GM105" s="9"/>
      <c r="GN105" s="9"/>
      <c r="GO105" s="9"/>
      <c r="GP105" s="9"/>
      <c r="GQ105" s="9"/>
      <c r="GR105" s="9"/>
      <c r="GS105" s="9"/>
      <c r="GT105" s="9"/>
      <c r="GU105" s="9"/>
      <c r="GV105" s="9"/>
      <c r="GW105" s="9"/>
      <c r="GX105" s="9"/>
      <c r="GY105" s="9"/>
      <c r="GZ105" s="9"/>
      <c r="HA105" s="9"/>
      <c r="HB105" s="9"/>
      <c r="HC105" s="9"/>
      <c r="HD105" s="9"/>
      <c r="HE105" s="9"/>
      <c r="HF105" s="9"/>
      <c r="HG105" s="9"/>
      <c r="HH105" s="9"/>
      <c r="HI105" s="9"/>
      <c r="HJ105" s="9"/>
      <c r="HK105" s="9"/>
      <c r="HL105" s="9"/>
      <c r="HM105" s="9"/>
      <c r="HN105" s="9"/>
      <c r="HO105" s="9"/>
      <c r="HP105" s="9"/>
      <c r="HQ105" s="9"/>
      <c r="HR105" s="9"/>
      <c r="HS105" s="9"/>
      <c r="HT105" s="9"/>
      <c r="HU105" s="9"/>
      <c r="HV105" s="9"/>
      <c r="HW105" s="9"/>
      <c r="HX105" s="9"/>
      <c r="HY105" s="9"/>
      <c r="HZ105" s="9"/>
      <c r="IA105" s="9"/>
      <c r="IB105" s="9"/>
      <c r="IC105" s="9"/>
      <c r="ID105" s="9"/>
      <c r="IE105" s="9"/>
      <c r="IF105" s="9"/>
      <c r="IG105" s="9"/>
      <c r="IH105" s="9"/>
      <c r="II105" s="9"/>
      <c r="IJ105" s="9"/>
      <c r="IK105" s="9"/>
      <c r="IL105" s="9"/>
      <c r="IM105" s="9"/>
      <c r="IN105" s="9"/>
      <c r="IO105" s="9"/>
      <c r="IP105" s="9"/>
      <c r="IQ105" s="9"/>
      <c r="IR105" s="9"/>
      <c r="IS105" s="9"/>
      <c r="IT105" s="9"/>
      <c r="IU105" s="9"/>
      <c r="IV105" s="9"/>
      <c r="IW105" s="9"/>
      <c r="IX105" s="9"/>
      <c r="IY105" s="9"/>
      <c r="IZ105" s="9"/>
      <c r="JA105" s="9"/>
      <c r="JB105" s="9"/>
      <c r="JC105" s="9"/>
      <c r="JD105" s="9"/>
      <c r="JE105" s="9"/>
      <c r="JF105" s="9"/>
      <c r="JG105" s="9"/>
      <c r="JH105" s="9"/>
      <c r="JI105" s="9"/>
      <c r="JJ105" s="9"/>
      <c r="JK105" s="9"/>
      <c r="JL105" s="9"/>
      <c r="JM105" s="9"/>
      <c r="JN105" s="9"/>
      <c r="JO105" s="9"/>
      <c r="JP105" s="9"/>
      <c r="JQ105" s="9"/>
      <c r="JR105" s="9"/>
      <c r="JS105" s="9"/>
      <c r="JT105" s="9"/>
      <c r="JU105" s="9"/>
      <c r="JV105" s="9"/>
      <c r="JW105" s="9"/>
      <c r="JX105" s="9"/>
      <c r="JY105" s="9"/>
      <c r="JZ105" s="9"/>
      <c r="KA105" s="9"/>
      <c r="KB105" s="9"/>
      <c r="KC105" s="9"/>
      <c r="KD105" s="9"/>
      <c r="KE105" s="9"/>
      <c r="KF105" s="9"/>
      <c r="KG105" s="9"/>
      <c r="KH105" s="9"/>
      <c r="KI105" s="9"/>
      <c r="KJ105" s="9"/>
      <c r="KK105" s="9"/>
      <c r="KL105" s="9"/>
      <c r="KM105" s="9"/>
      <c r="KN105" s="9"/>
      <c r="KO105" s="9"/>
      <c r="KP105" s="9"/>
      <c r="KQ105" s="9"/>
      <c r="KR105" s="9"/>
      <c r="KS105" s="9"/>
      <c r="KT105" s="9"/>
      <c r="KU105" s="9"/>
      <c r="KV105" s="9"/>
      <c r="KW105" s="9"/>
      <c r="KX105" s="9"/>
      <c r="KY105" s="9"/>
      <c r="KZ105" s="9"/>
      <c r="LA105" s="9"/>
      <c r="LB105" s="9"/>
      <c r="LC105" s="9"/>
      <c r="LD105" s="9"/>
      <c r="LE105" s="9"/>
      <c r="LF105" s="9"/>
      <c r="LG105" s="9"/>
      <c r="LH105" s="9"/>
      <c r="LI105" s="9"/>
      <c r="LJ105" s="9"/>
      <c r="LK105" s="9"/>
      <c r="LL105" s="9"/>
      <c r="LM105" s="9"/>
      <c r="LN105" s="9"/>
      <c r="LO105" s="9"/>
      <c r="LP105" s="9"/>
      <c r="LQ105" s="9"/>
      <c r="LR105" s="9"/>
      <c r="LS105" s="9"/>
      <c r="LT105" s="9"/>
      <c r="LU105" s="9"/>
      <c r="LV105" s="9"/>
      <c r="LW105" s="9"/>
      <c r="LX105" s="9"/>
      <c r="LY105" s="9"/>
      <c r="LZ105" s="9"/>
      <c r="MA105" s="9"/>
      <c r="MB105" s="9"/>
      <c r="MC105" s="9"/>
      <c r="MD105" s="9"/>
      <c r="ME105" s="9"/>
      <c r="MF105" s="9"/>
      <c r="MG105" s="9"/>
      <c r="MH105" s="9"/>
      <c r="MI105" s="9"/>
      <c r="MJ105" s="9"/>
      <c r="MK105" s="9"/>
    </row>
    <row r="106" spans="1:349" hidden="1" x14ac:dyDescent="0.25">
      <c r="A106" s="9"/>
      <c r="B106" s="9"/>
      <c r="C106" s="9"/>
      <c r="D106" s="9"/>
      <c r="E106" s="9"/>
      <c r="F106" s="9"/>
      <c r="G106" s="9"/>
      <c r="H106" s="9"/>
      <c r="I106" s="9"/>
      <c r="J106" s="9"/>
      <c r="K106" s="9"/>
      <c r="L106" s="9"/>
      <c r="M106" s="9"/>
      <c r="N106" s="9"/>
      <c r="O106" s="9"/>
      <c r="AG106" s="9"/>
      <c r="AH106" s="9"/>
      <c r="AI106" s="9"/>
      <c r="AJ106" s="9"/>
      <c r="AK106" s="9"/>
      <c r="AL106" s="9"/>
      <c r="AM106" s="9"/>
      <c r="AN106" s="9"/>
      <c r="AO106" s="9"/>
      <c r="AP106" s="9"/>
      <c r="AQ106" s="9"/>
      <c r="AR106" s="9"/>
      <c r="AS106" s="9"/>
      <c r="AT106" s="9"/>
      <c r="AU106" s="9"/>
      <c r="AV106" s="9"/>
      <c r="AW106" s="9"/>
      <c r="AX106" s="9"/>
      <c r="AY106" s="9"/>
      <c r="AZ106" s="9"/>
      <c r="BA106" s="9"/>
      <c r="BB106" s="9"/>
      <c r="BC106" s="9"/>
      <c r="BD106" s="9"/>
      <c r="BE106" s="9"/>
      <c r="BF106" s="9"/>
      <c r="BG106" s="9"/>
      <c r="BH106" s="9"/>
      <c r="BI106" s="9"/>
      <c r="BJ106" s="9"/>
      <c r="BK106" s="9"/>
      <c r="BL106" s="9"/>
      <c r="BM106" s="9"/>
      <c r="BN106" s="9"/>
      <c r="BO106" s="9"/>
      <c r="BP106" s="9"/>
      <c r="BQ106" s="9"/>
      <c r="BR106" s="9"/>
      <c r="BS106" s="9"/>
      <c r="BT106" s="9"/>
      <c r="BU106" s="9"/>
      <c r="BV106" s="9"/>
      <c r="BW106" s="9"/>
      <c r="BX106" s="9"/>
      <c r="BY106" s="9"/>
      <c r="BZ106" s="9"/>
      <c r="CA106" s="9"/>
      <c r="CB106" s="9"/>
      <c r="CC106" s="9"/>
      <c r="CD106" s="9"/>
      <c r="CE106" s="9"/>
      <c r="CF106" s="9"/>
      <c r="CG106" s="9"/>
      <c r="CH106" s="9"/>
      <c r="CI106" s="9"/>
      <c r="CJ106" s="9"/>
      <c r="CK106" s="9"/>
      <c r="CL106" s="9"/>
      <c r="CM106" s="9"/>
      <c r="CN106" s="9"/>
      <c r="CO106" s="9"/>
      <c r="CP106" s="9"/>
      <c r="CQ106" s="9"/>
      <c r="CR106" s="9"/>
      <c r="CS106" s="9"/>
      <c r="CT106" s="9"/>
      <c r="CU106" s="9"/>
      <c r="CV106" s="9"/>
      <c r="CW106" s="9"/>
      <c r="CX106" s="9"/>
      <c r="CY106" s="9"/>
      <c r="CZ106" s="9"/>
      <c r="DA106" s="9"/>
      <c r="DB106" s="9"/>
      <c r="DC106" s="9"/>
      <c r="DD106" s="9"/>
      <c r="DE106" s="9"/>
      <c r="DF106" s="9"/>
      <c r="DG106" s="9"/>
      <c r="DH106" s="9"/>
      <c r="DI106" s="9"/>
      <c r="DJ106" s="9"/>
      <c r="DK106" s="9"/>
      <c r="DL106" s="9"/>
      <c r="DM106" s="9"/>
      <c r="DN106" s="9"/>
      <c r="DO106" s="9"/>
      <c r="DP106" s="9"/>
      <c r="DQ106" s="9"/>
      <c r="DR106" s="9"/>
      <c r="DS106" s="9"/>
      <c r="DT106" s="9"/>
      <c r="DU106" s="9"/>
      <c r="DV106" s="9"/>
      <c r="DW106" s="9"/>
      <c r="DX106" s="9"/>
      <c r="DY106" s="9"/>
      <c r="DZ106" s="9"/>
      <c r="EA106" s="9"/>
      <c r="EB106" s="9"/>
      <c r="EC106" s="9"/>
      <c r="ED106" s="9"/>
      <c r="EE106" s="9"/>
      <c r="EF106" s="9"/>
      <c r="EG106" s="9"/>
      <c r="EH106" s="9"/>
      <c r="EI106" s="9"/>
      <c r="EJ106" s="9"/>
      <c r="EK106" s="9"/>
      <c r="EL106" s="9"/>
      <c r="EM106" s="9"/>
      <c r="EN106" s="9"/>
      <c r="EO106" s="9"/>
      <c r="EP106" s="9"/>
      <c r="EQ106" s="9"/>
      <c r="ER106" s="9"/>
      <c r="ES106" s="9"/>
      <c r="ET106" s="9"/>
      <c r="EU106" s="9"/>
      <c r="EV106" s="9"/>
      <c r="EW106" s="9"/>
      <c r="EX106" s="9"/>
      <c r="EY106" s="9"/>
      <c r="EZ106" s="9"/>
      <c r="FA106" s="9"/>
      <c r="FB106" s="9"/>
      <c r="FC106" s="9"/>
      <c r="FD106" s="9"/>
      <c r="FE106" s="9"/>
      <c r="FF106" s="9"/>
      <c r="FG106" s="9"/>
      <c r="FH106" s="9"/>
      <c r="FI106" s="9"/>
      <c r="FJ106" s="9"/>
      <c r="FK106" s="9"/>
      <c r="FL106" s="9"/>
      <c r="FM106" s="9"/>
      <c r="FN106" s="9"/>
      <c r="FO106" s="9"/>
      <c r="FP106" s="9"/>
      <c r="FQ106" s="9"/>
      <c r="FR106" s="9"/>
      <c r="FS106" s="9"/>
      <c r="FT106" s="9"/>
      <c r="FU106" s="9"/>
      <c r="FV106" s="9"/>
      <c r="FW106" s="9"/>
      <c r="FX106" s="9"/>
      <c r="FY106" s="9"/>
      <c r="FZ106" s="9"/>
      <c r="GA106" s="9"/>
      <c r="GB106" s="9"/>
      <c r="GC106" s="9"/>
      <c r="GD106" s="9"/>
      <c r="GE106" s="9"/>
      <c r="GF106" s="9"/>
      <c r="GG106" s="9"/>
      <c r="GH106" s="9"/>
      <c r="GI106" s="9"/>
      <c r="GJ106" s="9"/>
      <c r="GK106" s="9"/>
      <c r="GL106" s="9"/>
      <c r="GM106" s="9"/>
      <c r="GN106" s="9"/>
      <c r="GO106" s="9"/>
      <c r="GP106" s="9"/>
      <c r="GQ106" s="9"/>
      <c r="GR106" s="9"/>
      <c r="GS106" s="9"/>
      <c r="GT106" s="9"/>
      <c r="GU106" s="9"/>
      <c r="GV106" s="9"/>
      <c r="GW106" s="9"/>
      <c r="GX106" s="9"/>
      <c r="GY106" s="9"/>
      <c r="GZ106" s="9"/>
      <c r="HA106" s="9"/>
      <c r="HB106" s="9"/>
      <c r="HC106" s="9"/>
      <c r="HD106" s="9"/>
      <c r="HE106" s="9"/>
      <c r="HF106" s="9"/>
      <c r="HG106" s="9"/>
      <c r="HH106" s="9"/>
      <c r="HI106" s="9"/>
      <c r="HJ106" s="9"/>
      <c r="HK106" s="9"/>
      <c r="HL106" s="9"/>
      <c r="HM106" s="9"/>
      <c r="HN106" s="9"/>
      <c r="HO106" s="9"/>
      <c r="HP106" s="9"/>
      <c r="HQ106" s="9"/>
      <c r="HR106" s="9"/>
      <c r="HS106" s="9"/>
      <c r="HT106" s="9"/>
      <c r="HU106" s="9"/>
      <c r="HV106" s="9"/>
      <c r="HW106" s="9"/>
      <c r="HX106" s="9"/>
      <c r="HY106" s="9"/>
      <c r="HZ106" s="9"/>
      <c r="IA106" s="9"/>
      <c r="IB106" s="9"/>
      <c r="IC106" s="9"/>
      <c r="ID106" s="9"/>
      <c r="IE106" s="9"/>
      <c r="IF106" s="9"/>
      <c r="IG106" s="9"/>
      <c r="IH106" s="9"/>
      <c r="II106" s="9"/>
      <c r="IJ106" s="9"/>
      <c r="IK106" s="9"/>
      <c r="IL106" s="9"/>
      <c r="IM106" s="9"/>
      <c r="IN106" s="9"/>
      <c r="IO106" s="9"/>
      <c r="IP106" s="9"/>
      <c r="IQ106" s="9"/>
      <c r="IR106" s="9"/>
      <c r="IS106" s="9"/>
      <c r="IT106" s="9"/>
      <c r="IU106" s="9"/>
      <c r="IV106" s="9"/>
      <c r="IW106" s="9"/>
      <c r="IX106" s="9"/>
      <c r="IY106" s="9"/>
      <c r="IZ106" s="9"/>
      <c r="JA106" s="9"/>
      <c r="JB106" s="9"/>
      <c r="JC106" s="9"/>
      <c r="JD106" s="9"/>
      <c r="JE106" s="9"/>
      <c r="JF106" s="9"/>
      <c r="JG106" s="9"/>
      <c r="JH106" s="9"/>
      <c r="JI106" s="9"/>
      <c r="JJ106" s="9"/>
      <c r="JK106" s="9"/>
      <c r="JL106" s="9"/>
      <c r="JM106" s="9"/>
      <c r="JN106" s="9"/>
      <c r="JO106" s="9"/>
      <c r="JP106" s="9"/>
      <c r="JQ106" s="9"/>
      <c r="JR106" s="9"/>
      <c r="JS106" s="9"/>
      <c r="JT106" s="9"/>
      <c r="JU106" s="9"/>
      <c r="JV106" s="9"/>
      <c r="JW106" s="9"/>
      <c r="JX106" s="9"/>
      <c r="JY106" s="9"/>
      <c r="JZ106" s="9"/>
      <c r="KA106" s="9"/>
      <c r="KB106" s="9"/>
      <c r="KC106" s="9"/>
      <c r="KD106" s="9"/>
      <c r="KE106" s="9"/>
      <c r="KF106" s="9"/>
      <c r="KG106" s="9"/>
      <c r="KH106" s="9"/>
      <c r="KI106" s="9"/>
      <c r="KJ106" s="9"/>
      <c r="KK106" s="9"/>
      <c r="KL106" s="9"/>
      <c r="KM106" s="9"/>
      <c r="KN106" s="9"/>
      <c r="KO106" s="9"/>
      <c r="KP106" s="9"/>
      <c r="KQ106" s="9"/>
      <c r="KR106" s="9"/>
      <c r="KS106" s="9"/>
      <c r="KT106" s="9"/>
      <c r="KU106" s="9"/>
      <c r="KV106" s="9"/>
      <c r="KW106" s="9"/>
      <c r="KX106" s="9"/>
      <c r="KY106" s="9"/>
      <c r="KZ106" s="9"/>
      <c r="LA106" s="9"/>
      <c r="LB106" s="9"/>
      <c r="LC106" s="9"/>
      <c r="LD106" s="9"/>
      <c r="LE106" s="9"/>
      <c r="LF106" s="9"/>
      <c r="LG106" s="9"/>
      <c r="LH106" s="9"/>
      <c r="LI106" s="9"/>
      <c r="LJ106" s="9"/>
      <c r="LK106" s="9"/>
      <c r="LL106" s="9"/>
      <c r="LM106" s="9"/>
      <c r="LN106" s="9"/>
      <c r="LO106" s="9"/>
      <c r="LP106" s="9"/>
      <c r="LQ106" s="9"/>
      <c r="LR106" s="9"/>
      <c r="LS106" s="9"/>
      <c r="LT106" s="9"/>
      <c r="LU106" s="9"/>
      <c r="LV106" s="9"/>
      <c r="LW106" s="9"/>
      <c r="LX106" s="9"/>
      <c r="LY106" s="9"/>
      <c r="LZ106" s="9"/>
      <c r="MA106" s="9"/>
      <c r="MB106" s="9"/>
      <c r="MC106" s="9"/>
      <c r="MD106" s="9"/>
      <c r="ME106" s="9"/>
      <c r="MF106" s="9"/>
      <c r="MG106" s="9"/>
      <c r="MH106" s="9"/>
      <c r="MI106" s="9"/>
      <c r="MJ106" s="9"/>
      <c r="MK106" s="9"/>
    </row>
    <row r="107" spans="1:349" hidden="1" x14ac:dyDescent="0.25">
      <c r="A107" s="9"/>
      <c r="B107" s="9"/>
      <c r="C107" s="9"/>
      <c r="D107" s="9"/>
      <c r="E107" s="9"/>
      <c r="F107" s="9"/>
      <c r="G107" s="9"/>
      <c r="H107" s="9"/>
      <c r="I107" s="9"/>
      <c r="J107" s="9"/>
      <c r="K107" s="9"/>
      <c r="L107" s="9"/>
      <c r="M107" s="9"/>
      <c r="N107" s="9"/>
      <c r="O107" s="9"/>
      <c r="AG107" s="9"/>
      <c r="AH107" s="9"/>
      <c r="AI107" s="9"/>
      <c r="AJ107" s="9"/>
      <c r="AK107" s="9"/>
      <c r="AL107" s="9"/>
      <c r="AM107" s="9"/>
      <c r="AN107" s="9"/>
      <c r="AO107" s="9"/>
      <c r="AP107" s="9"/>
      <c r="AQ107" s="9"/>
      <c r="AR107" s="9"/>
      <c r="AS107" s="9"/>
      <c r="AT107" s="9"/>
      <c r="AU107" s="9"/>
      <c r="AV107" s="9"/>
      <c r="AW107" s="9"/>
      <c r="AX107" s="9"/>
      <c r="AY107" s="9"/>
      <c r="AZ107" s="9"/>
      <c r="BA107" s="9"/>
      <c r="BB107" s="9"/>
      <c r="BC107" s="9"/>
      <c r="BD107" s="9"/>
      <c r="BE107" s="9"/>
      <c r="BF107" s="9"/>
      <c r="BG107" s="9"/>
      <c r="BH107" s="9"/>
      <c r="BI107" s="9"/>
      <c r="BJ107" s="9"/>
      <c r="BK107" s="9"/>
      <c r="BL107" s="9"/>
      <c r="BM107" s="9"/>
      <c r="BN107" s="9"/>
      <c r="BO107" s="9"/>
      <c r="BP107" s="9"/>
      <c r="BQ107" s="9"/>
      <c r="BR107" s="9"/>
      <c r="BS107" s="9"/>
      <c r="BT107" s="9"/>
      <c r="BU107" s="9"/>
      <c r="BV107" s="9"/>
      <c r="BW107" s="9"/>
      <c r="BX107" s="9"/>
      <c r="BY107" s="9"/>
      <c r="BZ107" s="9"/>
      <c r="CA107" s="9"/>
      <c r="CB107" s="9"/>
      <c r="CC107" s="9"/>
      <c r="CD107" s="9"/>
      <c r="CE107" s="9"/>
      <c r="CF107" s="9"/>
      <c r="CG107" s="9"/>
      <c r="CH107" s="9"/>
      <c r="CI107" s="9"/>
      <c r="CJ107" s="9"/>
      <c r="CK107" s="9"/>
      <c r="CL107" s="9"/>
      <c r="CM107" s="9"/>
      <c r="CN107" s="9"/>
      <c r="CO107" s="9"/>
      <c r="CP107" s="9"/>
      <c r="CQ107" s="9"/>
      <c r="CR107" s="9"/>
      <c r="CS107" s="9"/>
      <c r="CT107" s="9"/>
      <c r="CU107" s="9"/>
      <c r="CV107" s="9"/>
      <c r="CW107" s="9"/>
      <c r="CX107" s="9"/>
      <c r="CY107" s="9"/>
      <c r="CZ107" s="9"/>
      <c r="DA107" s="9"/>
      <c r="DB107" s="9"/>
      <c r="DC107" s="9"/>
      <c r="DD107" s="9"/>
      <c r="DE107" s="9"/>
      <c r="DF107" s="9"/>
      <c r="DG107" s="9"/>
      <c r="DH107" s="9"/>
      <c r="DI107" s="9"/>
      <c r="DJ107" s="9"/>
      <c r="DK107" s="9"/>
      <c r="DL107" s="9"/>
      <c r="DM107" s="9"/>
      <c r="DN107" s="9"/>
      <c r="DO107" s="9"/>
      <c r="DP107" s="9"/>
      <c r="DQ107" s="9"/>
      <c r="DR107" s="9"/>
      <c r="DS107" s="9"/>
      <c r="DT107" s="9"/>
      <c r="DU107" s="9"/>
      <c r="DV107" s="9"/>
      <c r="DW107" s="9"/>
      <c r="DX107" s="9"/>
      <c r="DY107" s="9"/>
      <c r="DZ107" s="9"/>
      <c r="EA107" s="9"/>
      <c r="EB107" s="9"/>
      <c r="EC107" s="9"/>
      <c r="ED107" s="9"/>
      <c r="EE107" s="9"/>
      <c r="EF107" s="9"/>
      <c r="EG107" s="9"/>
      <c r="EH107" s="9"/>
      <c r="EI107" s="9"/>
      <c r="EJ107" s="9"/>
      <c r="EK107" s="9"/>
      <c r="EL107" s="9"/>
      <c r="EM107" s="9"/>
      <c r="EN107" s="9"/>
      <c r="EO107" s="9"/>
      <c r="EP107" s="9"/>
      <c r="EQ107" s="9"/>
      <c r="ER107" s="9"/>
      <c r="ES107" s="9"/>
      <c r="ET107" s="9"/>
      <c r="EU107" s="9"/>
      <c r="EV107" s="9"/>
      <c r="EW107" s="9"/>
      <c r="EX107" s="9"/>
      <c r="EY107" s="9"/>
      <c r="EZ107" s="9"/>
      <c r="FA107" s="9"/>
      <c r="FB107" s="9"/>
      <c r="FC107" s="9"/>
      <c r="FD107" s="9"/>
      <c r="FE107" s="9"/>
      <c r="FF107" s="9"/>
      <c r="FG107" s="9"/>
      <c r="FH107" s="9"/>
      <c r="FI107" s="9"/>
      <c r="FJ107" s="9"/>
      <c r="FK107" s="9"/>
      <c r="FL107" s="9"/>
      <c r="FM107" s="9"/>
      <c r="FN107" s="9"/>
      <c r="FO107" s="9"/>
      <c r="FP107" s="9"/>
      <c r="FQ107" s="9"/>
      <c r="FR107" s="9"/>
      <c r="FS107" s="9"/>
      <c r="FT107" s="9"/>
      <c r="FU107" s="9"/>
      <c r="FV107" s="9"/>
      <c r="FW107" s="9"/>
      <c r="FX107" s="9"/>
      <c r="FY107" s="9"/>
      <c r="FZ107" s="9"/>
      <c r="GA107" s="9"/>
      <c r="GB107" s="9"/>
      <c r="GC107" s="9"/>
      <c r="GD107" s="9"/>
      <c r="GE107" s="9"/>
      <c r="GF107" s="9"/>
      <c r="GG107" s="9"/>
      <c r="GH107" s="9"/>
      <c r="GI107" s="9"/>
      <c r="GJ107" s="9"/>
      <c r="GK107" s="9"/>
      <c r="GL107" s="9"/>
      <c r="GM107" s="9"/>
      <c r="GN107" s="9"/>
      <c r="GO107" s="9"/>
      <c r="GP107" s="9"/>
      <c r="GQ107" s="9"/>
      <c r="GR107" s="9"/>
      <c r="GS107" s="9"/>
      <c r="GT107" s="9"/>
      <c r="GU107" s="9"/>
      <c r="GV107" s="9"/>
      <c r="GW107" s="9"/>
      <c r="GX107" s="9"/>
      <c r="GY107" s="9"/>
      <c r="GZ107" s="9"/>
      <c r="HA107" s="9"/>
      <c r="HB107" s="9"/>
      <c r="HC107" s="9"/>
      <c r="HD107" s="9"/>
      <c r="HE107" s="9"/>
      <c r="HF107" s="9"/>
      <c r="HG107" s="9"/>
      <c r="HH107" s="9"/>
      <c r="HI107" s="9"/>
      <c r="HJ107" s="9"/>
      <c r="HK107" s="9"/>
      <c r="HL107" s="9"/>
      <c r="HM107" s="9"/>
      <c r="HN107" s="9"/>
      <c r="HO107" s="9"/>
      <c r="HP107" s="9"/>
      <c r="HQ107" s="9"/>
      <c r="HR107" s="9"/>
      <c r="HS107" s="9"/>
      <c r="HT107" s="9"/>
      <c r="HU107" s="9"/>
      <c r="HV107" s="9"/>
      <c r="HW107" s="9"/>
      <c r="HX107" s="9"/>
      <c r="HY107" s="9"/>
      <c r="HZ107" s="9"/>
      <c r="IA107" s="9"/>
      <c r="IB107" s="9"/>
      <c r="IC107" s="9"/>
      <c r="ID107" s="9"/>
      <c r="IE107" s="9"/>
      <c r="IF107" s="9"/>
      <c r="IG107" s="9"/>
      <c r="IH107" s="9"/>
      <c r="II107" s="9"/>
      <c r="IJ107" s="9"/>
      <c r="IK107" s="9"/>
      <c r="IL107" s="9"/>
      <c r="IM107" s="9"/>
      <c r="IN107" s="9"/>
      <c r="IO107" s="9"/>
      <c r="IP107" s="9"/>
      <c r="IQ107" s="9"/>
      <c r="IR107" s="9"/>
      <c r="IS107" s="9"/>
      <c r="IT107" s="9"/>
      <c r="IU107" s="9"/>
      <c r="IV107" s="9"/>
      <c r="IW107" s="9"/>
      <c r="IX107" s="9"/>
      <c r="IY107" s="9"/>
      <c r="IZ107" s="9"/>
      <c r="JA107" s="9"/>
      <c r="JB107" s="9"/>
      <c r="JC107" s="9"/>
      <c r="JD107" s="9"/>
      <c r="JE107" s="9"/>
      <c r="JF107" s="9"/>
      <c r="JG107" s="9"/>
      <c r="JH107" s="9"/>
      <c r="JI107" s="9"/>
      <c r="JJ107" s="9"/>
      <c r="JK107" s="9"/>
      <c r="JL107" s="9"/>
      <c r="JM107" s="9"/>
      <c r="JN107" s="9"/>
      <c r="JO107" s="9"/>
      <c r="JP107" s="9"/>
      <c r="JQ107" s="9"/>
      <c r="JR107" s="9"/>
      <c r="JS107" s="9"/>
      <c r="JT107" s="9"/>
      <c r="JU107" s="9"/>
      <c r="JV107" s="9"/>
      <c r="JW107" s="9"/>
      <c r="JX107" s="9"/>
      <c r="JY107" s="9"/>
      <c r="JZ107" s="9"/>
      <c r="KA107" s="9"/>
      <c r="KB107" s="9"/>
      <c r="KC107" s="9"/>
      <c r="KD107" s="9"/>
      <c r="KE107" s="9"/>
      <c r="KF107" s="9"/>
      <c r="KG107" s="9"/>
      <c r="KH107" s="9"/>
      <c r="KI107" s="9"/>
      <c r="KJ107" s="9"/>
      <c r="KK107" s="9"/>
      <c r="KL107" s="9"/>
      <c r="KM107" s="9"/>
      <c r="KN107" s="9"/>
      <c r="KO107" s="9"/>
      <c r="KP107" s="9"/>
      <c r="KQ107" s="9"/>
      <c r="KR107" s="9"/>
      <c r="KS107" s="9"/>
      <c r="KT107" s="9"/>
      <c r="KU107" s="9"/>
      <c r="KV107" s="9"/>
      <c r="KW107" s="9"/>
      <c r="KX107" s="9"/>
      <c r="KY107" s="9"/>
      <c r="KZ107" s="9"/>
      <c r="LA107" s="9"/>
      <c r="LB107" s="9"/>
      <c r="LC107" s="9"/>
      <c r="LD107" s="9"/>
      <c r="LE107" s="9"/>
      <c r="LF107" s="9"/>
      <c r="LG107" s="9"/>
      <c r="LH107" s="9"/>
      <c r="LI107" s="9"/>
      <c r="LJ107" s="9"/>
      <c r="LK107" s="9"/>
      <c r="LL107" s="9"/>
      <c r="LM107" s="9"/>
      <c r="LN107" s="9"/>
      <c r="LO107" s="9"/>
      <c r="LP107" s="9"/>
      <c r="LQ107" s="9"/>
      <c r="LR107" s="9"/>
      <c r="LS107" s="9"/>
      <c r="LT107" s="9"/>
      <c r="LU107" s="9"/>
      <c r="LV107" s="9"/>
      <c r="LW107" s="9"/>
      <c r="LX107" s="9"/>
      <c r="LY107" s="9"/>
      <c r="LZ107" s="9"/>
      <c r="MA107" s="9"/>
      <c r="MB107" s="9"/>
      <c r="MC107" s="9"/>
      <c r="MD107" s="9"/>
      <c r="ME107" s="9"/>
      <c r="MF107" s="9"/>
      <c r="MG107" s="9"/>
      <c r="MH107" s="9"/>
      <c r="MI107" s="9"/>
      <c r="MJ107" s="9"/>
      <c r="MK107" s="9"/>
    </row>
    <row r="108" spans="1:349" hidden="1" x14ac:dyDescent="0.25">
      <c r="A108" s="9"/>
      <c r="B108" s="9"/>
      <c r="C108" s="9"/>
      <c r="D108" s="9"/>
      <c r="E108" s="9"/>
      <c r="F108" s="9"/>
      <c r="G108" s="9"/>
      <c r="H108" s="9"/>
      <c r="I108" s="9"/>
      <c r="J108" s="9"/>
      <c r="K108" s="9"/>
      <c r="L108" s="9"/>
      <c r="M108" s="9"/>
      <c r="N108" s="9"/>
      <c r="O108" s="9"/>
      <c r="AG108" s="9"/>
      <c r="AH108" s="9"/>
      <c r="AI108" s="9"/>
      <c r="AJ108" s="9"/>
      <c r="AK108" s="9"/>
      <c r="AL108" s="9"/>
      <c r="AM108" s="9"/>
      <c r="AN108" s="9"/>
      <c r="AO108" s="9"/>
      <c r="AP108" s="9"/>
      <c r="AQ108" s="9"/>
      <c r="AR108" s="9"/>
      <c r="AS108" s="9"/>
      <c r="AT108" s="9"/>
      <c r="AU108" s="9"/>
      <c r="AV108" s="9"/>
      <c r="AW108" s="9"/>
      <c r="AX108" s="9"/>
      <c r="AY108" s="9"/>
      <c r="AZ108" s="9"/>
      <c r="BA108" s="9"/>
      <c r="BB108" s="9"/>
      <c r="BC108" s="9"/>
      <c r="BD108" s="9"/>
      <c r="BE108" s="9"/>
      <c r="BF108" s="9"/>
      <c r="BG108" s="9"/>
      <c r="BH108" s="9"/>
      <c r="BI108" s="9"/>
      <c r="BJ108" s="9"/>
      <c r="BK108" s="9"/>
      <c r="BL108" s="9"/>
      <c r="BM108" s="9"/>
      <c r="BN108" s="9"/>
      <c r="BO108" s="9"/>
      <c r="BP108" s="9"/>
      <c r="BQ108" s="9"/>
      <c r="BR108" s="9"/>
      <c r="BS108" s="9"/>
      <c r="BT108" s="9"/>
      <c r="BU108" s="9"/>
      <c r="BV108" s="9"/>
      <c r="BW108" s="9"/>
      <c r="BX108" s="9"/>
      <c r="BY108" s="9"/>
      <c r="BZ108" s="9"/>
      <c r="CA108" s="9"/>
      <c r="CB108" s="9"/>
      <c r="CC108" s="9"/>
      <c r="CD108" s="9"/>
      <c r="CE108" s="9"/>
      <c r="CF108" s="9"/>
      <c r="CG108" s="9"/>
      <c r="CH108" s="9"/>
      <c r="CI108" s="9"/>
      <c r="CJ108" s="9"/>
      <c r="CK108" s="9"/>
      <c r="CL108" s="9"/>
      <c r="CM108" s="9"/>
      <c r="CN108" s="9"/>
      <c r="CO108" s="9"/>
      <c r="CP108" s="9"/>
      <c r="CQ108" s="9"/>
      <c r="CR108" s="9"/>
      <c r="CS108" s="9"/>
      <c r="CT108" s="9"/>
      <c r="CU108" s="9"/>
      <c r="CV108" s="9"/>
      <c r="CW108" s="9"/>
      <c r="CX108" s="9"/>
      <c r="CY108" s="9"/>
      <c r="CZ108" s="9"/>
      <c r="DA108" s="9"/>
      <c r="DB108" s="9"/>
      <c r="DC108" s="9"/>
      <c r="DD108" s="9"/>
      <c r="DE108" s="9"/>
      <c r="DF108" s="9"/>
      <c r="DG108" s="9"/>
      <c r="DH108" s="9"/>
      <c r="DI108" s="9"/>
      <c r="DJ108" s="9"/>
      <c r="DK108" s="9"/>
      <c r="DL108" s="9"/>
      <c r="DM108" s="9"/>
      <c r="DN108" s="9"/>
      <c r="DO108" s="9"/>
      <c r="DP108" s="9"/>
      <c r="DQ108" s="9"/>
      <c r="DR108" s="9"/>
      <c r="DS108" s="9"/>
      <c r="DT108" s="9"/>
      <c r="DU108" s="9"/>
      <c r="DV108" s="9"/>
      <c r="DW108" s="9"/>
      <c r="DX108" s="9"/>
      <c r="DY108" s="9"/>
      <c r="DZ108" s="9"/>
      <c r="EA108" s="9"/>
      <c r="EB108" s="9"/>
      <c r="EC108" s="9"/>
      <c r="ED108" s="9"/>
      <c r="EE108" s="9"/>
      <c r="EF108" s="9"/>
      <c r="EG108" s="9"/>
      <c r="EH108" s="9"/>
      <c r="EI108" s="9"/>
      <c r="EJ108" s="9"/>
      <c r="EK108" s="9"/>
      <c r="EL108" s="9"/>
      <c r="EM108" s="9"/>
      <c r="EN108" s="9"/>
      <c r="EO108" s="9"/>
      <c r="EP108" s="9"/>
      <c r="EQ108" s="9"/>
      <c r="ER108" s="9"/>
      <c r="ES108" s="9"/>
      <c r="ET108" s="9"/>
      <c r="EU108" s="9"/>
      <c r="EV108" s="9"/>
      <c r="EW108" s="9"/>
      <c r="EX108" s="9"/>
      <c r="EY108" s="9"/>
      <c r="EZ108" s="9"/>
      <c r="FA108" s="9"/>
      <c r="FB108" s="9"/>
      <c r="FC108" s="9"/>
      <c r="FD108" s="9"/>
      <c r="FE108" s="9"/>
      <c r="FF108" s="9"/>
      <c r="FG108" s="9"/>
      <c r="FH108" s="9"/>
      <c r="FI108" s="9"/>
      <c r="FJ108" s="9"/>
      <c r="FK108" s="9"/>
      <c r="FL108" s="9"/>
      <c r="FM108" s="9"/>
      <c r="FN108" s="9"/>
      <c r="FO108" s="9"/>
      <c r="FP108" s="9"/>
      <c r="FQ108" s="9"/>
      <c r="FR108" s="9"/>
      <c r="FS108" s="9"/>
      <c r="FT108" s="9"/>
      <c r="FU108" s="9"/>
      <c r="FV108" s="9"/>
      <c r="FW108" s="9"/>
      <c r="FX108" s="9"/>
      <c r="FY108" s="9"/>
      <c r="FZ108" s="9"/>
      <c r="GA108" s="9"/>
      <c r="GB108" s="9"/>
      <c r="GC108" s="9"/>
      <c r="GD108" s="9"/>
      <c r="GE108" s="9"/>
      <c r="GF108" s="9"/>
      <c r="GG108" s="9"/>
      <c r="GH108" s="9"/>
      <c r="GI108" s="9"/>
      <c r="GJ108" s="9"/>
      <c r="GK108" s="9"/>
      <c r="GL108" s="9"/>
      <c r="GM108" s="9"/>
      <c r="GN108" s="9"/>
      <c r="GO108" s="9"/>
      <c r="GP108" s="9"/>
      <c r="GQ108" s="9"/>
      <c r="GR108" s="9"/>
      <c r="GS108" s="9"/>
      <c r="GT108" s="9"/>
      <c r="GU108" s="9"/>
      <c r="GV108" s="9"/>
      <c r="GW108" s="9"/>
      <c r="GX108" s="9"/>
      <c r="GY108" s="9"/>
      <c r="GZ108" s="9"/>
      <c r="HA108" s="9"/>
      <c r="HB108" s="9"/>
      <c r="HC108" s="9"/>
      <c r="HD108" s="9"/>
      <c r="HE108" s="9"/>
      <c r="HF108" s="9"/>
      <c r="HG108" s="9"/>
      <c r="HH108" s="9"/>
      <c r="HI108" s="9"/>
      <c r="HJ108" s="9"/>
      <c r="HK108" s="9"/>
      <c r="HL108" s="9"/>
      <c r="HM108" s="9"/>
      <c r="HN108" s="9"/>
      <c r="HO108" s="9"/>
      <c r="HP108" s="9"/>
      <c r="HQ108" s="9"/>
      <c r="HR108" s="9"/>
      <c r="HS108" s="9"/>
      <c r="HT108" s="9"/>
      <c r="HU108" s="9"/>
      <c r="HV108" s="9"/>
      <c r="HW108" s="9"/>
      <c r="HX108" s="9"/>
      <c r="HY108" s="9"/>
      <c r="HZ108" s="9"/>
      <c r="IA108" s="9"/>
      <c r="IB108" s="9"/>
      <c r="IC108" s="9"/>
      <c r="ID108" s="9"/>
      <c r="IE108" s="9"/>
      <c r="IF108" s="9"/>
      <c r="IG108" s="9"/>
      <c r="IH108" s="9"/>
      <c r="II108" s="9"/>
      <c r="IJ108" s="9"/>
      <c r="IK108" s="9"/>
      <c r="IL108" s="9"/>
      <c r="IM108" s="9"/>
      <c r="IN108" s="9"/>
      <c r="IO108" s="9"/>
      <c r="IP108" s="9"/>
      <c r="IQ108" s="9"/>
      <c r="IR108" s="9"/>
      <c r="IS108" s="9"/>
      <c r="IT108" s="9"/>
      <c r="IU108" s="9"/>
      <c r="IV108" s="9"/>
      <c r="IW108" s="9"/>
      <c r="IX108" s="9"/>
      <c r="IY108" s="9"/>
      <c r="IZ108" s="9"/>
      <c r="JA108" s="9"/>
      <c r="JB108" s="9"/>
      <c r="JC108" s="9"/>
      <c r="JD108" s="9"/>
      <c r="JE108" s="9"/>
      <c r="JF108" s="9"/>
      <c r="JG108" s="9"/>
      <c r="JH108" s="9"/>
      <c r="JI108" s="9"/>
      <c r="JJ108" s="9"/>
      <c r="JK108" s="9"/>
      <c r="JL108" s="9"/>
      <c r="JM108" s="9"/>
      <c r="JN108" s="9"/>
      <c r="JO108" s="9"/>
      <c r="JP108" s="9"/>
      <c r="JQ108" s="9"/>
      <c r="JR108" s="9"/>
      <c r="JS108" s="9"/>
      <c r="JT108" s="9"/>
      <c r="JU108" s="9"/>
      <c r="JV108" s="9"/>
      <c r="JW108" s="9"/>
      <c r="JX108" s="9"/>
      <c r="JY108" s="9"/>
      <c r="JZ108" s="9"/>
      <c r="KA108" s="9"/>
      <c r="KB108" s="9"/>
      <c r="KC108" s="9"/>
      <c r="KD108" s="9"/>
      <c r="KE108" s="9"/>
      <c r="KF108" s="9"/>
      <c r="KG108" s="9"/>
      <c r="KH108" s="9"/>
      <c r="KI108" s="9"/>
      <c r="KJ108" s="9"/>
      <c r="KK108" s="9"/>
      <c r="KL108" s="9"/>
      <c r="KM108" s="9"/>
      <c r="KN108" s="9"/>
      <c r="KO108" s="9"/>
      <c r="KP108" s="9"/>
      <c r="KQ108" s="9"/>
      <c r="KR108" s="9"/>
      <c r="KS108" s="9"/>
      <c r="KT108" s="9"/>
      <c r="KU108" s="9"/>
      <c r="KV108" s="9"/>
      <c r="KW108" s="9"/>
      <c r="KX108" s="9"/>
      <c r="KY108" s="9"/>
      <c r="KZ108" s="9"/>
      <c r="LA108" s="9"/>
      <c r="LB108" s="9"/>
      <c r="LC108" s="9"/>
      <c r="LD108" s="9"/>
      <c r="LE108" s="9"/>
      <c r="LF108" s="9"/>
      <c r="LG108" s="9"/>
      <c r="LH108" s="9"/>
      <c r="LI108" s="9"/>
      <c r="LJ108" s="9"/>
      <c r="LK108" s="9"/>
      <c r="LL108" s="9"/>
      <c r="LM108" s="9"/>
      <c r="LN108" s="9"/>
      <c r="LO108" s="9"/>
      <c r="LP108" s="9"/>
      <c r="LQ108" s="9"/>
      <c r="LR108" s="9"/>
      <c r="LS108" s="9"/>
      <c r="LT108" s="9"/>
      <c r="LU108" s="9"/>
      <c r="LV108" s="9"/>
      <c r="LW108" s="9"/>
      <c r="LX108" s="9"/>
      <c r="LY108" s="9"/>
      <c r="LZ108" s="9"/>
      <c r="MA108" s="9"/>
      <c r="MB108" s="9"/>
      <c r="MC108" s="9"/>
      <c r="MD108" s="9"/>
      <c r="ME108" s="9"/>
      <c r="MF108" s="9"/>
      <c r="MG108" s="9"/>
      <c r="MH108" s="9"/>
      <c r="MI108" s="9"/>
      <c r="MJ108" s="9"/>
      <c r="MK108" s="9"/>
    </row>
    <row r="109" spans="1:349" hidden="1" x14ac:dyDescent="0.25">
      <c r="A109" s="9"/>
      <c r="B109" s="9"/>
      <c r="C109" s="9"/>
      <c r="D109" s="9"/>
      <c r="E109" s="9"/>
      <c r="F109" s="9"/>
      <c r="G109" s="9"/>
      <c r="H109" s="9"/>
      <c r="I109" s="9"/>
      <c r="J109" s="9"/>
      <c r="K109" s="9"/>
      <c r="L109" s="9"/>
      <c r="M109" s="9"/>
      <c r="N109" s="9"/>
      <c r="O109" s="9"/>
      <c r="AG109" s="9"/>
      <c r="AH109" s="9"/>
      <c r="AI109" s="9"/>
      <c r="AJ109" s="9"/>
      <c r="AK109" s="9"/>
      <c r="AL109" s="9"/>
      <c r="AM109" s="9"/>
      <c r="AN109" s="9"/>
      <c r="AO109" s="9"/>
      <c r="AP109" s="9"/>
      <c r="AQ109" s="9"/>
      <c r="AR109" s="9"/>
      <c r="AS109" s="9"/>
      <c r="AT109" s="9"/>
      <c r="AU109" s="9"/>
      <c r="AV109" s="9"/>
      <c r="AW109" s="9"/>
      <c r="AX109" s="9"/>
      <c r="AY109" s="9"/>
      <c r="AZ109" s="9"/>
      <c r="BA109" s="9"/>
      <c r="BB109" s="9"/>
      <c r="BC109" s="9"/>
      <c r="BD109" s="9"/>
      <c r="BE109" s="9"/>
      <c r="BF109" s="9"/>
      <c r="BG109" s="9"/>
      <c r="BH109" s="9"/>
      <c r="BI109" s="9"/>
      <c r="BJ109" s="9"/>
      <c r="BK109" s="9"/>
      <c r="BL109" s="9"/>
      <c r="BM109" s="9"/>
      <c r="BN109" s="9"/>
      <c r="BO109" s="9"/>
      <c r="BP109" s="9"/>
      <c r="BQ109" s="9"/>
      <c r="BR109" s="9"/>
      <c r="BS109" s="9"/>
      <c r="BT109" s="9"/>
      <c r="BU109" s="9"/>
      <c r="BV109" s="9"/>
      <c r="BW109" s="9"/>
      <c r="BX109" s="9"/>
      <c r="BY109" s="9"/>
      <c r="BZ109" s="9"/>
      <c r="CA109" s="9"/>
      <c r="CB109" s="9"/>
      <c r="CC109" s="9"/>
      <c r="CD109" s="9"/>
      <c r="CE109" s="9"/>
      <c r="CF109" s="9"/>
      <c r="CG109" s="9"/>
      <c r="CH109" s="9"/>
      <c r="CI109" s="9"/>
      <c r="CJ109" s="9"/>
      <c r="CK109" s="9"/>
      <c r="CL109" s="9"/>
      <c r="CM109" s="9"/>
      <c r="CN109" s="9"/>
      <c r="CO109" s="9"/>
      <c r="CP109" s="9"/>
      <c r="CQ109" s="9"/>
      <c r="CR109" s="9"/>
      <c r="CS109" s="9"/>
      <c r="CT109" s="9"/>
      <c r="CU109" s="9"/>
      <c r="CV109" s="9"/>
      <c r="CW109" s="9"/>
      <c r="CX109" s="9"/>
      <c r="CY109" s="9"/>
      <c r="CZ109" s="9"/>
      <c r="DA109" s="9"/>
      <c r="DB109" s="9"/>
      <c r="DC109" s="9"/>
      <c r="DD109" s="9"/>
      <c r="DE109" s="9"/>
      <c r="DF109" s="9"/>
      <c r="DG109" s="9"/>
      <c r="DH109" s="9"/>
      <c r="DI109" s="9"/>
      <c r="DJ109" s="9"/>
      <c r="DK109" s="9"/>
      <c r="DL109" s="9"/>
      <c r="DM109" s="9"/>
      <c r="DN109" s="9"/>
      <c r="DO109" s="9"/>
      <c r="DP109" s="9"/>
      <c r="DQ109" s="9"/>
      <c r="DR109" s="9"/>
      <c r="DS109" s="9"/>
      <c r="DT109" s="9"/>
      <c r="DU109" s="9"/>
      <c r="DV109" s="9"/>
      <c r="DW109" s="9"/>
      <c r="DX109" s="9"/>
      <c r="DY109" s="9"/>
      <c r="DZ109" s="9"/>
      <c r="EA109" s="9"/>
      <c r="EB109" s="9"/>
      <c r="EC109" s="9"/>
      <c r="ED109" s="9"/>
      <c r="EE109" s="9"/>
      <c r="EF109" s="9"/>
      <c r="EG109" s="9"/>
      <c r="EH109" s="9"/>
      <c r="EI109" s="9"/>
      <c r="EJ109" s="9"/>
      <c r="EK109" s="9"/>
      <c r="EL109" s="9"/>
      <c r="EM109" s="9"/>
      <c r="EN109" s="9"/>
      <c r="EO109" s="9"/>
      <c r="EP109" s="9"/>
      <c r="EQ109" s="9"/>
      <c r="ER109" s="9"/>
      <c r="ES109" s="9"/>
      <c r="ET109" s="9"/>
      <c r="EU109" s="9"/>
      <c r="EV109" s="9"/>
      <c r="EW109" s="9"/>
      <c r="EX109" s="9"/>
      <c r="EY109" s="9"/>
      <c r="EZ109" s="9"/>
      <c r="FA109" s="9"/>
      <c r="FB109" s="9"/>
      <c r="FC109" s="9"/>
      <c r="FD109" s="9"/>
      <c r="FE109" s="9"/>
      <c r="FF109" s="9"/>
      <c r="FG109" s="9"/>
      <c r="FH109" s="9"/>
      <c r="FI109" s="9"/>
      <c r="FJ109" s="9"/>
      <c r="FK109" s="9"/>
      <c r="FL109" s="9"/>
      <c r="FM109" s="9"/>
      <c r="FN109" s="9"/>
      <c r="FO109" s="9"/>
      <c r="FP109" s="9"/>
      <c r="FQ109" s="9"/>
      <c r="FR109" s="9"/>
      <c r="FS109" s="9"/>
      <c r="FT109" s="9"/>
      <c r="FU109" s="9"/>
      <c r="FV109" s="9"/>
      <c r="FW109" s="9"/>
      <c r="FX109" s="9"/>
      <c r="FY109" s="9"/>
      <c r="FZ109" s="9"/>
      <c r="GA109" s="9"/>
      <c r="GB109" s="9"/>
      <c r="GC109" s="9"/>
      <c r="GD109" s="9"/>
      <c r="GE109" s="9"/>
      <c r="GF109" s="9"/>
      <c r="GG109" s="9"/>
      <c r="GH109" s="9"/>
      <c r="GI109" s="9"/>
      <c r="GJ109" s="9"/>
      <c r="GK109" s="9"/>
      <c r="GL109" s="9"/>
      <c r="GM109" s="9"/>
      <c r="GN109" s="9"/>
      <c r="GO109" s="9"/>
      <c r="GP109" s="9"/>
      <c r="GQ109" s="9"/>
      <c r="GR109" s="9"/>
      <c r="GS109" s="9"/>
      <c r="GT109" s="9"/>
      <c r="GU109" s="9"/>
      <c r="GV109" s="9"/>
      <c r="GW109" s="9"/>
      <c r="GX109" s="9"/>
      <c r="GY109" s="9"/>
      <c r="GZ109" s="9"/>
      <c r="HA109" s="9"/>
      <c r="HB109" s="9"/>
      <c r="HC109" s="9"/>
      <c r="HD109" s="9"/>
      <c r="HE109" s="9"/>
      <c r="HF109" s="9"/>
      <c r="HG109" s="9"/>
      <c r="HH109" s="9"/>
      <c r="HI109" s="9"/>
      <c r="HJ109" s="9"/>
      <c r="HK109" s="9"/>
      <c r="HL109" s="9"/>
      <c r="HM109" s="9"/>
      <c r="HN109" s="9"/>
      <c r="HO109" s="9"/>
      <c r="HP109" s="9"/>
      <c r="HQ109" s="9"/>
      <c r="HR109" s="9"/>
      <c r="HS109" s="9"/>
      <c r="HT109" s="9"/>
      <c r="HU109" s="9"/>
      <c r="HV109" s="9"/>
      <c r="HW109" s="9"/>
      <c r="HX109" s="9"/>
      <c r="HY109" s="9"/>
      <c r="HZ109" s="9"/>
      <c r="IA109" s="9"/>
      <c r="IB109" s="9"/>
      <c r="IC109" s="9"/>
      <c r="ID109" s="9"/>
      <c r="IE109" s="9"/>
      <c r="IF109" s="9"/>
      <c r="IG109" s="9"/>
      <c r="IH109" s="9"/>
      <c r="II109" s="9"/>
      <c r="IJ109" s="9"/>
      <c r="IK109" s="9"/>
      <c r="IL109" s="9"/>
      <c r="IM109" s="9"/>
      <c r="IN109" s="9"/>
      <c r="IO109" s="9"/>
      <c r="IP109" s="9"/>
      <c r="IQ109" s="9"/>
      <c r="IR109" s="9"/>
      <c r="IS109" s="9"/>
      <c r="IT109" s="9"/>
      <c r="IU109" s="9"/>
      <c r="IV109" s="9"/>
      <c r="IW109" s="9"/>
      <c r="IX109" s="9"/>
      <c r="IY109" s="9"/>
      <c r="IZ109" s="9"/>
      <c r="JA109" s="9"/>
      <c r="JB109" s="9"/>
      <c r="JC109" s="9"/>
      <c r="JD109" s="9"/>
      <c r="JE109" s="9"/>
      <c r="JF109" s="9"/>
      <c r="JG109" s="9"/>
      <c r="JH109" s="9"/>
      <c r="JI109" s="9"/>
      <c r="JJ109" s="9"/>
      <c r="JK109" s="9"/>
      <c r="JL109" s="9"/>
      <c r="JM109" s="9"/>
      <c r="JN109" s="9"/>
      <c r="JO109" s="9"/>
      <c r="JP109" s="9"/>
      <c r="JQ109" s="9"/>
      <c r="JR109" s="9"/>
      <c r="JS109" s="9"/>
      <c r="JT109" s="9"/>
      <c r="JU109" s="9"/>
      <c r="JV109" s="9"/>
      <c r="JW109" s="9"/>
      <c r="JX109" s="9"/>
      <c r="JY109" s="9"/>
      <c r="JZ109" s="9"/>
      <c r="KA109" s="9"/>
      <c r="KB109" s="9"/>
      <c r="KC109" s="9"/>
      <c r="KD109" s="9"/>
      <c r="KE109" s="9"/>
      <c r="KF109" s="9"/>
      <c r="KG109" s="9"/>
      <c r="KH109" s="9"/>
      <c r="KI109" s="9"/>
      <c r="KJ109" s="9"/>
      <c r="KK109" s="9"/>
      <c r="KL109" s="9"/>
      <c r="KM109" s="9"/>
      <c r="KN109" s="9"/>
      <c r="KO109" s="9"/>
      <c r="KP109" s="9"/>
      <c r="KQ109" s="9"/>
      <c r="KR109" s="9"/>
      <c r="KS109" s="9"/>
      <c r="KT109" s="9"/>
      <c r="KU109" s="9"/>
      <c r="KV109" s="9"/>
      <c r="KW109" s="9"/>
      <c r="KX109" s="9"/>
      <c r="KY109" s="9"/>
      <c r="KZ109" s="9"/>
      <c r="LA109" s="9"/>
      <c r="LB109" s="9"/>
      <c r="LC109" s="9"/>
      <c r="LD109" s="9"/>
      <c r="LE109" s="9"/>
      <c r="LF109" s="9"/>
      <c r="LG109" s="9"/>
      <c r="LH109" s="9"/>
      <c r="LI109" s="9"/>
      <c r="LJ109" s="9"/>
      <c r="LK109" s="9"/>
      <c r="LL109" s="9"/>
      <c r="LM109" s="9"/>
      <c r="LN109" s="9"/>
      <c r="LO109" s="9"/>
      <c r="LP109" s="9"/>
      <c r="LQ109" s="9"/>
      <c r="LR109" s="9"/>
      <c r="LS109" s="9"/>
      <c r="LT109" s="9"/>
      <c r="LU109" s="9"/>
      <c r="LV109" s="9"/>
      <c r="LW109" s="9"/>
      <c r="LX109" s="9"/>
      <c r="LY109" s="9"/>
      <c r="LZ109" s="9"/>
      <c r="MA109" s="9"/>
      <c r="MB109" s="9"/>
      <c r="MC109" s="9"/>
      <c r="MD109" s="9"/>
      <c r="ME109" s="9"/>
      <c r="MF109" s="9"/>
      <c r="MG109" s="9"/>
      <c r="MH109" s="9"/>
      <c r="MI109" s="9"/>
      <c r="MJ109" s="9"/>
      <c r="MK109" s="9"/>
    </row>
    <row r="110" spans="1:349" hidden="1" x14ac:dyDescent="0.25">
      <c r="A110" s="9"/>
      <c r="B110" s="9"/>
      <c r="C110" s="9"/>
      <c r="D110" s="9"/>
      <c r="E110" s="9"/>
      <c r="F110" s="9"/>
      <c r="G110" s="9"/>
      <c r="H110" s="9"/>
      <c r="I110" s="9"/>
      <c r="J110" s="9"/>
      <c r="K110" s="9"/>
      <c r="L110" s="9"/>
      <c r="M110" s="9"/>
      <c r="N110" s="9"/>
      <c r="O110" s="9"/>
      <c r="AG110" s="9"/>
      <c r="AH110" s="9"/>
      <c r="AI110" s="9"/>
      <c r="AJ110" s="9"/>
      <c r="AK110" s="9"/>
      <c r="AL110" s="9"/>
      <c r="AM110" s="9"/>
      <c r="AN110" s="9"/>
      <c r="AO110" s="9"/>
      <c r="AP110" s="9"/>
      <c r="AQ110" s="9"/>
      <c r="AR110" s="9"/>
      <c r="AS110" s="9"/>
      <c r="AT110" s="9"/>
      <c r="AU110" s="9"/>
      <c r="AV110" s="9"/>
      <c r="AW110" s="9"/>
      <c r="AX110" s="9"/>
      <c r="AY110" s="9"/>
      <c r="AZ110" s="9"/>
      <c r="BA110" s="9"/>
      <c r="BB110" s="9"/>
      <c r="BC110" s="9"/>
      <c r="BD110" s="9"/>
      <c r="BE110" s="9"/>
      <c r="BF110" s="9"/>
      <c r="BG110" s="9"/>
      <c r="BH110" s="9"/>
      <c r="BI110" s="9"/>
      <c r="BJ110" s="9"/>
      <c r="BK110" s="9"/>
      <c r="BL110" s="9"/>
      <c r="BM110" s="9"/>
      <c r="BN110" s="9"/>
      <c r="BO110" s="9"/>
      <c r="BP110" s="9"/>
      <c r="BQ110" s="9"/>
      <c r="BR110" s="9"/>
      <c r="BS110" s="9"/>
      <c r="BT110" s="9"/>
      <c r="BU110" s="9"/>
      <c r="BV110" s="9"/>
      <c r="BW110" s="9"/>
      <c r="BX110" s="9"/>
      <c r="BY110" s="9"/>
      <c r="BZ110" s="9"/>
      <c r="CA110" s="9"/>
      <c r="CB110" s="9"/>
      <c r="CC110" s="9"/>
      <c r="CD110" s="9"/>
      <c r="CE110" s="9"/>
      <c r="CF110" s="9"/>
      <c r="CG110" s="9"/>
      <c r="CH110" s="9"/>
      <c r="CI110" s="9"/>
      <c r="CJ110" s="9"/>
      <c r="CK110" s="9"/>
      <c r="CL110" s="9"/>
      <c r="CM110" s="9"/>
      <c r="CN110" s="9"/>
      <c r="CO110" s="9"/>
      <c r="CP110" s="9"/>
      <c r="CQ110" s="9"/>
      <c r="CR110" s="9"/>
      <c r="CS110" s="9"/>
      <c r="CT110" s="9"/>
      <c r="CU110" s="9"/>
      <c r="CV110" s="9"/>
      <c r="CW110" s="9"/>
      <c r="CX110" s="9"/>
      <c r="CY110" s="9"/>
      <c r="CZ110" s="9"/>
      <c r="DA110" s="9"/>
      <c r="DB110" s="9"/>
      <c r="DC110" s="9"/>
      <c r="DD110" s="9"/>
      <c r="DE110" s="9"/>
      <c r="DF110" s="9"/>
      <c r="DG110" s="9"/>
      <c r="DH110" s="9"/>
      <c r="DI110" s="9"/>
      <c r="DJ110" s="9"/>
      <c r="DK110" s="9"/>
      <c r="DL110" s="9"/>
      <c r="DM110" s="9"/>
      <c r="DN110" s="9"/>
      <c r="DO110" s="9"/>
      <c r="DP110" s="9"/>
      <c r="DQ110" s="9"/>
      <c r="DR110" s="9"/>
      <c r="DS110" s="9"/>
      <c r="DT110" s="9"/>
      <c r="DU110" s="9"/>
      <c r="DV110" s="9"/>
      <c r="DW110" s="9"/>
      <c r="DX110" s="9"/>
      <c r="DY110" s="9"/>
      <c r="DZ110" s="9"/>
      <c r="EA110" s="9"/>
      <c r="EB110" s="9"/>
      <c r="EC110" s="9"/>
      <c r="ED110" s="9"/>
      <c r="EE110" s="9"/>
      <c r="EF110" s="9"/>
      <c r="EG110" s="9"/>
      <c r="EH110" s="9"/>
      <c r="EI110" s="9"/>
      <c r="EJ110" s="9"/>
      <c r="EK110" s="9"/>
      <c r="EL110" s="9"/>
      <c r="EM110" s="9"/>
      <c r="EN110" s="9"/>
      <c r="EO110" s="9"/>
      <c r="EP110" s="9"/>
      <c r="EQ110" s="9"/>
      <c r="ER110" s="9"/>
      <c r="ES110" s="9"/>
      <c r="ET110" s="9"/>
      <c r="EU110" s="9"/>
      <c r="EV110" s="9"/>
      <c r="EW110" s="9"/>
      <c r="EX110" s="9"/>
      <c r="EY110" s="9"/>
      <c r="EZ110" s="9"/>
      <c r="FA110" s="9"/>
      <c r="FB110" s="9"/>
      <c r="FC110" s="9"/>
      <c r="FD110" s="9"/>
      <c r="FE110" s="9"/>
      <c r="FF110" s="9"/>
      <c r="FG110" s="9"/>
      <c r="FH110" s="9"/>
      <c r="FI110" s="9"/>
      <c r="FJ110" s="9"/>
      <c r="FK110" s="9"/>
      <c r="FL110" s="9"/>
      <c r="FM110" s="9"/>
      <c r="FN110" s="9"/>
      <c r="FO110" s="9"/>
      <c r="FP110" s="9"/>
      <c r="FQ110" s="9"/>
      <c r="FR110" s="9"/>
      <c r="FS110" s="9"/>
      <c r="FT110" s="9"/>
      <c r="FU110" s="9"/>
      <c r="FV110" s="9"/>
      <c r="FW110" s="9"/>
      <c r="FX110" s="9"/>
      <c r="FY110" s="9"/>
      <c r="FZ110" s="9"/>
      <c r="GA110" s="9"/>
      <c r="GB110" s="9"/>
      <c r="GC110" s="9"/>
      <c r="GD110" s="9"/>
      <c r="GE110" s="9"/>
      <c r="GF110" s="9"/>
      <c r="GG110" s="9"/>
      <c r="GH110" s="9"/>
      <c r="GI110" s="9"/>
      <c r="GJ110" s="9"/>
      <c r="GK110" s="9"/>
      <c r="GL110" s="9"/>
      <c r="GM110" s="9"/>
      <c r="GN110" s="9"/>
      <c r="GO110" s="9"/>
      <c r="GP110" s="9"/>
      <c r="GQ110" s="9"/>
      <c r="GR110" s="9"/>
      <c r="GS110" s="9"/>
      <c r="GT110" s="9"/>
      <c r="GU110" s="9"/>
      <c r="GV110" s="9"/>
      <c r="GW110" s="9"/>
      <c r="GX110" s="9"/>
      <c r="GY110" s="9"/>
      <c r="GZ110" s="9"/>
      <c r="HA110" s="9"/>
      <c r="HB110" s="9"/>
      <c r="HC110" s="9"/>
      <c r="HD110" s="9"/>
      <c r="HE110" s="9"/>
      <c r="HF110" s="9"/>
      <c r="HG110" s="9"/>
      <c r="HH110" s="9"/>
      <c r="HI110" s="9"/>
      <c r="HJ110" s="9"/>
      <c r="HK110" s="9"/>
      <c r="HL110" s="9"/>
      <c r="HM110" s="9"/>
      <c r="HN110" s="9"/>
      <c r="HO110" s="9"/>
      <c r="HP110" s="9"/>
      <c r="HQ110" s="9"/>
      <c r="HR110" s="9"/>
      <c r="HS110" s="9"/>
      <c r="HT110" s="9"/>
      <c r="HU110" s="9"/>
      <c r="HV110" s="9"/>
      <c r="HW110" s="9"/>
      <c r="HX110" s="9"/>
      <c r="HY110" s="9"/>
      <c r="HZ110" s="9"/>
      <c r="IA110" s="9"/>
      <c r="IB110" s="9"/>
      <c r="IC110" s="9"/>
      <c r="ID110" s="9"/>
      <c r="IE110" s="9"/>
      <c r="IF110" s="9"/>
      <c r="IG110" s="9"/>
      <c r="IH110" s="9"/>
      <c r="II110" s="9"/>
      <c r="IJ110" s="9"/>
      <c r="IK110" s="9"/>
      <c r="IL110" s="9"/>
      <c r="IM110" s="9"/>
      <c r="IN110" s="9"/>
      <c r="IO110" s="9"/>
      <c r="IP110" s="9"/>
      <c r="IQ110" s="9"/>
      <c r="IR110" s="9"/>
      <c r="IS110" s="9"/>
      <c r="IT110" s="9"/>
      <c r="IU110" s="9"/>
      <c r="IV110" s="9"/>
      <c r="IW110" s="9"/>
      <c r="IX110" s="9"/>
      <c r="IY110" s="9"/>
      <c r="IZ110" s="9"/>
      <c r="JA110" s="9"/>
      <c r="JB110" s="9"/>
      <c r="JC110" s="9"/>
      <c r="JD110" s="9"/>
      <c r="JE110" s="9"/>
      <c r="JF110" s="9"/>
      <c r="JG110" s="9"/>
      <c r="JH110" s="9"/>
      <c r="JI110" s="9"/>
      <c r="JJ110" s="9"/>
      <c r="JK110" s="9"/>
      <c r="JL110" s="9"/>
      <c r="JM110" s="9"/>
      <c r="JN110" s="9"/>
      <c r="JO110" s="9"/>
      <c r="JP110" s="9"/>
      <c r="JQ110" s="9"/>
      <c r="JR110" s="9"/>
      <c r="JS110" s="9"/>
      <c r="JT110" s="9"/>
      <c r="JU110" s="9"/>
      <c r="JV110" s="9"/>
      <c r="JW110" s="9"/>
      <c r="JX110" s="9"/>
      <c r="JY110" s="9"/>
      <c r="JZ110" s="9"/>
      <c r="KA110" s="9"/>
      <c r="KB110" s="9"/>
      <c r="KC110" s="9"/>
      <c r="KD110" s="9"/>
      <c r="KE110" s="9"/>
      <c r="KF110" s="9"/>
      <c r="KG110" s="9"/>
      <c r="KH110" s="9"/>
      <c r="KI110" s="9"/>
      <c r="KJ110" s="9"/>
      <c r="KK110" s="9"/>
      <c r="KL110" s="9"/>
      <c r="KM110" s="9"/>
      <c r="KN110" s="9"/>
      <c r="KO110" s="9"/>
      <c r="KP110" s="9"/>
      <c r="KQ110" s="9"/>
      <c r="KR110" s="9"/>
      <c r="KS110" s="9"/>
      <c r="KT110" s="9"/>
      <c r="KU110" s="9"/>
      <c r="KV110" s="9"/>
      <c r="KW110" s="9"/>
      <c r="KX110" s="9"/>
      <c r="KY110" s="9"/>
      <c r="KZ110" s="9"/>
      <c r="LA110" s="9"/>
      <c r="LB110" s="9"/>
      <c r="LC110" s="9"/>
      <c r="LD110" s="9"/>
      <c r="LE110" s="9"/>
      <c r="LF110" s="9"/>
      <c r="LG110" s="9"/>
      <c r="LH110" s="9"/>
      <c r="LI110" s="9"/>
      <c r="LJ110" s="9"/>
      <c r="LK110" s="9"/>
      <c r="LL110" s="9"/>
      <c r="LM110" s="9"/>
      <c r="LN110" s="9"/>
      <c r="LO110" s="9"/>
      <c r="LP110" s="9"/>
      <c r="LQ110" s="9"/>
      <c r="LR110" s="9"/>
      <c r="LS110" s="9"/>
      <c r="LT110" s="9"/>
      <c r="LU110" s="9"/>
      <c r="LV110" s="9"/>
      <c r="LW110" s="9"/>
      <c r="LX110" s="9"/>
      <c r="LY110" s="9"/>
      <c r="LZ110" s="9"/>
      <c r="MA110" s="9"/>
      <c r="MB110" s="9"/>
      <c r="MC110" s="9"/>
      <c r="MD110" s="9"/>
      <c r="ME110" s="9"/>
      <c r="MF110" s="9"/>
      <c r="MG110" s="9"/>
      <c r="MH110" s="9"/>
      <c r="MI110" s="9"/>
      <c r="MJ110" s="9"/>
      <c r="MK110" s="9"/>
    </row>
    <row r="111" spans="1:349" hidden="1" x14ac:dyDescent="0.25">
      <c r="A111" s="9"/>
      <c r="B111" s="9"/>
      <c r="C111" s="9"/>
      <c r="D111" s="9"/>
      <c r="E111" s="9"/>
      <c r="F111" s="9"/>
      <c r="G111" s="9"/>
      <c r="H111" s="9"/>
      <c r="I111" s="9"/>
      <c r="J111" s="9"/>
      <c r="K111" s="9"/>
      <c r="L111" s="9"/>
      <c r="M111" s="9"/>
      <c r="N111" s="9"/>
      <c r="O111" s="9"/>
      <c r="AG111" s="9"/>
      <c r="AH111" s="9"/>
      <c r="AI111" s="9"/>
      <c r="AJ111" s="9"/>
      <c r="AK111" s="9"/>
      <c r="AL111" s="9"/>
      <c r="AM111" s="9"/>
      <c r="AN111" s="9"/>
      <c r="AO111" s="9"/>
      <c r="AP111" s="9"/>
      <c r="AQ111" s="9"/>
      <c r="AR111" s="9"/>
      <c r="AS111" s="9"/>
      <c r="AT111" s="9"/>
      <c r="AU111" s="9"/>
      <c r="AV111" s="9"/>
      <c r="AW111" s="9"/>
      <c r="AX111" s="9"/>
      <c r="AY111" s="9"/>
      <c r="AZ111" s="9"/>
      <c r="BA111" s="9"/>
      <c r="BB111" s="9"/>
      <c r="BC111" s="9"/>
      <c r="BD111" s="9"/>
      <c r="BE111" s="9"/>
      <c r="BF111" s="9"/>
      <c r="BG111" s="9"/>
      <c r="BH111" s="9"/>
      <c r="BI111" s="9"/>
      <c r="BJ111" s="9"/>
      <c r="BK111" s="9"/>
      <c r="BL111" s="9"/>
      <c r="BM111" s="9"/>
      <c r="BN111" s="9"/>
      <c r="BO111" s="9"/>
      <c r="BP111" s="9"/>
      <c r="BQ111" s="9"/>
      <c r="BR111" s="9"/>
      <c r="BS111" s="9"/>
      <c r="BT111" s="9"/>
      <c r="BU111" s="9"/>
      <c r="BV111" s="9"/>
      <c r="BW111" s="9"/>
      <c r="BX111" s="9"/>
      <c r="BY111" s="9"/>
      <c r="BZ111" s="9"/>
      <c r="CA111" s="9"/>
      <c r="CB111" s="9"/>
      <c r="CC111" s="9"/>
      <c r="CD111" s="9"/>
      <c r="CE111" s="9"/>
      <c r="CF111" s="9"/>
      <c r="CG111" s="9"/>
      <c r="CH111" s="9"/>
      <c r="CI111" s="9"/>
      <c r="CJ111" s="9"/>
      <c r="CK111" s="9"/>
      <c r="CL111" s="9"/>
      <c r="CM111" s="9"/>
      <c r="CN111" s="9"/>
      <c r="CO111" s="9"/>
      <c r="CP111" s="9"/>
      <c r="CQ111" s="9"/>
      <c r="CR111" s="9"/>
      <c r="CS111" s="9"/>
      <c r="CT111" s="9"/>
      <c r="CU111" s="9"/>
      <c r="CV111" s="9"/>
      <c r="CW111" s="9"/>
      <c r="CX111" s="9"/>
      <c r="CY111" s="9"/>
      <c r="CZ111" s="9"/>
      <c r="DA111" s="9"/>
      <c r="DB111" s="9"/>
      <c r="DC111" s="9"/>
      <c r="DD111" s="9"/>
      <c r="DE111" s="9"/>
      <c r="DF111" s="9"/>
      <c r="DG111" s="9"/>
      <c r="DH111" s="9"/>
      <c r="DI111" s="9"/>
      <c r="DJ111" s="9"/>
      <c r="DK111" s="9"/>
      <c r="DL111" s="9"/>
      <c r="DM111" s="9"/>
      <c r="DN111" s="9"/>
      <c r="DO111" s="9"/>
      <c r="DP111" s="9"/>
      <c r="DQ111" s="9"/>
      <c r="DR111" s="9"/>
      <c r="DS111" s="9"/>
      <c r="DT111" s="9"/>
      <c r="DU111" s="9"/>
      <c r="DV111" s="9"/>
      <c r="DW111" s="9"/>
      <c r="DX111" s="9"/>
      <c r="DY111" s="9"/>
      <c r="DZ111" s="9"/>
      <c r="EA111" s="9"/>
      <c r="EB111" s="9"/>
      <c r="EC111" s="9"/>
      <c r="ED111" s="9"/>
      <c r="EE111" s="9"/>
      <c r="EF111" s="9"/>
      <c r="EG111" s="9"/>
      <c r="EH111" s="9"/>
      <c r="EI111" s="9"/>
      <c r="EJ111" s="9"/>
      <c r="EK111" s="9"/>
      <c r="EL111" s="9"/>
      <c r="EM111" s="9"/>
      <c r="EN111" s="9"/>
      <c r="EO111" s="9"/>
      <c r="EP111" s="9"/>
      <c r="EQ111" s="9"/>
      <c r="ER111" s="9"/>
      <c r="ES111" s="9"/>
      <c r="ET111" s="9"/>
      <c r="EU111" s="9"/>
      <c r="EV111" s="9"/>
      <c r="EW111" s="9"/>
      <c r="EX111" s="9"/>
      <c r="EY111" s="9"/>
      <c r="EZ111" s="9"/>
      <c r="FA111" s="9"/>
      <c r="FB111" s="9"/>
      <c r="FC111" s="9"/>
      <c r="FD111" s="9"/>
      <c r="FE111" s="9"/>
      <c r="FF111" s="9"/>
      <c r="FG111" s="9"/>
      <c r="FH111" s="9"/>
      <c r="FI111" s="9"/>
      <c r="FJ111" s="9"/>
      <c r="FK111" s="9"/>
      <c r="FL111" s="9"/>
      <c r="FM111" s="9"/>
      <c r="FN111" s="9"/>
      <c r="FO111" s="9"/>
      <c r="FP111" s="9"/>
      <c r="FQ111" s="9"/>
      <c r="FR111" s="9"/>
      <c r="FS111" s="9"/>
      <c r="FT111" s="9"/>
      <c r="FU111" s="9"/>
      <c r="FV111" s="9"/>
      <c r="FW111" s="9"/>
      <c r="FX111" s="9"/>
      <c r="FY111" s="9"/>
      <c r="FZ111" s="9"/>
      <c r="GA111" s="9"/>
      <c r="GB111" s="9"/>
      <c r="GC111" s="9"/>
      <c r="GD111" s="9"/>
      <c r="GE111" s="9"/>
      <c r="GF111" s="9"/>
      <c r="GG111" s="9"/>
      <c r="GH111" s="9"/>
      <c r="GI111" s="9"/>
      <c r="GJ111" s="9"/>
      <c r="GK111" s="9"/>
      <c r="GL111" s="9"/>
      <c r="GM111" s="9"/>
      <c r="GN111" s="9"/>
      <c r="GO111" s="9"/>
      <c r="GP111" s="9"/>
      <c r="GQ111" s="9"/>
      <c r="GR111" s="9"/>
      <c r="GS111" s="9"/>
      <c r="GT111" s="9"/>
      <c r="GU111" s="9"/>
      <c r="GV111" s="9"/>
      <c r="GW111" s="9"/>
      <c r="GX111" s="9"/>
      <c r="GY111" s="9"/>
      <c r="GZ111" s="9"/>
      <c r="HA111" s="9"/>
      <c r="HB111" s="9"/>
      <c r="HC111" s="9"/>
      <c r="HD111" s="9"/>
      <c r="HE111" s="9"/>
      <c r="HF111" s="9"/>
      <c r="HG111" s="9"/>
      <c r="HH111" s="9"/>
      <c r="HI111" s="9"/>
      <c r="HJ111" s="9"/>
      <c r="HK111" s="9"/>
      <c r="HL111" s="9"/>
      <c r="HM111" s="9"/>
      <c r="HN111" s="9"/>
      <c r="HO111" s="9"/>
      <c r="HP111" s="9"/>
      <c r="HQ111" s="9"/>
      <c r="HR111" s="9"/>
      <c r="HS111" s="9"/>
      <c r="HT111" s="9"/>
      <c r="HU111" s="9"/>
      <c r="HV111" s="9"/>
      <c r="HW111" s="9"/>
      <c r="HX111" s="9"/>
      <c r="HY111" s="9"/>
      <c r="HZ111" s="9"/>
      <c r="IA111" s="9"/>
      <c r="IB111" s="9"/>
      <c r="IC111" s="9"/>
      <c r="ID111" s="9"/>
      <c r="IE111" s="9"/>
      <c r="IF111" s="9"/>
      <c r="IG111" s="9"/>
      <c r="IH111" s="9"/>
      <c r="II111" s="9"/>
      <c r="IJ111" s="9"/>
      <c r="IK111" s="9"/>
      <c r="IL111" s="9"/>
      <c r="IM111" s="9"/>
      <c r="IN111" s="9"/>
      <c r="IO111" s="9"/>
      <c r="IP111" s="9"/>
      <c r="IQ111" s="9"/>
      <c r="IR111" s="9"/>
      <c r="IS111" s="9"/>
      <c r="IT111" s="9"/>
      <c r="IU111" s="9"/>
      <c r="IV111" s="9"/>
      <c r="IW111" s="9"/>
      <c r="IX111" s="9"/>
      <c r="IY111" s="9"/>
      <c r="IZ111" s="9"/>
      <c r="JA111" s="9"/>
      <c r="JB111" s="9"/>
      <c r="JC111" s="9"/>
      <c r="JD111" s="9"/>
      <c r="JE111" s="9"/>
      <c r="JF111" s="9"/>
      <c r="JG111" s="9"/>
      <c r="JH111" s="9"/>
      <c r="JI111" s="9"/>
      <c r="JJ111" s="9"/>
      <c r="JK111" s="9"/>
      <c r="JL111" s="9"/>
      <c r="JM111" s="9"/>
      <c r="JN111" s="9"/>
      <c r="JO111" s="9"/>
      <c r="JP111" s="9"/>
      <c r="JQ111" s="9"/>
      <c r="JR111" s="9"/>
      <c r="JS111" s="9"/>
      <c r="JT111" s="9"/>
      <c r="JU111" s="9"/>
      <c r="JV111" s="9"/>
      <c r="JW111" s="9"/>
      <c r="JX111" s="9"/>
      <c r="JY111" s="9"/>
      <c r="JZ111" s="9"/>
      <c r="KA111" s="9"/>
      <c r="KB111" s="9"/>
      <c r="KC111" s="9"/>
      <c r="KD111" s="9"/>
      <c r="KE111" s="9"/>
      <c r="KF111" s="9"/>
      <c r="KG111" s="9"/>
      <c r="KH111" s="9"/>
      <c r="KI111" s="9"/>
      <c r="KJ111" s="9"/>
      <c r="KK111" s="9"/>
      <c r="KL111" s="9"/>
      <c r="KM111" s="9"/>
      <c r="KN111" s="9"/>
      <c r="KO111" s="9"/>
      <c r="KP111" s="9"/>
      <c r="KQ111" s="9"/>
      <c r="KR111" s="9"/>
      <c r="KS111" s="9"/>
      <c r="KT111" s="9"/>
      <c r="KU111" s="9"/>
      <c r="KV111" s="9"/>
      <c r="KW111" s="9"/>
      <c r="KX111" s="9"/>
      <c r="KY111" s="9"/>
      <c r="KZ111" s="9"/>
      <c r="LA111" s="9"/>
      <c r="LB111" s="9"/>
      <c r="LC111" s="9"/>
      <c r="LD111" s="9"/>
      <c r="LE111" s="9"/>
      <c r="LF111" s="9"/>
      <c r="LG111" s="9"/>
      <c r="LH111" s="9"/>
      <c r="LI111" s="9"/>
      <c r="LJ111" s="9"/>
      <c r="LK111" s="9"/>
      <c r="LL111" s="9"/>
      <c r="LM111" s="9"/>
      <c r="LN111" s="9"/>
      <c r="LO111" s="9"/>
      <c r="LP111" s="9"/>
      <c r="LQ111" s="9"/>
      <c r="LR111" s="9"/>
      <c r="LS111" s="9"/>
      <c r="LT111" s="9"/>
      <c r="LU111" s="9"/>
      <c r="LV111" s="9"/>
      <c r="LW111" s="9"/>
      <c r="LX111" s="9"/>
      <c r="LY111" s="9"/>
      <c r="LZ111" s="9"/>
      <c r="MA111" s="9"/>
      <c r="MB111" s="9"/>
      <c r="MC111" s="9"/>
      <c r="MD111" s="9"/>
      <c r="ME111" s="9"/>
      <c r="MF111" s="9"/>
      <c r="MG111" s="9"/>
      <c r="MH111" s="9"/>
      <c r="MI111" s="9"/>
      <c r="MJ111" s="9"/>
      <c r="MK111" s="9"/>
    </row>
    <row r="112" spans="1:349" hidden="1" x14ac:dyDescent="0.25">
      <c r="A112" s="9"/>
      <c r="B112" s="9"/>
      <c r="C112" s="9"/>
      <c r="D112" s="9"/>
      <c r="E112" s="9"/>
      <c r="F112" s="9"/>
      <c r="G112" s="9"/>
      <c r="H112" s="9"/>
      <c r="I112" s="9"/>
      <c r="J112" s="9"/>
      <c r="K112" s="9"/>
      <c r="L112" s="9"/>
      <c r="M112" s="9"/>
      <c r="N112" s="9"/>
      <c r="O112" s="9"/>
      <c r="AG112" s="9"/>
      <c r="AH112" s="9"/>
      <c r="AI112" s="9"/>
      <c r="AJ112" s="9"/>
      <c r="AK112" s="9"/>
      <c r="AL112" s="9"/>
      <c r="AM112" s="9"/>
      <c r="AN112" s="9"/>
      <c r="AO112" s="9"/>
      <c r="AP112" s="9"/>
      <c r="AQ112" s="9"/>
      <c r="AR112" s="9"/>
      <c r="AS112" s="9"/>
      <c r="AT112" s="9"/>
      <c r="AU112" s="9"/>
      <c r="AV112" s="9"/>
      <c r="AW112" s="9"/>
      <c r="AX112" s="9"/>
      <c r="AY112" s="9"/>
      <c r="AZ112" s="9"/>
      <c r="BA112" s="9"/>
      <c r="BB112" s="9"/>
      <c r="BC112" s="9"/>
      <c r="BD112" s="9"/>
      <c r="BE112" s="9"/>
      <c r="BF112" s="9"/>
      <c r="BG112" s="9"/>
      <c r="BH112" s="9"/>
      <c r="BI112" s="9"/>
      <c r="BJ112" s="9"/>
      <c r="BK112" s="9"/>
      <c r="BL112" s="9"/>
      <c r="BM112" s="9"/>
      <c r="BN112" s="9"/>
      <c r="BO112" s="9"/>
      <c r="BP112" s="9"/>
      <c r="BQ112" s="9"/>
      <c r="BR112" s="9"/>
      <c r="BS112" s="9"/>
      <c r="BT112" s="9"/>
      <c r="BU112" s="9"/>
      <c r="BV112" s="9"/>
      <c r="BW112" s="9"/>
      <c r="BX112" s="9"/>
      <c r="BY112" s="9"/>
      <c r="BZ112" s="9"/>
      <c r="CA112" s="9"/>
      <c r="CB112" s="9"/>
      <c r="CC112" s="9"/>
      <c r="CD112" s="9"/>
      <c r="CE112" s="9"/>
      <c r="CF112" s="9"/>
      <c r="CG112" s="9"/>
      <c r="CH112" s="9"/>
      <c r="CI112" s="9"/>
      <c r="CJ112" s="9"/>
      <c r="CK112" s="9"/>
      <c r="CL112" s="9"/>
      <c r="CM112" s="9"/>
      <c r="CN112" s="9"/>
      <c r="CO112" s="9"/>
      <c r="CP112" s="9"/>
      <c r="CQ112" s="9"/>
      <c r="CR112" s="9"/>
      <c r="CS112" s="9"/>
      <c r="CT112" s="9"/>
      <c r="CU112" s="9"/>
      <c r="CV112" s="9"/>
      <c r="CW112" s="9"/>
      <c r="CX112" s="9"/>
      <c r="CY112" s="9"/>
      <c r="CZ112" s="9"/>
      <c r="DA112" s="9"/>
      <c r="DB112" s="9"/>
      <c r="DC112" s="9"/>
      <c r="DD112" s="9"/>
      <c r="DE112" s="9"/>
      <c r="DF112" s="9"/>
      <c r="DG112" s="9"/>
      <c r="DH112" s="9"/>
      <c r="DI112" s="9"/>
      <c r="DJ112" s="9"/>
      <c r="DK112" s="9"/>
      <c r="DL112" s="9"/>
      <c r="DM112" s="9"/>
      <c r="DN112" s="9"/>
      <c r="DO112" s="9"/>
      <c r="DP112" s="9"/>
      <c r="DQ112" s="9"/>
      <c r="DR112" s="9"/>
      <c r="DS112" s="9"/>
      <c r="DT112" s="9"/>
      <c r="DU112" s="9"/>
      <c r="DV112" s="9"/>
      <c r="DW112" s="9"/>
      <c r="DX112" s="9"/>
      <c r="DY112" s="9"/>
      <c r="DZ112" s="9"/>
      <c r="EA112" s="9"/>
      <c r="EB112" s="9"/>
      <c r="EC112" s="9"/>
      <c r="ED112" s="9"/>
      <c r="EE112" s="9"/>
      <c r="EF112" s="9"/>
      <c r="EG112" s="9"/>
      <c r="EH112" s="9"/>
      <c r="EI112" s="9"/>
      <c r="EJ112" s="9"/>
      <c r="EK112" s="9"/>
      <c r="EL112" s="9"/>
      <c r="EM112" s="9"/>
      <c r="EN112" s="9"/>
      <c r="EO112" s="9"/>
      <c r="EP112" s="9"/>
      <c r="EQ112" s="9"/>
      <c r="ER112" s="9"/>
      <c r="ES112" s="9"/>
      <c r="ET112" s="9"/>
      <c r="EU112" s="9"/>
      <c r="EV112" s="9"/>
      <c r="EW112" s="9"/>
      <c r="EX112" s="9"/>
      <c r="EY112" s="9"/>
      <c r="EZ112" s="9"/>
      <c r="FA112" s="9"/>
      <c r="FB112" s="9"/>
      <c r="FC112" s="9"/>
      <c r="FD112" s="9"/>
      <c r="FE112" s="9"/>
      <c r="FF112" s="9"/>
      <c r="FG112" s="9"/>
      <c r="FH112" s="9"/>
      <c r="FI112" s="9"/>
      <c r="FJ112" s="9"/>
      <c r="FK112" s="9"/>
      <c r="FL112" s="9"/>
      <c r="FM112" s="9"/>
      <c r="FN112" s="9"/>
      <c r="FO112" s="9"/>
      <c r="FP112" s="9"/>
      <c r="FQ112" s="9"/>
      <c r="FR112" s="9"/>
      <c r="FS112" s="9"/>
      <c r="FT112" s="9"/>
      <c r="FU112" s="9"/>
      <c r="FV112" s="9"/>
      <c r="FW112" s="9"/>
      <c r="FX112" s="9"/>
      <c r="FY112" s="9"/>
      <c r="FZ112" s="9"/>
      <c r="GA112" s="9"/>
      <c r="GB112" s="9"/>
      <c r="GC112" s="9"/>
      <c r="GD112" s="9"/>
      <c r="GE112" s="9"/>
      <c r="GF112" s="9"/>
      <c r="GG112" s="9"/>
      <c r="GH112" s="9"/>
      <c r="GI112" s="9"/>
      <c r="GJ112" s="9"/>
      <c r="GK112" s="9"/>
      <c r="GL112" s="9"/>
      <c r="GM112" s="9"/>
      <c r="GN112" s="9"/>
      <c r="GO112" s="9"/>
      <c r="GP112" s="9"/>
      <c r="GQ112" s="9"/>
      <c r="GR112" s="9"/>
      <c r="GS112" s="9"/>
      <c r="GT112" s="9"/>
      <c r="GU112" s="9"/>
      <c r="GV112" s="9"/>
      <c r="GW112" s="9"/>
      <c r="GX112" s="9"/>
      <c r="GY112" s="9"/>
      <c r="GZ112" s="9"/>
      <c r="HA112" s="9"/>
      <c r="HB112" s="9"/>
      <c r="HC112" s="9"/>
      <c r="HD112" s="9"/>
      <c r="HE112" s="9"/>
      <c r="HF112" s="9"/>
      <c r="HG112" s="9"/>
      <c r="HH112" s="9"/>
      <c r="HI112" s="9"/>
      <c r="HJ112" s="9"/>
      <c r="HK112" s="9"/>
      <c r="HL112" s="9"/>
      <c r="HM112" s="9"/>
      <c r="HN112" s="9"/>
      <c r="HO112" s="9"/>
      <c r="HP112" s="9"/>
      <c r="HQ112" s="9"/>
      <c r="HR112" s="9"/>
      <c r="HS112" s="9"/>
      <c r="HT112" s="9"/>
      <c r="HU112" s="9"/>
      <c r="HV112" s="9"/>
      <c r="HW112" s="9"/>
      <c r="HX112" s="9"/>
      <c r="HY112" s="9"/>
      <c r="HZ112" s="9"/>
      <c r="IA112" s="9"/>
      <c r="IB112" s="9"/>
      <c r="IC112" s="9"/>
      <c r="ID112" s="9"/>
      <c r="IE112" s="9"/>
      <c r="IF112" s="9"/>
      <c r="IG112" s="9"/>
      <c r="IH112" s="9"/>
      <c r="II112" s="9"/>
      <c r="IJ112" s="9"/>
      <c r="IK112" s="9"/>
      <c r="IL112" s="9"/>
      <c r="IM112" s="9"/>
      <c r="IN112" s="9"/>
      <c r="IO112" s="9"/>
      <c r="IP112" s="9"/>
      <c r="IQ112" s="9"/>
      <c r="IR112" s="9"/>
      <c r="IS112" s="9"/>
      <c r="IT112" s="9"/>
      <c r="IU112" s="9"/>
      <c r="IV112" s="9"/>
      <c r="IW112" s="9"/>
      <c r="IX112" s="9"/>
      <c r="IY112" s="9"/>
      <c r="IZ112" s="9"/>
      <c r="JA112" s="9"/>
      <c r="JB112" s="9"/>
      <c r="JC112" s="9"/>
      <c r="JD112" s="9"/>
      <c r="JE112" s="9"/>
      <c r="JF112" s="9"/>
      <c r="JG112" s="9"/>
      <c r="JH112" s="9"/>
      <c r="JI112" s="9"/>
      <c r="JJ112" s="9"/>
      <c r="JK112" s="9"/>
      <c r="JL112" s="9"/>
      <c r="JM112" s="9"/>
      <c r="JN112" s="9"/>
      <c r="JO112" s="9"/>
      <c r="JP112" s="9"/>
      <c r="JQ112" s="9"/>
      <c r="JR112" s="9"/>
      <c r="JS112" s="9"/>
      <c r="JT112" s="9"/>
      <c r="JU112" s="9"/>
      <c r="JV112" s="9"/>
      <c r="JW112" s="9"/>
      <c r="JX112" s="9"/>
      <c r="JY112" s="9"/>
      <c r="JZ112" s="9"/>
      <c r="KA112" s="9"/>
      <c r="KB112" s="9"/>
      <c r="KC112" s="9"/>
      <c r="KD112" s="9"/>
      <c r="KE112" s="9"/>
      <c r="KF112" s="9"/>
      <c r="KG112" s="9"/>
      <c r="KH112" s="9"/>
      <c r="KI112" s="9"/>
      <c r="KJ112" s="9"/>
      <c r="KK112" s="9"/>
      <c r="KL112" s="9"/>
      <c r="KM112" s="9"/>
      <c r="KN112" s="9"/>
      <c r="KO112" s="9"/>
      <c r="KP112" s="9"/>
      <c r="KQ112" s="9"/>
      <c r="KR112" s="9"/>
      <c r="KS112" s="9"/>
      <c r="KT112" s="9"/>
      <c r="KU112" s="9"/>
      <c r="KV112" s="9"/>
      <c r="KW112" s="9"/>
      <c r="KX112" s="9"/>
      <c r="KY112" s="9"/>
      <c r="KZ112" s="9"/>
      <c r="LA112" s="9"/>
      <c r="LB112" s="9"/>
      <c r="LC112" s="9"/>
      <c r="LD112" s="9"/>
      <c r="LE112" s="9"/>
      <c r="LF112" s="9"/>
      <c r="LG112" s="9"/>
      <c r="LH112" s="9"/>
      <c r="LI112" s="9"/>
      <c r="LJ112" s="9"/>
      <c r="LK112" s="9"/>
      <c r="LL112" s="9"/>
      <c r="LM112" s="9"/>
      <c r="LN112" s="9"/>
      <c r="LO112" s="9"/>
      <c r="LP112" s="9"/>
      <c r="LQ112" s="9"/>
      <c r="LR112" s="9"/>
      <c r="LS112" s="9"/>
      <c r="LT112" s="9"/>
      <c r="LU112" s="9"/>
      <c r="LV112" s="9"/>
      <c r="LW112" s="9"/>
      <c r="LX112" s="9"/>
      <c r="LY112" s="9"/>
      <c r="LZ112" s="9"/>
      <c r="MA112" s="9"/>
      <c r="MB112" s="9"/>
      <c r="MC112" s="9"/>
      <c r="MD112" s="9"/>
      <c r="ME112" s="9"/>
      <c r="MF112" s="9"/>
      <c r="MG112" s="9"/>
      <c r="MH112" s="9"/>
      <c r="MI112" s="9"/>
      <c r="MJ112" s="9"/>
      <c r="MK112" s="9"/>
    </row>
    <row r="113" spans="1:349" hidden="1" x14ac:dyDescent="0.25">
      <c r="A113" s="9"/>
      <c r="B113" s="9"/>
      <c r="C113" s="9"/>
      <c r="D113" s="9"/>
      <c r="E113" s="9"/>
      <c r="F113" s="9"/>
      <c r="G113" s="9"/>
      <c r="H113" s="9"/>
      <c r="I113" s="9"/>
      <c r="J113" s="9"/>
      <c r="K113" s="9"/>
      <c r="L113" s="9"/>
      <c r="M113" s="9"/>
      <c r="N113" s="9"/>
      <c r="O113" s="9"/>
      <c r="AG113" s="9"/>
      <c r="AH113" s="9"/>
      <c r="AI113" s="9"/>
      <c r="AJ113" s="9"/>
      <c r="AK113" s="9"/>
      <c r="AL113" s="9"/>
      <c r="AM113" s="9"/>
      <c r="AN113" s="9"/>
      <c r="AO113" s="9"/>
      <c r="AP113" s="9"/>
      <c r="AQ113" s="9"/>
      <c r="AR113" s="9"/>
      <c r="AS113" s="9"/>
      <c r="AT113" s="9"/>
      <c r="AU113" s="9"/>
      <c r="AV113" s="9"/>
      <c r="AW113" s="9"/>
      <c r="AX113" s="9"/>
      <c r="AY113" s="9"/>
      <c r="AZ113" s="9"/>
      <c r="BA113" s="9"/>
      <c r="BB113" s="9"/>
      <c r="BC113" s="9"/>
      <c r="BD113" s="9"/>
      <c r="BE113" s="9"/>
      <c r="BF113" s="9"/>
      <c r="BG113" s="9"/>
      <c r="BH113" s="9"/>
      <c r="BI113" s="9"/>
      <c r="BJ113" s="9"/>
      <c r="BK113" s="9"/>
      <c r="BL113" s="9"/>
      <c r="BM113" s="9"/>
      <c r="BN113" s="9"/>
      <c r="BO113" s="9"/>
      <c r="BP113" s="9"/>
      <c r="BQ113" s="9"/>
      <c r="BR113" s="9"/>
      <c r="BS113" s="9"/>
      <c r="BT113" s="9"/>
      <c r="BU113" s="9"/>
      <c r="BV113" s="9"/>
      <c r="BW113" s="9"/>
      <c r="BX113" s="9"/>
      <c r="BY113" s="9"/>
      <c r="BZ113" s="9"/>
      <c r="CA113" s="9"/>
      <c r="CB113" s="9"/>
      <c r="CC113" s="9"/>
      <c r="CD113" s="9"/>
      <c r="CE113" s="9"/>
      <c r="CF113" s="9"/>
      <c r="CG113" s="9"/>
      <c r="CH113" s="9"/>
      <c r="CI113" s="9"/>
      <c r="CJ113" s="9"/>
      <c r="CK113" s="9"/>
      <c r="CL113" s="9"/>
      <c r="CM113" s="9"/>
      <c r="CN113" s="9"/>
      <c r="CO113" s="9"/>
      <c r="CP113" s="9"/>
      <c r="CQ113" s="9"/>
      <c r="CR113" s="9"/>
      <c r="CS113" s="9"/>
      <c r="CT113" s="9"/>
      <c r="CU113" s="9"/>
      <c r="CV113" s="9"/>
      <c r="CW113" s="9"/>
      <c r="CX113" s="9"/>
      <c r="CY113" s="9"/>
      <c r="CZ113" s="9"/>
      <c r="DA113" s="9"/>
      <c r="DB113" s="9"/>
      <c r="DC113" s="9"/>
      <c r="DD113" s="9"/>
      <c r="DE113" s="9"/>
      <c r="DF113" s="9"/>
      <c r="DG113" s="9"/>
      <c r="DH113" s="9"/>
      <c r="DI113" s="9"/>
      <c r="DJ113" s="9"/>
      <c r="DK113" s="9"/>
      <c r="DL113" s="9"/>
      <c r="DM113" s="9"/>
      <c r="DN113" s="9"/>
      <c r="DO113" s="9"/>
      <c r="DP113" s="9"/>
      <c r="DQ113" s="9"/>
      <c r="DR113" s="9"/>
      <c r="DS113" s="9"/>
      <c r="DT113" s="9"/>
      <c r="DU113" s="9"/>
      <c r="DV113" s="9"/>
      <c r="DW113" s="9"/>
      <c r="DX113" s="9"/>
      <c r="DY113" s="9"/>
      <c r="DZ113" s="9"/>
      <c r="EA113" s="9"/>
      <c r="EB113" s="9"/>
      <c r="EC113" s="9"/>
      <c r="ED113" s="9"/>
      <c r="EE113" s="9"/>
      <c r="EF113" s="9"/>
      <c r="EG113" s="9"/>
      <c r="EH113" s="9"/>
      <c r="EI113" s="9"/>
      <c r="EJ113" s="9"/>
      <c r="EK113" s="9"/>
      <c r="EL113" s="9"/>
      <c r="EM113" s="9"/>
      <c r="EN113" s="9"/>
      <c r="EO113" s="9"/>
      <c r="EP113" s="9"/>
      <c r="EQ113" s="9"/>
      <c r="ER113" s="9"/>
      <c r="ES113" s="9"/>
      <c r="ET113" s="9"/>
      <c r="EU113" s="9"/>
      <c r="EV113" s="9"/>
      <c r="EW113" s="9"/>
      <c r="EX113" s="9"/>
      <c r="EY113" s="9"/>
      <c r="EZ113" s="9"/>
      <c r="FA113" s="9"/>
      <c r="FB113" s="9"/>
      <c r="FC113" s="9"/>
      <c r="FD113" s="9"/>
      <c r="FE113" s="9"/>
      <c r="FF113" s="9"/>
      <c r="FG113" s="9"/>
      <c r="FH113" s="9"/>
      <c r="FI113" s="9"/>
      <c r="FJ113" s="9"/>
      <c r="FK113" s="9"/>
      <c r="FL113" s="9"/>
      <c r="FM113" s="9"/>
      <c r="FN113" s="9"/>
      <c r="FO113" s="9"/>
      <c r="FP113" s="9"/>
      <c r="FQ113" s="9"/>
      <c r="FR113" s="9"/>
      <c r="FS113" s="9"/>
      <c r="FT113" s="9"/>
      <c r="FU113" s="9"/>
      <c r="FV113" s="9"/>
      <c r="FW113" s="9"/>
      <c r="FX113" s="9"/>
      <c r="FY113" s="9"/>
      <c r="FZ113" s="9"/>
      <c r="GA113" s="9"/>
      <c r="GB113" s="9"/>
      <c r="GC113" s="9"/>
      <c r="GD113" s="9"/>
      <c r="GE113" s="9"/>
      <c r="GF113" s="9"/>
      <c r="GG113" s="9"/>
      <c r="GH113" s="9"/>
      <c r="GI113" s="9"/>
      <c r="GJ113" s="9"/>
      <c r="GK113" s="9"/>
      <c r="GL113" s="9"/>
      <c r="GM113" s="9"/>
      <c r="GN113" s="9"/>
      <c r="GO113" s="9"/>
      <c r="GP113" s="9"/>
      <c r="GQ113" s="9"/>
      <c r="GR113" s="9"/>
      <c r="GS113" s="9"/>
      <c r="GT113" s="9"/>
      <c r="GU113" s="9"/>
      <c r="GV113" s="9"/>
      <c r="GW113" s="9"/>
      <c r="GX113" s="9"/>
      <c r="GY113" s="9"/>
      <c r="GZ113" s="9"/>
      <c r="HA113" s="9"/>
      <c r="HB113" s="9"/>
      <c r="HC113" s="9"/>
      <c r="HD113" s="9"/>
      <c r="HE113" s="9"/>
      <c r="HF113" s="9"/>
      <c r="HG113" s="9"/>
      <c r="HH113" s="9"/>
      <c r="HI113" s="9"/>
      <c r="HJ113" s="9"/>
      <c r="HK113" s="9"/>
      <c r="HL113" s="9"/>
      <c r="HM113" s="9"/>
      <c r="HN113" s="9"/>
      <c r="HO113" s="9"/>
      <c r="HP113" s="9"/>
      <c r="HQ113" s="9"/>
      <c r="HR113" s="9"/>
      <c r="HS113" s="9"/>
      <c r="HT113" s="9"/>
      <c r="HU113" s="9"/>
      <c r="HV113" s="9"/>
      <c r="HW113" s="9"/>
      <c r="HX113" s="9"/>
      <c r="HY113" s="9"/>
      <c r="HZ113" s="9"/>
      <c r="IA113" s="9"/>
      <c r="IB113" s="9"/>
      <c r="IC113" s="9"/>
      <c r="ID113" s="9"/>
      <c r="IE113" s="9"/>
      <c r="IF113" s="9"/>
      <c r="IG113" s="9"/>
      <c r="IH113" s="9"/>
      <c r="II113" s="9"/>
      <c r="IJ113" s="9"/>
      <c r="IK113" s="9"/>
      <c r="IL113" s="9"/>
      <c r="IM113" s="9"/>
      <c r="IN113" s="9"/>
      <c r="IO113" s="9"/>
      <c r="IP113" s="9"/>
      <c r="IQ113" s="9"/>
      <c r="IR113" s="9"/>
      <c r="IS113" s="9"/>
      <c r="IT113" s="9"/>
      <c r="IU113" s="9"/>
      <c r="IV113" s="9"/>
      <c r="IW113" s="9"/>
      <c r="IX113" s="9"/>
      <c r="IY113" s="9"/>
      <c r="IZ113" s="9"/>
      <c r="JA113" s="9"/>
      <c r="JB113" s="9"/>
      <c r="JC113" s="9"/>
      <c r="JD113" s="9"/>
      <c r="JE113" s="9"/>
      <c r="JF113" s="9"/>
      <c r="JG113" s="9"/>
      <c r="JH113" s="9"/>
      <c r="JI113" s="9"/>
      <c r="JJ113" s="9"/>
      <c r="JK113" s="9"/>
      <c r="JL113" s="9"/>
      <c r="JM113" s="9"/>
      <c r="JN113" s="9"/>
      <c r="JO113" s="9"/>
      <c r="JP113" s="9"/>
      <c r="JQ113" s="9"/>
      <c r="JR113" s="9"/>
      <c r="JS113" s="9"/>
      <c r="JT113" s="9"/>
      <c r="JU113" s="9"/>
      <c r="JV113" s="9"/>
      <c r="JW113" s="9"/>
      <c r="JX113" s="9"/>
      <c r="JY113" s="9"/>
      <c r="JZ113" s="9"/>
      <c r="KA113" s="9"/>
      <c r="KB113" s="9"/>
      <c r="KC113" s="9"/>
      <c r="KD113" s="9"/>
      <c r="KE113" s="9"/>
      <c r="KF113" s="9"/>
      <c r="KG113" s="9"/>
      <c r="KH113" s="9"/>
      <c r="KI113" s="9"/>
      <c r="KJ113" s="9"/>
      <c r="KK113" s="9"/>
      <c r="KL113" s="9"/>
      <c r="KM113" s="9"/>
      <c r="KN113" s="9"/>
      <c r="KO113" s="9"/>
      <c r="KP113" s="9"/>
      <c r="KQ113" s="9"/>
      <c r="KR113" s="9"/>
      <c r="KS113" s="9"/>
      <c r="KT113" s="9"/>
      <c r="KU113" s="9"/>
      <c r="KV113" s="9"/>
      <c r="KW113" s="9"/>
      <c r="KX113" s="9"/>
      <c r="KY113" s="9"/>
      <c r="KZ113" s="9"/>
      <c r="LA113" s="9"/>
      <c r="LB113" s="9"/>
      <c r="LC113" s="9"/>
      <c r="LD113" s="9"/>
      <c r="LE113" s="9"/>
      <c r="LF113" s="9"/>
      <c r="LG113" s="9"/>
      <c r="LH113" s="9"/>
      <c r="LI113" s="9"/>
      <c r="LJ113" s="9"/>
      <c r="LK113" s="9"/>
      <c r="LL113" s="9"/>
      <c r="LM113" s="9"/>
      <c r="LN113" s="9"/>
      <c r="LO113" s="9"/>
      <c r="LP113" s="9"/>
      <c r="LQ113" s="9"/>
      <c r="LR113" s="9"/>
      <c r="LS113" s="9"/>
      <c r="LT113" s="9"/>
      <c r="LU113" s="9"/>
      <c r="LV113" s="9"/>
      <c r="LW113" s="9"/>
      <c r="LX113" s="9"/>
      <c r="LY113" s="9"/>
      <c r="LZ113" s="9"/>
      <c r="MA113" s="9"/>
      <c r="MB113" s="9"/>
      <c r="MC113" s="9"/>
      <c r="MD113" s="9"/>
      <c r="ME113" s="9"/>
      <c r="MF113" s="9"/>
      <c r="MG113" s="9"/>
      <c r="MH113" s="9"/>
      <c r="MI113" s="9"/>
      <c r="MJ113" s="9"/>
      <c r="MK113" s="9"/>
    </row>
    <row r="114" spans="1:349" hidden="1" x14ac:dyDescent="0.25">
      <c r="A114" s="9"/>
      <c r="B114" s="9"/>
      <c r="C114" s="9"/>
      <c r="D114" s="9"/>
      <c r="E114" s="9"/>
      <c r="F114" s="9"/>
      <c r="G114" s="9"/>
      <c r="H114" s="9"/>
      <c r="I114" s="9"/>
      <c r="J114" s="9"/>
      <c r="K114" s="9"/>
      <c r="L114" s="9"/>
      <c r="M114" s="9"/>
      <c r="N114" s="9"/>
      <c r="O114" s="9"/>
      <c r="AG114" s="9"/>
      <c r="AH114" s="9"/>
      <c r="AI114" s="9"/>
      <c r="AJ114" s="9"/>
      <c r="AK114" s="9"/>
      <c r="AL114" s="9"/>
      <c r="AM114" s="9"/>
      <c r="AN114" s="9"/>
      <c r="AO114" s="9"/>
      <c r="AP114" s="9"/>
      <c r="AQ114" s="9"/>
      <c r="AR114" s="9"/>
      <c r="AS114" s="9"/>
      <c r="AT114" s="9"/>
      <c r="AU114" s="9"/>
      <c r="AV114" s="9"/>
      <c r="AW114" s="9"/>
      <c r="AX114" s="9"/>
      <c r="AY114" s="9"/>
      <c r="AZ114" s="9"/>
      <c r="BA114" s="9"/>
      <c r="BB114" s="9"/>
      <c r="BC114" s="9"/>
      <c r="BD114" s="9"/>
      <c r="BE114" s="9"/>
      <c r="BF114" s="9"/>
      <c r="BG114" s="9"/>
      <c r="BH114" s="9"/>
      <c r="BI114" s="9"/>
      <c r="BJ114" s="9"/>
      <c r="BK114" s="9"/>
      <c r="BL114" s="9"/>
      <c r="BM114" s="9"/>
      <c r="BN114" s="9"/>
      <c r="BO114" s="9"/>
      <c r="BP114" s="9"/>
      <c r="BQ114" s="9"/>
      <c r="BR114" s="9"/>
      <c r="BS114" s="9"/>
      <c r="BT114" s="9"/>
      <c r="BU114" s="9"/>
      <c r="BV114" s="9"/>
      <c r="BW114" s="9"/>
      <c r="BX114" s="9"/>
      <c r="BY114" s="9"/>
      <c r="BZ114" s="9"/>
      <c r="CA114" s="9"/>
      <c r="CB114" s="9"/>
      <c r="CC114" s="9"/>
      <c r="CD114" s="9"/>
      <c r="CE114" s="9"/>
      <c r="CF114" s="9"/>
      <c r="CG114" s="9"/>
      <c r="CH114" s="9"/>
      <c r="CI114" s="9"/>
      <c r="CJ114" s="9"/>
      <c r="CK114" s="9"/>
      <c r="CL114" s="9"/>
      <c r="CM114" s="9"/>
      <c r="CN114" s="9"/>
      <c r="CO114" s="9"/>
      <c r="CP114" s="9"/>
      <c r="CQ114" s="9"/>
      <c r="CR114" s="9"/>
      <c r="CS114" s="9"/>
      <c r="CT114" s="9"/>
      <c r="CU114" s="9"/>
      <c r="CV114" s="9"/>
      <c r="CW114" s="9"/>
      <c r="CX114" s="9"/>
      <c r="CY114" s="9"/>
      <c r="CZ114" s="9"/>
      <c r="DA114" s="9"/>
      <c r="DB114" s="9"/>
      <c r="DC114" s="9"/>
      <c r="DD114" s="9"/>
      <c r="DE114" s="9"/>
      <c r="DF114" s="9"/>
      <c r="DG114" s="9"/>
      <c r="DH114" s="9"/>
      <c r="DI114" s="9"/>
      <c r="DJ114" s="9"/>
      <c r="DK114" s="9"/>
      <c r="DL114" s="9"/>
      <c r="DM114" s="9"/>
      <c r="DN114" s="9"/>
      <c r="DO114" s="9"/>
      <c r="DP114" s="9"/>
      <c r="DQ114" s="9"/>
      <c r="DR114" s="9"/>
      <c r="DS114" s="9"/>
      <c r="DT114" s="9"/>
      <c r="DU114" s="9"/>
      <c r="DV114" s="9"/>
      <c r="DW114" s="9"/>
      <c r="DX114" s="9"/>
      <c r="DY114" s="9"/>
      <c r="DZ114" s="9"/>
      <c r="EA114" s="9"/>
      <c r="EB114" s="9"/>
      <c r="EC114" s="9"/>
      <c r="ED114" s="9"/>
      <c r="EE114" s="9"/>
      <c r="EF114" s="9"/>
      <c r="EG114" s="9"/>
      <c r="EH114" s="9"/>
      <c r="EI114" s="9"/>
      <c r="EJ114" s="9"/>
      <c r="EK114" s="9"/>
      <c r="EL114" s="9"/>
      <c r="EM114" s="9"/>
      <c r="EN114" s="9"/>
      <c r="EO114" s="9"/>
      <c r="EP114" s="9"/>
      <c r="EQ114" s="9"/>
      <c r="ER114" s="9"/>
      <c r="ES114" s="9"/>
      <c r="ET114" s="9"/>
      <c r="EU114" s="9"/>
      <c r="EV114" s="9"/>
      <c r="EW114" s="9"/>
      <c r="EX114" s="9"/>
      <c r="EY114" s="9"/>
      <c r="EZ114" s="9"/>
      <c r="FA114" s="9"/>
      <c r="FB114" s="9"/>
      <c r="FC114" s="9"/>
      <c r="FD114" s="9"/>
      <c r="FE114" s="9"/>
      <c r="FF114" s="9"/>
      <c r="FG114" s="9"/>
      <c r="FH114" s="9"/>
      <c r="FI114" s="9"/>
      <c r="FJ114" s="9"/>
      <c r="FK114" s="9"/>
      <c r="FL114" s="9"/>
      <c r="FM114" s="9"/>
      <c r="FN114" s="9"/>
      <c r="FO114" s="9"/>
      <c r="FP114" s="9"/>
      <c r="FQ114" s="9"/>
      <c r="FR114" s="9"/>
      <c r="FS114" s="9"/>
      <c r="FT114" s="9"/>
      <c r="FU114" s="9"/>
      <c r="FV114" s="9"/>
      <c r="FW114" s="9"/>
      <c r="FX114" s="9"/>
      <c r="FY114" s="9"/>
      <c r="FZ114" s="9"/>
      <c r="GA114" s="9"/>
      <c r="GB114" s="9"/>
      <c r="GC114" s="9"/>
      <c r="GD114" s="9"/>
      <c r="GE114" s="9"/>
      <c r="GF114" s="9"/>
      <c r="GG114" s="9"/>
      <c r="GH114" s="9"/>
      <c r="GI114" s="9"/>
      <c r="GJ114" s="9"/>
      <c r="GK114" s="9"/>
      <c r="GL114" s="9"/>
      <c r="GM114" s="9"/>
      <c r="GN114" s="9"/>
      <c r="GO114" s="9"/>
      <c r="GP114" s="9"/>
      <c r="GQ114" s="9"/>
      <c r="GR114" s="9"/>
      <c r="GS114" s="9"/>
      <c r="GT114" s="9"/>
      <c r="GU114" s="9"/>
      <c r="GV114" s="9"/>
      <c r="GW114" s="9"/>
      <c r="GX114" s="9"/>
      <c r="GY114" s="9"/>
      <c r="GZ114" s="9"/>
      <c r="HA114" s="9"/>
      <c r="HB114" s="9"/>
      <c r="HC114" s="9"/>
      <c r="HD114" s="9"/>
      <c r="HE114" s="9"/>
      <c r="HF114" s="9"/>
      <c r="HG114" s="9"/>
      <c r="HH114" s="9"/>
      <c r="HI114" s="9"/>
      <c r="HJ114" s="9"/>
      <c r="HK114" s="9"/>
      <c r="HL114" s="9"/>
      <c r="HM114" s="9"/>
      <c r="HN114" s="9"/>
      <c r="HO114" s="9"/>
      <c r="HP114" s="9"/>
      <c r="HQ114" s="9"/>
      <c r="HR114" s="9"/>
      <c r="HS114" s="9"/>
      <c r="HT114" s="9"/>
      <c r="HU114" s="9"/>
      <c r="HV114" s="9"/>
      <c r="HW114" s="9"/>
      <c r="HX114" s="9"/>
      <c r="HY114" s="9"/>
      <c r="HZ114" s="9"/>
      <c r="IA114" s="9"/>
      <c r="IB114" s="9"/>
      <c r="IC114" s="9"/>
      <c r="ID114" s="9"/>
      <c r="IE114" s="9"/>
      <c r="IF114" s="9"/>
      <c r="IG114" s="9"/>
      <c r="IH114" s="9"/>
      <c r="II114" s="9"/>
      <c r="IJ114" s="9"/>
      <c r="IK114" s="9"/>
      <c r="IL114" s="9"/>
      <c r="IM114" s="9"/>
      <c r="IN114" s="9"/>
      <c r="IO114" s="9"/>
      <c r="IP114" s="9"/>
      <c r="IQ114" s="9"/>
      <c r="IR114" s="9"/>
      <c r="IS114" s="9"/>
      <c r="IT114" s="9"/>
      <c r="IU114" s="9"/>
      <c r="IV114" s="9"/>
      <c r="IW114" s="9"/>
      <c r="IX114" s="9"/>
      <c r="IY114" s="9"/>
      <c r="IZ114" s="9"/>
      <c r="JA114" s="9"/>
      <c r="JB114" s="9"/>
      <c r="JC114" s="9"/>
      <c r="JD114" s="9"/>
      <c r="JE114" s="9"/>
      <c r="JF114" s="9"/>
      <c r="JG114" s="9"/>
      <c r="JH114" s="9"/>
      <c r="JI114" s="9"/>
      <c r="JJ114" s="9"/>
      <c r="JK114" s="9"/>
      <c r="JL114" s="9"/>
      <c r="JM114" s="9"/>
      <c r="JN114" s="9"/>
      <c r="JO114" s="9"/>
      <c r="JP114" s="9"/>
      <c r="JQ114" s="9"/>
      <c r="JR114" s="9"/>
      <c r="JS114" s="9"/>
      <c r="JT114" s="9"/>
      <c r="JU114" s="9"/>
      <c r="JV114" s="9"/>
      <c r="JW114" s="9"/>
      <c r="JX114" s="9"/>
      <c r="JY114" s="9"/>
      <c r="JZ114" s="9"/>
      <c r="KA114" s="9"/>
      <c r="KB114" s="9"/>
      <c r="KC114" s="9"/>
      <c r="KD114" s="9"/>
      <c r="KE114" s="9"/>
      <c r="KF114" s="9"/>
      <c r="KG114" s="9"/>
      <c r="KH114" s="9"/>
      <c r="KI114" s="9"/>
      <c r="KJ114" s="9"/>
      <c r="KK114" s="9"/>
      <c r="KL114" s="9"/>
      <c r="KM114" s="9"/>
      <c r="KN114" s="9"/>
      <c r="KO114" s="9"/>
      <c r="KP114" s="9"/>
      <c r="KQ114" s="9"/>
      <c r="KR114" s="9"/>
      <c r="KS114" s="9"/>
      <c r="KT114" s="9"/>
      <c r="KU114" s="9"/>
      <c r="KV114" s="9"/>
      <c r="KW114" s="9"/>
      <c r="KX114" s="9"/>
      <c r="KY114" s="9"/>
      <c r="KZ114" s="9"/>
      <c r="LA114" s="9"/>
      <c r="LB114" s="9"/>
      <c r="LC114" s="9"/>
      <c r="LD114" s="9"/>
      <c r="LE114" s="9"/>
      <c r="LF114" s="9"/>
      <c r="LG114" s="9"/>
      <c r="LH114" s="9"/>
      <c r="LI114" s="9"/>
      <c r="LJ114" s="9"/>
      <c r="LK114" s="9"/>
      <c r="LL114" s="9"/>
      <c r="LM114" s="9"/>
      <c r="LN114" s="9"/>
      <c r="LO114" s="9"/>
      <c r="LP114" s="9"/>
      <c r="LQ114" s="9"/>
      <c r="LR114" s="9"/>
      <c r="LS114" s="9"/>
      <c r="LT114" s="9"/>
      <c r="LU114" s="9"/>
      <c r="LV114" s="9"/>
      <c r="LW114" s="9"/>
      <c r="LX114" s="9"/>
      <c r="LY114" s="9"/>
      <c r="LZ114" s="9"/>
      <c r="MA114" s="9"/>
      <c r="MB114" s="9"/>
      <c r="MC114" s="9"/>
      <c r="MD114" s="9"/>
      <c r="ME114" s="9"/>
      <c r="MF114" s="9"/>
      <c r="MG114" s="9"/>
      <c r="MH114" s="9"/>
      <c r="MI114" s="9"/>
      <c r="MJ114" s="9"/>
      <c r="MK114" s="9"/>
    </row>
    <row r="115" spans="1:349" hidden="1" x14ac:dyDescent="0.25">
      <c r="A115" s="9"/>
      <c r="B115" s="9"/>
      <c r="C115" s="9"/>
      <c r="D115" s="9"/>
      <c r="E115" s="9"/>
      <c r="F115" s="9"/>
      <c r="G115" s="9"/>
      <c r="H115" s="9"/>
      <c r="I115" s="9"/>
      <c r="J115" s="9"/>
      <c r="K115" s="9"/>
      <c r="L115" s="9"/>
      <c r="M115" s="9"/>
      <c r="N115" s="9"/>
      <c r="O115" s="9"/>
      <c r="AG115" s="9"/>
      <c r="AH115" s="9"/>
      <c r="AI115" s="9"/>
      <c r="AJ115" s="9"/>
      <c r="AK115" s="9"/>
      <c r="AL115" s="9"/>
      <c r="AM115" s="9"/>
      <c r="AN115" s="9"/>
      <c r="AO115" s="9"/>
      <c r="AP115" s="9"/>
      <c r="AQ115" s="9"/>
      <c r="AR115" s="9"/>
      <c r="AS115" s="9"/>
      <c r="AT115" s="9"/>
      <c r="AU115" s="9"/>
      <c r="AV115" s="9"/>
      <c r="AW115" s="9"/>
      <c r="AX115" s="9"/>
      <c r="AY115" s="9"/>
      <c r="AZ115" s="9"/>
      <c r="BA115" s="9"/>
      <c r="BB115" s="9"/>
      <c r="BC115" s="9"/>
      <c r="BD115" s="9"/>
      <c r="BE115" s="9"/>
      <c r="BF115" s="9"/>
      <c r="BG115" s="9"/>
      <c r="BH115" s="9"/>
      <c r="BI115" s="9"/>
      <c r="BJ115" s="9"/>
      <c r="BK115" s="9"/>
      <c r="BL115" s="9"/>
      <c r="BM115" s="9"/>
      <c r="BN115" s="9"/>
      <c r="BO115" s="9"/>
      <c r="BP115" s="9"/>
      <c r="BQ115" s="9"/>
      <c r="BR115" s="9"/>
      <c r="BS115" s="9"/>
      <c r="BT115" s="9"/>
      <c r="BU115" s="9"/>
      <c r="BV115" s="9"/>
      <c r="BW115" s="9"/>
      <c r="BX115" s="9"/>
      <c r="BY115" s="9"/>
      <c r="BZ115" s="9"/>
      <c r="CA115" s="9"/>
      <c r="CB115" s="9"/>
      <c r="CC115" s="9"/>
      <c r="CD115" s="9"/>
      <c r="CE115" s="9"/>
      <c r="CF115" s="9"/>
      <c r="CG115" s="9"/>
      <c r="CH115" s="9"/>
      <c r="CI115" s="9"/>
      <c r="CJ115" s="9"/>
      <c r="CK115" s="9"/>
      <c r="CL115" s="9"/>
      <c r="CM115" s="9"/>
      <c r="CN115" s="9"/>
      <c r="CO115" s="9"/>
      <c r="CP115" s="9"/>
      <c r="CQ115" s="9"/>
      <c r="CR115" s="9"/>
      <c r="CS115" s="9"/>
      <c r="CT115" s="9"/>
      <c r="CU115" s="9"/>
      <c r="CV115" s="9"/>
      <c r="CW115" s="9"/>
      <c r="CX115" s="9"/>
      <c r="CY115" s="9"/>
      <c r="CZ115" s="9"/>
      <c r="DA115" s="9"/>
      <c r="DB115" s="9"/>
      <c r="DC115" s="9"/>
      <c r="DD115" s="9"/>
      <c r="DE115" s="9"/>
      <c r="DF115" s="9"/>
      <c r="DG115" s="9"/>
      <c r="DH115" s="9"/>
      <c r="DI115" s="9"/>
      <c r="DJ115" s="9"/>
      <c r="DK115" s="9"/>
      <c r="DL115" s="9"/>
      <c r="DM115" s="9"/>
      <c r="DN115" s="9"/>
      <c r="DO115" s="9"/>
      <c r="DP115" s="9"/>
      <c r="DQ115" s="9"/>
      <c r="DR115" s="9"/>
      <c r="DS115" s="9"/>
      <c r="DT115" s="9"/>
      <c r="DU115" s="9"/>
      <c r="DV115" s="9"/>
      <c r="DW115" s="9"/>
      <c r="DX115" s="9"/>
      <c r="DY115" s="9"/>
      <c r="DZ115" s="9"/>
      <c r="EA115" s="9"/>
      <c r="EB115" s="9"/>
      <c r="EC115" s="9"/>
      <c r="ED115" s="9"/>
      <c r="EE115" s="9"/>
      <c r="EF115" s="9"/>
      <c r="EG115" s="9"/>
      <c r="EH115" s="9"/>
      <c r="EI115" s="9"/>
      <c r="EJ115" s="9"/>
      <c r="EK115" s="9"/>
      <c r="EL115" s="9"/>
      <c r="EM115" s="9"/>
      <c r="EN115" s="9"/>
      <c r="EO115" s="9"/>
      <c r="EP115" s="9"/>
      <c r="EQ115" s="9"/>
      <c r="ER115" s="9"/>
      <c r="ES115" s="9"/>
      <c r="ET115" s="9"/>
      <c r="EU115" s="9"/>
      <c r="EV115" s="9"/>
      <c r="EW115" s="9"/>
      <c r="EX115" s="9"/>
      <c r="EY115" s="9"/>
      <c r="EZ115" s="9"/>
      <c r="FA115" s="9"/>
      <c r="FB115" s="9"/>
      <c r="FC115" s="9"/>
      <c r="FD115" s="9"/>
      <c r="FE115" s="9"/>
      <c r="FF115" s="9"/>
      <c r="FG115" s="9"/>
      <c r="FH115" s="9"/>
      <c r="FI115" s="9"/>
      <c r="FJ115" s="9"/>
      <c r="FK115" s="9"/>
      <c r="FL115" s="9"/>
      <c r="FM115" s="9"/>
      <c r="FN115" s="9"/>
      <c r="FO115" s="9"/>
      <c r="FP115" s="9"/>
      <c r="FQ115" s="9"/>
      <c r="FR115" s="9"/>
      <c r="FS115" s="9"/>
      <c r="FT115" s="9"/>
      <c r="FU115" s="9"/>
      <c r="FV115" s="9"/>
      <c r="FW115" s="9"/>
      <c r="FX115" s="9"/>
      <c r="FY115" s="9"/>
      <c r="FZ115" s="9"/>
      <c r="GA115" s="9"/>
      <c r="GB115" s="9"/>
      <c r="GC115" s="9"/>
      <c r="GD115" s="9"/>
      <c r="GE115" s="9"/>
      <c r="GF115" s="9"/>
      <c r="GG115" s="9"/>
      <c r="GH115" s="9"/>
      <c r="GI115" s="9"/>
      <c r="GJ115" s="9"/>
      <c r="GK115" s="9"/>
      <c r="GL115" s="9"/>
      <c r="GM115" s="9"/>
      <c r="GN115" s="9"/>
      <c r="GO115" s="9"/>
      <c r="GP115" s="9"/>
      <c r="GQ115" s="9"/>
      <c r="GR115" s="9"/>
      <c r="GS115" s="9"/>
      <c r="GT115" s="9"/>
      <c r="GU115" s="9"/>
      <c r="GV115" s="9"/>
      <c r="GW115" s="9"/>
      <c r="GX115" s="9"/>
      <c r="GY115" s="9"/>
      <c r="GZ115" s="9"/>
      <c r="HA115" s="9"/>
      <c r="HB115" s="9"/>
      <c r="HC115" s="9"/>
      <c r="HD115" s="9"/>
      <c r="HE115" s="9"/>
      <c r="HF115" s="9"/>
      <c r="HG115" s="9"/>
      <c r="HH115" s="9"/>
      <c r="HI115" s="9"/>
      <c r="HJ115" s="9"/>
      <c r="HK115" s="9"/>
      <c r="HL115" s="9"/>
      <c r="HM115" s="9"/>
      <c r="HN115" s="9"/>
      <c r="HO115" s="9"/>
      <c r="HP115" s="9"/>
      <c r="HQ115" s="9"/>
      <c r="HR115" s="9"/>
      <c r="HS115" s="9"/>
      <c r="HT115" s="9"/>
      <c r="HU115" s="9"/>
      <c r="HV115" s="9"/>
      <c r="HW115" s="9"/>
      <c r="HX115" s="9"/>
      <c r="HY115" s="9"/>
      <c r="HZ115" s="9"/>
      <c r="IA115" s="9"/>
      <c r="IB115" s="9"/>
      <c r="IC115" s="9"/>
      <c r="ID115" s="9"/>
      <c r="IE115" s="9"/>
      <c r="IF115" s="9"/>
      <c r="IG115" s="9"/>
      <c r="IH115" s="9"/>
      <c r="II115" s="9"/>
      <c r="IJ115" s="9"/>
      <c r="IK115" s="9"/>
      <c r="IL115" s="9"/>
      <c r="IM115" s="9"/>
      <c r="IN115" s="9"/>
      <c r="IO115" s="9"/>
      <c r="IP115" s="9"/>
      <c r="IQ115" s="9"/>
      <c r="IR115" s="9"/>
      <c r="IS115" s="9"/>
      <c r="IT115" s="9"/>
      <c r="IU115" s="9"/>
      <c r="IV115" s="9"/>
      <c r="IW115" s="9"/>
      <c r="IX115" s="9"/>
      <c r="IY115" s="9"/>
      <c r="IZ115" s="9"/>
      <c r="JA115" s="9"/>
      <c r="JB115" s="9"/>
      <c r="JC115" s="9"/>
      <c r="JD115" s="9"/>
      <c r="JE115" s="9"/>
      <c r="JF115" s="9"/>
      <c r="JG115" s="9"/>
      <c r="JH115" s="9"/>
      <c r="JI115" s="9"/>
      <c r="JJ115" s="9"/>
      <c r="JK115" s="9"/>
      <c r="JL115" s="9"/>
      <c r="JM115" s="9"/>
      <c r="JN115" s="9"/>
      <c r="JO115" s="9"/>
      <c r="JP115" s="9"/>
      <c r="JQ115" s="9"/>
      <c r="JR115" s="9"/>
      <c r="JS115" s="9"/>
      <c r="JT115" s="9"/>
      <c r="JU115" s="9"/>
      <c r="JV115" s="9"/>
      <c r="JW115" s="9"/>
      <c r="JX115" s="9"/>
      <c r="JY115" s="9"/>
      <c r="JZ115" s="9"/>
      <c r="KA115" s="9"/>
      <c r="KB115" s="9"/>
      <c r="KC115" s="9"/>
      <c r="KD115" s="9"/>
      <c r="KE115" s="9"/>
      <c r="KF115" s="9"/>
      <c r="KG115" s="9"/>
      <c r="KH115" s="9"/>
      <c r="KI115" s="9"/>
      <c r="KJ115" s="9"/>
      <c r="KK115" s="9"/>
      <c r="KL115" s="9"/>
      <c r="KM115" s="9"/>
      <c r="KN115" s="9"/>
      <c r="KO115" s="9"/>
      <c r="KP115" s="9"/>
      <c r="KQ115" s="9"/>
      <c r="KR115" s="9"/>
      <c r="KS115" s="9"/>
      <c r="KT115" s="9"/>
      <c r="KU115" s="9"/>
      <c r="KV115" s="9"/>
      <c r="KW115" s="9"/>
      <c r="KX115" s="9"/>
      <c r="KY115" s="9"/>
      <c r="KZ115" s="9"/>
      <c r="LA115" s="9"/>
      <c r="LB115" s="9"/>
      <c r="LC115" s="9"/>
      <c r="LD115" s="9"/>
      <c r="LE115" s="9"/>
      <c r="LF115" s="9"/>
      <c r="LG115" s="9"/>
      <c r="LH115" s="9"/>
      <c r="LI115" s="9"/>
      <c r="LJ115" s="9"/>
      <c r="LK115" s="9"/>
      <c r="LL115" s="9"/>
      <c r="LM115" s="9"/>
      <c r="LN115" s="9"/>
      <c r="LO115" s="9"/>
      <c r="LP115" s="9"/>
      <c r="LQ115" s="9"/>
      <c r="LR115" s="9"/>
      <c r="LS115" s="9"/>
      <c r="LT115" s="9"/>
      <c r="LU115" s="9"/>
      <c r="LV115" s="9"/>
      <c r="LW115" s="9"/>
      <c r="LX115" s="9"/>
      <c r="LY115" s="9"/>
      <c r="LZ115" s="9"/>
      <c r="MA115" s="9"/>
      <c r="MB115" s="9"/>
      <c r="MC115" s="9"/>
      <c r="MD115" s="9"/>
      <c r="ME115" s="9"/>
      <c r="MF115" s="9"/>
      <c r="MG115" s="9"/>
      <c r="MH115" s="9"/>
      <c r="MI115" s="9"/>
      <c r="MJ115" s="9"/>
      <c r="MK115" s="9"/>
    </row>
    <row r="116" spans="1:349" hidden="1" x14ac:dyDescent="0.25">
      <c r="A116" s="9"/>
      <c r="B116" s="9"/>
      <c r="C116" s="9"/>
      <c r="D116" s="9"/>
      <c r="E116" s="9"/>
      <c r="F116" s="9"/>
      <c r="G116" s="9"/>
      <c r="H116" s="9"/>
      <c r="I116" s="9"/>
      <c r="J116" s="9"/>
      <c r="K116" s="9"/>
      <c r="L116" s="9"/>
      <c r="M116" s="9"/>
      <c r="N116" s="9"/>
      <c r="O116" s="9"/>
      <c r="AG116" s="9"/>
      <c r="AH116" s="9"/>
      <c r="AI116" s="9"/>
      <c r="AJ116" s="9"/>
      <c r="AK116" s="9"/>
      <c r="AL116" s="9"/>
      <c r="AM116" s="9"/>
      <c r="AN116" s="9"/>
      <c r="AO116" s="9"/>
      <c r="AP116" s="9"/>
      <c r="AQ116" s="9"/>
      <c r="AR116" s="9"/>
      <c r="AS116" s="9"/>
      <c r="AT116" s="9"/>
      <c r="AU116" s="9"/>
      <c r="AV116" s="9"/>
      <c r="AW116" s="9"/>
      <c r="AX116" s="9"/>
      <c r="AY116" s="9"/>
      <c r="AZ116" s="9"/>
      <c r="BA116" s="9"/>
      <c r="BB116" s="9"/>
      <c r="BC116" s="9"/>
      <c r="BD116" s="9"/>
      <c r="BE116" s="9"/>
      <c r="BF116" s="9"/>
      <c r="BG116" s="9"/>
      <c r="BH116" s="9"/>
      <c r="BI116" s="9"/>
      <c r="BJ116" s="9"/>
      <c r="BK116" s="9"/>
      <c r="BL116" s="9"/>
      <c r="BM116" s="9"/>
      <c r="BN116" s="9"/>
      <c r="BO116" s="9"/>
      <c r="BP116" s="9"/>
      <c r="BQ116" s="9"/>
      <c r="BR116" s="9"/>
      <c r="BS116" s="9"/>
      <c r="BT116" s="9"/>
      <c r="BU116" s="9"/>
      <c r="BV116" s="9"/>
      <c r="BW116" s="9"/>
      <c r="BX116" s="9"/>
      <c r="BY116" s="9"/>
      <c r="BZ116" s="9"/>
      <c r="CA116" s="9"/>
      <c r="CB116" s="9"/>
      <c r="CC116" s="9"/>
      <c r="CD116" s="9"/>
      <c r="CE116" s="9"/>
      <c r="CF116" s="9"/>
      <c r="CG116" s="9"/>
      <c r="CH116" s="9"/>
      <c r="CI116" s="9"/>
      <c r="CJ116" s="9"/>
      <c r="CK116" s="9"/>
      <c r="CL116" s="9"/>
      <c r="CM116" s="9"/>
      <c r="CN116" s="9"/>
      <c r="CO116" s="9"/>
      <c r="CP116" s="9"/>
      <c r="CQ116" s="9"/>
      <c r="CR116" s="9"/>
      <c r="CS116" s="9"/>
      <c r="CT116" s="9"/>
      <c r="CU116" s="9"/>
      <c r="CV116" s="9"/>
      <c r="CW116" s="9"/>
      <c r="CX116" s="9"/>
      <c r="CY116" s="9"/>
      <c r="CZ116" s="9"/>
      <c r="DA116" s="9"/>
      <c r="DB116" s="9"/>
      <c r="DC116" s="9"/>
      <c r="DD116" s="9"/>
      <c r="DE116" s="9"/>
      <c r="DF116" s="9"/>
      <c r="DG116" s="9"/>
      <c r="DH116" s="9"/>
      <c r="DI116" s="9"/>
      <c r="DJ116" s="9"/>
      <c r="DK116" s="9"/>
      <c r="DL116" s="9"/>
      <c r="DM116" s="9"/>
      <c r="DN116" s="9"/>
      <c r="DO116" s="9"/>
      <c r="DP116" s="9"/>
      <c r="DQ116" s="9"/>
      <c r="DR116" s="9"/>
      <c r="DS116" s="9"/>
      <c r="DT116" s="9"/>
      <c r="DU116" s="9"/>
      <c r="DV116" s="9"/>
      <c r="DW116" s="9"/>
      <c r="DX116" s="9"/>
      <c r="DY116" s="9"/>
      <c r="DZ116" s="9"/>
      <c r="EA116" s="9"/>
      <c r="EB116" s="9"/>
      <c r="EC116" s="9"/>
      <c r="ED116" s="9"/>
      <c r="EE116" s="9"/>
      <c r="EF116" s="9"/>
      <c r="EG116" s="9"/>
      <c r="EH116" s="9"/>
      <c r="EI116" s="9"/>
      <c r="EJ116" s="9"/>
      <c r="EK116" s="9"/>
      <c r="EL116" s="9"/>
      <c r="EM116" s="9"/>
      <c r="EN116" s="9"/>
      <c r="EO116" s="9"/>
      <c r="EP116" s="9"/>
      <c r="EQ116" s="9"/>
      <c r="ER116" s="9"/>
      <c r="ES116" s="9"/>
      <c r="ET116" s="9"/>
      <c r="EU116" s="9"/>
      <c r="EV116" s="9"/>
      <c r="EW116" s="9"/>
      <c r="EX116" s="9"/>
      <c r="EY116" s="9"/>
      <c r="EZ116" s="9"/>
      <c r="FA116" s="9"/>
      <c r="FB116" s="9"/>
      <c r="FC116" s="9"/>
      <c r="FD116" s="9"/>
      <c r="FE116" s="9"/>
      <c r="FF116" s="9"/>
      <c r="FG116" s="9"/>
      <c r="FH116" s="9"/>
      <c r="FI116" s="9"/>
      <c r="FJ116" s="9"/>
      <c r="FK116" s="9"/>
      <c r="FL116" s="9"/>
      <c r="FM116" s="9"/>
      <c r="FN116" s="9"/>
      <c r="FO116" s="9"/>
      <c r="FP116" s="9"/>
      <c r="FQ116" s="9"/>
      <c r="FR116" s="9"/>
      <c r="FS116" s="9"/>
      <c r="FT116" s="9"/>
      <c r="FU116" s="9"/>
      <c r="FV116" s="9"/>
      <c r="FW116" s="9"/>
      <c r="FX116" s="9"/>
      <c r="FY116" s="9"/>
      <c r="FZ116" s="9"/>
      <c r="GA116" s="9"/>
      <c r="GB116" s="9"/>
      <c r="GC116" s="9"/>
      <c r="GD116" s="9"/>
      <c r="GE116" s="9"/>
      <c r="GF116" s="9"/>
      <c r="GG116" s="9"/>
      <c r="GH116" s="9"/>
      <c r="GI116" s="9"/>
      <c r="GJ116" s="9"/>
      <c r="GK116" s="9"/>
      <c r="GL116" s="9"/>
      <c r="GM116" s="9"/>
      <c r="GN116" s="9"/>
      <c r="GO116" s="9"/>
      <c r="GP116" s="9"/>
      <c r="GQ116" s="9"/>
      <c r="GR116" s="9"/>
      <c r="GS116" s="9"/>
      <c r="GT116" s="9"/>
      <c r="GU116" s="9"/>
      <c r="GV116" s="9"/>
      <c r="GW116" s="9"/>
      <c r="GX116" s="9"/>
      <c r="GY116" s="9"/>
      <c r="GZ116" s="9"/>
      <c r="HA116" s="9"/>
      <c r="HB116" s="9"/>
      <c r="HC116" s="9"/>
      <c r="HD116" s="9"/>
      <c r="HE116" s="9"/>
      <c r="HF116" s="9"/>
      <c r="HG116" s="9"/>
      <c r="HH116" s="9"/>
      <c r="HI116" s="9"/>
      <c r="HJ116" s="9"/>
      <c r="HK116" s="9"/>
      <c r="HL116" s="9"/>
      <c r="HM116" s="9"/>
      <c r="HN116" s="9"/>
      <c r="HO116" s="9"/>
      <c r="HP116" s="9"/>
      <c r="HQ116" s="9"/>
      <c r="HR116" s="9"/>
      <c r="HS116" s="9"/>
      <c r="HT116" s="9"/>
      <c r="HU116" s="9"/>
      <c r="HV116" s="9"/>
      <c r="HW116" s="9"/>
      <c r="HX116" s="9"/>
      <c r="HY116" s="9"/>
      <c r="HZ116" s="9"/>
      <c r="IA116" s="9"/>
      <c r="IB116" s="9"/>
      <c r="IC116" s="9"/>
      <c r="ID116" s="9"/>
      <c r="IE116" s="9"/>
      <c r="IF116" s="9"/>
      <c r="IG116" s="9"/>
      <c r="IH116" s="9"/>
      <c r="II116" s="9"/>
      <c r="IJ116" s="9"/>
      <c r="IK116" s="9"/>
      <c r="IL116" s="9"/>
      <c r="IM116" s="9"/>
      <c r="IN116" s="9"/>
      <c r="IO116" s="9"/>
      <c r="IP116" s="9"/>
      <c r="IQ116" s="9"/>
      <c r="IR116" s="9"/>
      <c r="IS116" s="9"/>
      <c r="IT116" s="9"/>
      <c r="IU116" s="9"/>
      <c r="IV116" s="9"/>
      <c r="IW116" s="9"/>
      <c r="IX116" s="9"/>
      <c r="IY116" s="9"/>
      <c r="IZ116" s="9"/>
      <c r="JA116" s="9"/>
      <c r="JB116" s="9"/>
      <c r="JC116" s="9"/>
      <c r="JD116" s="9"/>
      <c r="JE116" s="9"/>
      <c r="JF116" s="9"/>
      <c r="JG116" s="9"/>
      <c r="JH116" s="9"/>
      <c r="JI116" s="9"/>
      <c r="JJ116" s="9"/>
      <c r="JK116" s="9"/>
      <c r="JL116" s="9"/>
      <c r="JM116" s="9"/>
      <c r="JN116" s="9"/>
      <c r="JO116" s="9"/>
      <c r="JP116" s="9"/>
      <c r="JQ116" s="9"/>
      <c r="JR116" s="9"/>
      <c r="JS116" s="9"/>
      <c r="JT116" s="9"/>
      <c r="JU116" s="9"/>
      <c r="JV116" s="9"/>
      <c r="JW116" s="9"/>
      <c r="JX116" s="9"/>
      <c r="JY116" s="9"/>
      <c r="JZ116" s="9"/>
      <c r="KA116" s="9"/>
      <c r="KB116" s="9"/>
      <c r="KC116" s="9"/>
      <c r="KD116" s="9"/>
      <c r="KE116" s="9"/>
      <c r="KF116" s="9"/>
      <c r="KG116" s="9"/>
      <c r="KH116" s="9"/>
      <c r="KI116" s="9"/>
      <c r="KJ116" s="9"/>
      <c r="KK116" s="9"/>
      <c r="KL116" s="9"/>
      <c r="KM116" s="9"/>
      <c r="KN116" s="9"/>
      <c r="KO116" s="9"/>
      <c r="KP116" s="9"/>
      <c r="KQ116" s="9"/>
      <c r="KR116" s="9"/>
      <c r="KS116" s="9"/>
      <c r="KT116" s="9"/>
      <c r="KU116" s="9"/>
      <c r="KV116" s="9"/>
      <c r="KW116" s="9"/>
      <c r="KX116" s="9"/>
      <c r="KY116" s="9"/>
      <c r="KZ116" s="9"/>
      <c r="LA116" s="9"/>
      <c r="LB116" s="9"/>
      <c r="LC116" s="9"/>
      <c r="LD116" s="9"/>
      <c r="LE116" s="9"/>
      <c r="LF116" s="9"/>
      <c r="LG116" s="9"/>
      <c r="LH116" s="9"/>
      <c r="LI116" s="9"/>
      <c r="LJ116" s="9"/>
      <c r="LK116" s="9"/>
      <c r="LL116" s="9"/>
      <c r="LM116" s="9"/>
      <c r="LN116" s="9"/>
      <c r="LO116" s="9"/>
      <c r="LP116" s="9"/>
      <c r="LQ116" s="9"/>
      <c r="LR116" s="9"/>
      <c r="LS116" s="9"/>
      <c r="LT116" s="9"/>
      <c r="LU116" s="9"/>
      <c r="LV116" s="9"/>
      <c r="LW116" s="9"/>
      <c r="LX116" s="9"/>
      <c r="LY116" s="9"/>
      <c r="LZ116" s="9"/>
      <c r="MA116" s="9"/>
      <c r="MB116" s="9"/>
      <c r="MC116" s="9"/>
      <c r="MD116" s="9"/>
      <c r="ME116" s="9"/>
      <c r="MF116" s="9"/>
      <c r="MG116" s="9"/>
      <c r="MH116" s="9"/>
      <c r="MI116" s="9"/>
      <c r="MJ116" s="9"/>
      <c r="MK116" s="9"/>
    </row>
    <row r="117" spans="1:349" hidden="1" x14ac:dyDescent="0.25">
      <c r="A117" s="9"/>
      <c r="B117" s="9"/>
      <c r="C117" s="9"/>
      <c r="D117" s="9"/>
      <c r="E117" s="9"/>
      <c r="F117" s="9"/>
      <c r="G117" s="9"/>
      <c r="H117" s="9"/>
      <c r="I117" s="9"/>
      <c r="J117" s="9"/>
      <c r="K117" s="9"/>
      <c r="L117" s="9"/>
      <c r="M117" s="9"/>
      <c r="N117" s="9"/>
      <c r="O117" s="9"/>
      <c r="AG117" s="9"/>
      <c r="AH117" s="9"/>
      <c r="AI117" s="9"/>
      <c r="AJ117" s="9"/>
      <c r="AK117" s="9"/>
      <c r="AL117" s="9"/>
      <c r="AM117" s="9"/>
      <c r="AN117" s="9"/>
      <c r="AO117" s="9"/>
      <c r="AP117" s="9"/>
      <c r="AQ117" s="9"/>
      <c r="AR117" s="9"/>
      <c r="AS117" s="9"/>
      <c r="AT117" s="9"/>
      <c r="AU117" s="9"/>
      <c r="AV117" s="9"/>
      <c r="AW117" s="9"/>
      <c r="AX117" s="9"/>
      <c r="AY117" s="9"/>
      <c r="AZ117" s="9"/>
      <c r="BA117" s="9"/>
      <c r="BB117" s="9"/>
      <c r="BC117" s="9"/>
      <c r="BD117" s="9"/>
      <c r="BE117" s="9"/>
      <c r="BF117" s="9"/>
      <c r="BG117" s="9"/>
      <c r="BH117" s="9"/>
      <c r="BI117" s="9"/>
      <c r="BJ117" s="9"/>
      <c r="BK117" s="9"/>
      <c r="BL117" s="9"/>
      <c r="BM117" s="9"/>
      <c r="BN117" s="9"/>
      <c r="BO117" s="9"/>
      <c r="BP117" s="9"/>
      <c r="BQ117" s="9"/>
      <c r="BR117" s="9"/>
      <c r="BS117" s="9"/>
      <c r="BT117" s="9"/>
      <c r="BU117" s="9"/>
      <c r="BV117" s="9"/>
      <c r="BW117" s="9"/>
      <c r="BX117" s="9"/>
      <c r="BY117" s="9"/>
      <c r="BZ117" s="9"/>
      <c r="CA117" s="9"/>
      <c r="CB117" s="9"/>
      <c r="CC117" s="9"/>
      <c r="CD117" s="9"/>
      <c r="CE117" s="9"/>
      <c r="CF117" s="9"/>
      <c r="CG117" s="9"/>
      <c r="CH117" s="9"/>
      <c r="CI117" s="9"/>
      <c r="CJ117" s="9"/>
      <c r="CK117" s="9"/>
      <c r="CL117" s="9"/>
      <c r="CM117" s="9"/>
      <c r="CN117" s="9"/>
      <c r="CO117" s="9"/>
      <c r="CP117" s="9"/>
      <c r="CQ117" s="9"/>
      <c r="CR117" s="9"/>
      <c r="CS117" s="9"/>
      <c r="CT117" s="9"/>
      <c r="CU117" s="9"/>
      <c r="CV117" s="9"/>
      <c r="CW117" s="9"/>
      <c r="CX117" s="9"/>
      <c r="CY117" s="9"/>
      <c r="CZ117" s="9"/>
      <c r="DA117" s="9"/>
      <c r="DB117" s="9"/>
      <c r="DC117" s="9"/>
      <c r="DD117" s="9"/>
      <c r="DE117" s="9"/>
      <c r="DF117" s="9"/>
      <c r="DG117" s="9"/>
      <c r="DH117" s="9"/>
      <c r="DI117" s="9"/>
      <c r="DJ117" s="9"/>
      <c r="DK117" s="9"/>
      <c r="DL117" s="9"/>
      <c r="DM117" s="9"/>
      <c r="DN117" s="9"/>
      <c r="DO117" s="9"/>
      <c r="DP117" s="9"/>
      <c r="DQ117" s="9"/>
      <c r="DR117" s="9"/>
      <c r="DS117" s="9"/>
      <c r="DT117" s="9"/>
      <c r="DU117" s="9"/>
      <c r="DV117" s="9"/>
      <c r="DW117" s="9"/>
      <c r="DX117" s="9"/>
      <c r="DY117" s="9"/>
      <c r="DZ117" s="9"/>
      <c r="EA117" s="9"/>
      <c r="EB117" s="9"/>
      <c r="EC117" s="9"/>
      <c r="ED117" s="9"/>
      <c r="EE117" s="9"/>
      <c r="EF117" s="9"/>
      <c r="EG117" s="9"/>
      <c r="EH117" s="9"/>
      <c r="EI117" s="9"/>
      <c r="EJ117" s="9"/>
      <c r="EK117" s="9"/>
      <c r="EL117" s="9"/>
      <c r="EM117" s="9"/>
      <c r="EN117" s="9"/>
      <c r="EO117" s="9"/>
      <c r="EP117" s="9"/>
      <c r="EQ117" s="9"/>
      <c r="ER117" s="9"/>
      <c r="ES117" s="9"/>
      <c r="ET117" s="9"/>
      <c r="EU117" s="9"/>
      <c r="EV117" s="9"/>
      <c r="EW117" s="9"/>
      <c r="EX117" s="9"/>
      <c r="EY117" s="9"/>
      <c r="EZ117" s="9"/>
      <c r="FA117" s="9"/>
      <c r="FB117" s="9"/>
      <c r="FC117" s="9"/>
      <c r="FD117" s="9"/>
      <c r="FE117" s="9"/>
      <c r="FF117" s="9"/>
      <c r="FG117" s="9"/>
      <c r="FH117" s="9"/>
      <c r="FI117" s="9"/>
      <c r="FJ117" s="9"/>
      <c r="FK117" s="9"/>
      <c r="FL117" s="9"/>
      <c r="FM117" s="9"/>
      <c r="FN117" s="9"/>
      <c r="FO117" s="9"/>
      <c r="FP117" s="9"/>
      <c r="FQ117" s="9"/>
      <c r="FR117" s="9"/>
      <c r="FS117" s="9"/>
      <c r="FT117" s="9"/>
      <c r="FU117" s="9"/>
      <c r="FV117" s="9"/>
      <c r="FW117" s="9"/>
      <c r="FX117" s="9"/>
      <c r="FY117" s="9"/>
      <c r="FZ117" s="9"/>
      <c r="GA117" s="9"/>
      <c r="GB117" s="9"/>
      <c r="GC117" s="9"/>
      <c r="GD117" s="9"/>
      <c r="GE117" s="9"/>
      <c r="GF117" s="9"/>
      <c r="GG117" s="9"/>
      <c r="GH117" s="9"/>
      <c r="GI117" s="9"/>
      <c r="GJ117" s="9"/>
      <c r="GK117" s="9"/>
      <c r="GL117" s="9"/>
      <c r="GM117" s="9"/>
      <c r="GN117" s="9"/>
      <c r="GO117" s="9"/>
      <c r="GP117" s="9"/>
      <c r="GQ117" s="9"/>
      <c r="GR117" s="9"/>
      <c r="GS117" s="9"/>
      <c r="GT117" s="9"/>
      <c r="GU117" s="9"/>
      <c r="GV117" s="9"/>
      <c r="GW117" s="9"/>
      <c r="GX117" s="9"/>
      <c r="GY117" s="9"/>
      <c r="GZ117" s="9"/>
      <c r="HA117" s="9"/>
      <c r="HB117" s="9"/>
      <c r="HC117" s="9"/>
      <c r="HD117" s="9"/>
      <c r="HE117" s="9"/>
      <c r="HF117" s="9"/>
      <c r="HG117" s="9"/>
      <c r="HH117" s="9"/>
      <c r="HI117" s="9"/>
      <c r="HJ117" s="9"/>
      <c r="HK117" s="9"/>
      <c r="HL117" s="9"/>
      <c r="HM117" s="9"/>
      <c r="HN117" s="9"/>
      <c r="HO117" s="9"/>
      <c r="HP117" s="9"/>
      <c r="HQ117" s="9"/>
      <c r="HR117" s="9"/>
      <c r="HS117" s="9"/>
      <c r="HT117" s="9"/>
      <c r="HU117" s="9"/>
      <c r="HV117" s="9"/>
      <c r="HW117" s="9"/>
      <c r="HX117" s="9"/>
      <c r="HY117" s="9"/>
      <c r="HZ117" s="9"/>
      <c r="IA117" s="9"/>
      <c r="IB117" s="9"/>
      <c r="IC117" s="9"/>
      <c r="ID117" s="9"/>
      <c r="IE117" s="9"/>
      <c r="IF117" s="9"/>
      <c r="IG117" s="9"/>
      <c r="IH117" s="9"/>
      <c r="II117" s="9"/>
      <c r="IJ117" s="9"/>
      <c r="IK117" s="9"/>
      <c r="IL117" s="9"/>
      <c r="IM117" s="9"/>
      <c r="IN117" s="9"/>
      <c r="IO117" s="9"/>
      <c r="IP117" s="9"/>
      <c r="IQ117" s="9"/>
      <c r="IR117" s="9"/>
      <c r="IS117" s="9"/>
      <c r="IT117" s="9"/>
      <c r="IU117" s="9"/>
      <c r="IV117" s="9"/>
      <c r="IW117" s="9"/>
      <c r="IX117" s="9"/>
      <c r="IY117" s="9"/>
      <c r="IZ117" s="9"/>
      <c r="JA117" s="9"/>
      <c r="JB117" s="9"/>
      <c r="JC117" s="9"/>
      <c r="JD117" s="9"/>
      <c r="JE117" s="9"/>
      <c r="JF117" s="9"/>
      <c r="JG117" s="9"/>
      <c r="JH117" s="9"/>
      <c r="JI117" s="9"/>
      <c r="JJ117" s="9"/>
      <c r="JK117" s="9"/>
      <c r="JL117" s="9"/>
      <c r="JM117" s="9"/>
      <c r="JN117" s="9"/>
      <c r="JO117" s="9"/>
      <c r="JP117" s="9"/>
      <c r="JQ117" s="9"/>
      <c r="JR117" s="9"/>
      <c r="JS117" s="9"/>
      <c r="JT117" s="9"/>
      <c r="JU117" s="9"/>
      <c r="JV117" s="9"/>
      <c r="JW117" s="9"/>
      <c r="JX117" s="9"/>
      <c r="JY117" s="9"/>
      <c r="JZ117" s="9"/>
      <c r="KA117" s="9"/>
      <c r="KB117" s="9"/>
      <c r="KC117" s="9"/>
      <c r="KD117" s="9"/>
      <c r="KE117" s="9"/>
      <c r="KF117" s="9"/>
      <c r="KG117" s="9"/>
      <c r="KH117" s="9"/>
      <c r="KI117" s="9"/>
      <c r="KJ117" s="9"/>
      <c r="KK117" s="9"/>
      <c r="KL117" s="9"/>
      <c r="KM117" s="9"/>
      <c r="KN117" s="9"/>
      <c r="KO117" s="9"/>
      <c r="KP117" s="9"/>
      <c r="KQ117" s="9"/>
      <c r="KR117" s="9"/>
      <c r="KS117" s="9"/>
      <c r="KT117" s="9"/>
      <c r="KU117" s="9"/>
      <c r="KV117" s="9"/>
      <c r="KW117" s="9"/>
      <c r="KX117" s="9"/>
      <c r="KY117" s="9"/>
      <c r="KZ117" s="9"/>
      <c r="LA117" s="9"/>
      <c r="LB117" s="9"/>
      <c r="LC117" s="9"/>
      <c r="LD117" s="9"/>
      <c r="LE117" s="9"/>
      <c r="LF117" s="9"/>
      <c r="LG117" s="9"/>
      <c r="LH117" s="9"/>
      <c r="LI117" s="9"/>
      <c r="LJ117" s="9"/>
      <c r="LK117" s="9"/>
      <c r="LL117" s="9"/>
      <c r="LM117" s="9"/>
      <c r="LN117" s="9"/>
      <c r="LO117" s="9"/>
      <c r="LP117" s="9"/>
      <c r="LQ117" s="9"/>
      <c r="LR117" s="9"/>
      <c r="LS117" s="9"/>
      <c r="LT117" s="9"/>
      <c r="LU117" s="9"/>
      <c r="LV117" s="9"/>
      <c r="LW117" s="9"/>
      <c r="LX117" s="9"/>
      <c r="LY117" s="9"/>
      <c r="LZ117" s="9"/>
      <c r="MA117" s="9"/>
      <c r="MB117" s="9"/>
      <c r="MC117" s="9"/>
      <c r="MD117" s="9"/>
      <c r="ME117" s="9"/>
      <c r="MF117" s="9"/>
      <c r="MG117" s="9"/>
      <c r="MH117" s="9"/>
      <c r="MI117" s="9"/>
      <c r="MJ117" s="9"/>
      <c r="MK117" s="9"/>
    </row>
    <row r="118" spans="1:349" hidden="1" x14ac:dyDescent="0.25">
      <c r="A118" s="9"/>
      <c r="B118" s="9"/>
      <c r="C118" s="9"/>
      <c r="D118" s="9"/>
      <c r="E118" s="9"/>
      <c r="F118" s="9"/>
      <c r="G118" s="9"/>
      <c r="H118" s="9"/>
      <c r="I118" s="9"/>
      <c r="J118" s="9"/>
      <c r="K118" s="9"/>
      <c r="L118" s="9"/>
      <c r="M118" s="9"/>
      <c r="N118" s="9"/>
      <c r="O118" s="9"/>
      <c r="AG118" s="9"/>
      <c r="AH118" s="9"/>
      <c r="AI118" s="9"/>
      <c r="AJ118" s="9"/>
      <c r="AK118" s="9"/>
      <c r="AL118" s="9"/>
      <c r="AM118" s="9"/>
      <c r="AN118" s="9"/>
      <c r="AO118" s="9"/>
      <c r="AP118" s="9"/>
      <c r="AQ118" s="9"/>
      <c r="AR118" s="9"/>
      <c r="AS118" s="9"/>
      <c r="AT118" s="9"/>
      <c r="AU118" s="9"/>
      <c r="AV118" s="9"/>
      <c r="AW118" s="9"/>
      <c r="AX118" s="9"/>
      <c r="AY118" s="9"/>
      <c r="AZ118" s="9"/>
      <c r="BA118" s="9"/>
      <c r="BB118" s="9"/>
      <c r="BC118" s="9"/>
      <c r="BD118" s="9"/>
      <c r="BE118" s="9"/>
      <c r="BF118" s="9"/>
      <c r="BG118" s="9"/>
      <c r="BH118" s="9"/>
      <c r="BI118" s="9"/>
      <c r="BJ118" s="9"/>
      <c r="BK118" s="9"/>
      <c r="BL118" s="9"/>
      <c r="BM118" s="9"/>
      <c r="BN118" s="9"/>
      <c r="BO118" s="9"/>
      <c r="BP118" s="9"/>
      <c r="BQ118" s="9"/>
      <c r="BR118" s="9"/>
      <c r="BS118" s="9"/>
      <c r="BT118" s="9"/>
      <c r="BU118" s="9"/>
      <c r="BV118" s="9"/>
      <c r="BW118" s="9"/>
      <c r="BX118" s="9"/>
      <c r="BY118" s="9"/>
      <c r="BZ118" s="9"/>
      <c r="CA118" s="9"/>
      <c r="CB118" s="9"/>
      <c r="CC118" s="9"/>
      <c r="CD118" s="9"/>
      <c r="CE118" s="9"/>
      <c r="CF118" s="9"/>
      <c r="CG118" s="9"/>
      <c r="CH118" s="9"/>
      <c r="CI118" s="9"/>
      <c r="CJ118" s="9"/>
      <c r="CK118" s="9"/>
      <c r="CL118" s="9"/>
      <c r="CM118" s="9"/>
      <c r="CN118" s="9"/>
      <c r="CO118" s="9"/>
      <c r="CP118" s="9"/>
      <c r="CQ118" s="9"/>
      <c r="CR118" s="9"/>
      <c r="CS118" s="9"/>
      <c r="CT118" s="9"/>
      <c r="CU118" s="9"/>
      <c r="CV118" s="9"/>
      <c r="CW118" s="9"/>
      <c r="CX118" s="9"/>
      <c r="CY118" s="9"/>
      <c r="CZ118" s="9"/>
      <c r="DA118" s="9"/>
      <c r="DB118" s="9"/>
      <c r="DC118" s="9"/>
      <c r="DD118" s="9"/>
      <c r="DE118" s="9"/>
      <c r="DF118" s="9"/>
      <c r="DG118" s="9"/>
      <c r="DH118" s="9"/>
      <c r="DI118" s="9"/>
      <c r="DJ118" s="9"/>
      <c r="DK118" s="9"/>
      <c r="DL118" s="9"/>
      <c r="DM118" s="9"/>
      <c r="DN118" s="9"/>
      <c r="DO118" s="9"/>
      <c r="DP118" s="9"/>
      <c r="DQ118" s="9"/>
      <c r="DR118" s="9"/>
      <c r="DS118" s="9"/>
      <c r="DT118" s="9"/>
      <c r="DU118" s="9"/>
      <c r="DV118" s="9"/>
      <c r="DW118" s="9"/>
      <c r="DX118" s="9"/>
      <c r="DY118" s="9"/>
      <c r="DZ118" s="9"/>
      <c r="EA118" s="9"/>
      <c r="EB118" s="9"/>
      <c r="EC118" s="9"/>
      <c r="ED118" s="9"/>
      <c r="EE118" s="9"/>
      <c r="EF118" s="9"/>
      <c r="EG118" s="9"/>
      <c r="EH118" s="9"/>
      <c r="EI118" s="9"/>
      <c r="EJ118" s="9"/>
      <c r="EK118" s="9"/>
      <c r="EL118" s="9"/>
      <c r="EM118" s="9"/>
      <c r="EN118" s="9"/>
      <c r="EO118" s="9"/>
      <c r="EP118" s="9"/>
      <c r="EQ118" s="9"/>
      <c r="ER118" s="9"/>
      <c r="ES118" s="9"/>
      <c r="ET118" s="9"/>
      <c r="EU118" s="9"/>
      <c r="EV118" s="9"/>
      <c r="EW118" s="9"/>
      <c r="EX118" s="9"/>
      <c r="EY118" s="9"/>
      <c r="EZ118" s="9"/>
      <c r="FA118" s="9"/>
      <c r="FB118" s="9"/>
      <c r="FC118" s="9"/>
      <c r="FD118" s="9"/>
      <c r="FE118" s="9"/>
      <c r="FF118" s="9"/>
      <c r="FG118" s="9"/>
      <c r="FH118" s="9"/>
      <c r="FI118" s="9"/>
      <c r="FJ118" s="9"/>
      <c r="FK118" s="9"/>
      <c r="FL118" s="9"/>
      <c r="FM118" s="9"/>
      <c r="FN118" s="9"/>
      <c r="FO118" s="9"/>
      <c r="FP118" s="9"/>
      <c r="FQ118" s="9"/>
      <c r="FR118" s="9"/>
      <c r="FS118" s="9"/>
      <c r="FT118" s="9"/>
      <c r="FU118" s="9"/>
      <c r="FV118" s="9"/>
      <c r="FW118" s="9"/>
      <c r="FX118" s="9"/>
      <c r="FY118" s="9"/>
      <c r="FZ118" s="9"/>
      <c r="GA118" s="9"/>
      <c r="GB118" s="9"/>
      <c r="GC118" s="9"/>
      <c r="GD118" s="9"/>
      <c r="GE118" s="9"/>
      <c r="GF118" s="9"/>
      <c r="GG118" s="9"/>
      <c r="GH118" s="9"/>
      <c r="GI118" s="9"/>
      <c r="GJ118" s="9"/>
      <c r="GK118" s="9"/>
      <c r="GL118" s="9"/>
      <c r="GM118" s="9"/>
      <c r="GN118" s="9"/>
      <c r="GO118" s="9"/>
      <c r="GP118" s="9"/>
      <c r="GQ118" s="9"/>
      <c r="GR118" s="9"/>
      <c r="GS118" s="9"/>
      <c r="GT118" s="9"/>
      <c r="GU118" s="9"/>
      <c r="GV118" s="9"/>
      <c r="GW118" s="9"/>
      <c r="GX118" s="9"/>
      <c r="GY118" s="9"/>
      <c r="GZ118" s="9"/>
      <c r="HA118" s="9"/>
      <c r="HB118" s="9"/>
      <c r="HC118" s="9"/>
      <c r="HD118" s="9"/>
      <c r="HE118" s="9"/>
      <c r="HF118" s="9"/>
      <c r="HG118" s="9"/>
      <c r="HH118" s="9"/>
      <c r="HI118" s="9"/>
      <c r="HJ118" s="9"/>
      <c r="HK118" s="9"/>
      <c r="HL118" s="9"/>
      <c r="HM118" s="9"/>
      <c r="HN118" s="9"/>
      <c r="HO118" s="9"/>
      <c r="HP118" s="9"/>
      <c r="HQ118" s="9"/>
      <c r="HR118" s="9"/>
      <c r="HS118" s="9"/>
      <c r="HT118" s="9"/>
      <c r="HU118" s="9"/>
      <c r="HV118" s="9"/>
      <c r="HW118" s="9"/>
      <c r="HX118" s="9"/>
      <c r="HY118" s="9"/>
      <c r="HZ118" s="9"/>
      <c r="IA118" s="9"/>
      <c r="IB118" s="9"/>
      <c r="IC118" s="9"/>
      <c r="ID118" s="9"/>
      <c r="IE118" s="9"/>
      <c r="IF118" s="9"/>
      <c r="IG118" s="9"/>
      <c r="IH118" s="9"/>
      <c r="II118" s="9"/>
      <c r="IJ118" s="9"/>
      <c r="IK118" s="9"/>
      <c r="IL118" s="9"/>
      <c r="IM118" s="9"/>
      <c r="IN118" s="9"/>
      <c r="IO118" s="9"/>
      <c r="IP118" s="9"/>
      <c r="IQ118" s="9"/>
      <c r="IR118" s="9"/>
      <c r="IS118" s="9"/>
      <c r="IT118" s="9"/>
      <c r="IU118" s="9"/>
      <c r="IV118" s="9"/>
      <c r="IW118" s="9"/>
      <c r="IX118" s="9"/>
      <c r="IY118" s="9"/>
      <c r="IZ118" s="9"/>
      <c r="JA118" s="9"/>
      <c r="JB118" s="9"/>
      <c r="JC118" s="9"/>
      <c r="JD118" s="9"/>
      <c r="JE118" s="9"/>
      <c r="JF118" s="9"/>
      <c r="JG118" s="9"/>
      <c r="JH118" s="9"/>
      <c r="JI118" s="9"/>
      <c r="JJ118" s="9"/>
      <c r="JK118" s="9"/>
      <c r="JL118" s="9"/>
      <c r="JM118" s="9"/>
      <c r="JN118" s="9"/>
      <c r="JO118" s="9"/>
      <c r="JP118" s="9"/>
      <c r="JQ118" s="9"/>
      <c r="JR118" s="9"/>
      <c r="JS118" s="9"/>
      <c r="JT118" s="9"/>
      <c r="JU118" s="9"/>
      <c r="JV118" s="9"/>
      <c r="JW118" s="9"/>
      <c r="JX118" s="9"/>
      <c r="JY118" s="9"/>
      <c r="JZ118" s="9"/>
      <c r="KA118" s="9"/>
      <c r="KB118" s="9"/>
      <c r="KC118" s="9"/>
      <c r="KD118" s="9"/>
      <c r="KE118" s="9"/>
      <c r="KF118" s="9"/>
      <c r="KG118" s="9"/>
      <c r="KH118" s="9"/>
      <c r="KI118" s="9"/>
      <c r="KJ118" s="9"/>
      <c r="KK118" s="9"/>
      <c r="KL118" s="9"/>
      <c r="KM118" s="9"/>
      <c r="KN118" s="9"/>
      <c r="KO118" s="9"/>
      <c r="KP118" s="9"/>
      <c r="KQ118" s="9"/>
      <c r="KR118" s="9"/>
      <c r="KS118" s="9"/>
      <c r="KT118" s="9"/>
      <c r="KU118" s="9"/>
      <c r="KV118" s="9"/>
      <c r="KW118" s="9"/>
      <c r="KX118" s="9"/>
      <c r="KY118" s="9"/>
      <c r="KZ118" s="9"/>
      <c r="LA118" s="9"/>
      <c r="LB118" s="9"/>
      <c r="LC118" s="9"/>
      <c r="LD118" s="9"/>
      <c r="LE118" s="9"/>
      <c r="LF118" s="9"/>
      <c r="LG118" s="9"/>
      <c r="LH118" s="9"/>
      <c r="LI118" s="9"/>
      <c r="LJ118" s="9"/>
      <c r="LK118" s="9"/>
      <c r="LL118" s="9"/>
      <c r="LM118" s="9"/>
      <c r="LN118" s="9"/>
      <c r="LO118" s="9"/>
      <c r="LP118" s="9"/>
      <c r="LQ118" s="9"/>
      <c r="LR118" s="9"/>
      <c r="LS118" s="9"/>
      <c r="LT118" s="9"/>
      <c r="LU118" s="9"/>
      <c r="LV118" s="9"/>
      <c r="LW118" s="9"/>
      <c r="LX118" s="9"/>
      <c r="LY118" s="9"/>
      <c r="LZ118" s="9"/>
      <c r="MA118" s="9"/>
      <c r="MB118" s="9"/>
      <c r="MC118" s="9"/>
      <c r="MD118" s="9"/>
      <c r="ME118" s="9"/>
      <c r="MF118" s="9"/>
      <c r="MG118" s="9"/>
      <c r="MH118" s="9"/>
      <c r="MI118" s="9"/>
      <c r="MJ118" s="9"/>
      <c r="MK118" s="9"/>
    </row>
    <row r="119" spans="1:349" hidden="1" x14ac:dyDescent="0.25">
      <c r="A119" s="9"/>
      <c r="B119" s="9"/>
      <c r="C119" s="9"/>
      <c r="D119" s="9"/>
      <c r="E119" s="9"/>
      <c r="F119" s="9"/>
      <c r="G119" s="9"/>
      <c r="H119" s="9"/>
      <c r="I119" s="9"/>
      <c r="J119" s="9"/>
      <c r="K119" s="9"/>
      <c r="L119" s="9"/>
      <c r="M119" s="9"/>
      <c r="N119" s="9"/>
      <c r="O119" s="9"/>
      <c r="AG119" s="9"/>
      <c r="AH119" s="9"/>
      <c r="AI119" s="9"/>
      <c r="AJ119" s="9"/>
      <c r="AK119" s="9"/>
      <c r="AL119" s="9"/>
      <c r="AM119" s="9"/>
      <c r="AN119" s="9"/>
      <c r="AO119" s="9"/>
      <c r="AP119" s="9"/>
      <c r="AQ119" s="9"/>
      <c r="AR119" s="9"/>
      <c r="AS119" s="9"/>
      <c r="AT119" s="9"/>
      <c r="AU119" s="9"/>
      <c r="AV119" s="9"/>
      <c r="AW119" s="9"/>
      <c r="AX119" s="9"/>
      <c r="AY119" s="9"/>
      <c r="AZ119" s="9"/>
      <c r="BA119" s="9"/>
      <c r="BB119" s="9"/>
      <c r="BC119" s="9"/>
      <c r="BD119" s="9"/>
      <c r="BE119" s="9"/>
      <c r="BF119" s="9"/>
      <c r="BG119" s="9"/>
      <c r="BH119" s="9"/>
      <c r="BI119" s="9"/>
      <c r="BJ119" s="9"/>
      <c r="BK119" s="9"/>
      <c r="BL119" s="9"/>
      <c r="BM119" s="9"/>
      <c r="BN119" s="9"/>
      <c r="BO119" s="9"/>
      <c r="BP119" s="9"/>
      <c r="BQ119" s="9"/>
      <c r="BR119" s="9"/>
      <c r="BS119" s="9"/>
      <c r="BT119" s="9"/>
      <c r="BU119" s="9"/>
      <c r="BV119" s="9"/>
      <c r="BW119" s="9"/>
      <c r="BX119" s="9"/>
      <c r="BY119" s="9"/>
      <c r="BZ119" s="9"/>
      <c r="CA119" s="9"/>
      <c r="CB119" s="9"/>
      <c r="CC119" s="9"/>
      <c r="CD119" s="9"/>
      <c r="CE119" s="9"/>
      <c r="CF119" s="9"/>
      <c r="CG119" s="9"/>
      <c r="CH119" s="9"/>
      <c r="CI119" s="9"/>
      <c r="CJ119" s="9"/>
      <c r="CK119" s="9"/>
      <c r="CL119" s="9"/>
      <c r="CM119" s="9"/>
      <c r="CN119" s="9"/>
      <c r="CO119" s="9"/>
      <c r="CP119" s="9"/>
      <c r="CQ119" s="9"/>
      <c r="CR119" s="9"/>
      <c r="CS119" s="9"/>
      <c r="CT119" s="9"/>
      <c r="CU119" s="9"/>
      <c r="CV119" s="9"/>
      <c r="CW119" s="9"/>
      <c r="CX119" s="9"/>
      <c r="CY119" s="9"/>
      <c r="CZ119" s="9"/>
      <c r="DA119" s="9"/>
      <c r="DB119" s="9"/>
      <c r="DC119" s="9"/>
      <c r="DD119" s="9"/>
      <c r="DE119" s="9"/>
      <c r="DF119" s="9"/>
      <c r="DG119" s="9"/>
      <c r="DH119" s="9"/>
      <c r="DI119" s="9"/>
      <c r="DJ119" s="9"/>
      <c r="DK119" s="9"/>
      <c r="DL119" s="9"/>
      <c r="DM119" s="9"/>
      <c r="DN119" s="9"/>
      <c r="DO119" s="9"/>
      <c r="DP119" s="9"/>
      <c r="DQ119" s="9"/>
      <c r="DR119" s="9"/>
      <c r="DS119" s="9"/>
      <c r="DT119" s="9"/>
      <c r="DU119" s="9"/>
      <c r="DV119" s="9"/>
      <c r="DW119" s="9"/>
      <c r="DX119" s="9"/>
      <c r="DY119" s="9"/>
      <c r="DZ119" s="9"/>
      <c r="EA119" s="9"/>
      <c r="EB119" s="9"/>
      <c r="EC119" s="9"/>
      <c r="ED119" s="9"/>
      <c r="EE119" s="9"/>
      <c r="EF119" s="9"/>
      <c r="EG119" s="9"/>
      <c r="EH119" s="9"/>
      <c r="EI119" s="9"/>
      <c r="EJ119" s="9"/>
      <c r="EK119" s="9"/>
      <c r="EL119" s="9"/>
      <c r="EM119" s="9"/>
      <c r="EN119" s="9"/>
      <c r="EO119" s="9"/>
      <c r="EP119" s="9"/>
      <c r="EQ119" s="9"/>
      <c r="ER119" s="9"/>
      <c r="ES119" s="9"/>
      <c r="ET119" s="9"/>
      <c r="EU119" s="9"/>
      <c r="EV119" s="9"/>
      <c r="EW119" s="9"/>
      <c r="EX119" s="9"/>
      <c r="EY119" s="9"/>
      <c r="EZ119" s="9"/>
      <c r="FA119" s="9"/>
      <c r="FB119" s="9"/>
      <c r="FC119" s="9"/>
      <c r="FD119" s="9"/>
      <c r="FE119" s="9"/>
      <c r="FF119" s="9"/>
      <c r="FG119" s="9"/>
      <c r="FH119" s="9"/>
      <c r="FI119" s="9"/>
      <c r="FJ119" s="9"/>
      <c r="FK119" s="9"/>
      <c r="FL119" s="9"/>
      <c r="FM119" s="9"/>
      <c r="FN119" s="9"/>
      <c r="FO119" s="9"/>
      <c r="FP119" s="9"/>
      <c r="FQ119" s="9"/>
      <c r="FR119" s="9"/>
      <c r="FS119" s="9"/>
      <c r="FT119" s="9"/>
      <c r="FU119" s="9"/>
      <c r="FV119" s="9"/>
      <c r="FW119" s="9"/>
      <c r="FX119" s="9"/>
      <c r="FY119" s="9"/>
      <c r="FZ119" s="9"/>
      <c r="GA119" s="9"/>
      <c r="GB119" s="9"/>
      <c r="GC119" s="9"/>
      <c r="GD119" s="9"/>
      <c r="GE119" s="9"/>
      <c r="GF119" s="9"/>
      <c r="GG119" s="9"/>
      <c r="GH119" s="9"/>
      <c r="GI119" s="9"/>
      <c r="GJ119" s="9"/>
      <c r="GK119" s="9"/>
      <c r="GL119" s="9"/>
      <c r="GM119" s="9"/>
      <c r="GN119" s="9"/>
      <c r="GO119" s="9"/>
      <c r="GP119" s="9"/>
      <c r="GQ119" s="9"/>
      <c r="GR119" s="9"/>
      <c r="GS119" s="9"/>
      <c r="GT119" s="9"/>
      <c r="GU119" s="9"/>
      <c r="GV119" s="9"/>
      <c r="GW119" s="9"/>
      <c r="GX119" s="9"/>
      <c r="GY119" s="9"/>
      <c r="GZ119" s="9"/>
      <c r="HA119" s="9"/>
      <c r="HB119" s="9"/>
      <c r="HC119" s="9"/>
      <c r="HD119" s="9"/>
      <c r="HE119" s="9"/>
      <c r="HF119" s="9"/>
      <c r="HG119" s="9"/>
      <c r="HH119" s="9"/>
      <c r="HI119" s="9"/>
      <c r="HJ119" s="9"/>
      <c r="HK119" s="9"/>
      <c r="HL119" s="9"/>
      <c r="HM119" s="9"/>
      <c r="HN119" s="9"/>
      <c r="HO119" s="9"/>
      <c r="HP119" s="9"/>
      <c r="HQ119" s="9"/>
      <c r="HR119" s="9"/>
      <c r="HS119" s="9"/>
      <c r="HT119" s="9"/>
      <c r="HU119" s="9"/>
      <c r="HV119" s="9"/>
      <c r="HW119" s="9"/>
      <c r="HX119" s="9"/>
      <c r="HY119" s="9"/>
      <c r="HZ119" s="9"/>
      <c r="IA119" s="9"/>
      <c r="IB119" s="9"/>
      <c r="IC119" s="9"/>
      <c r="ID119" s="9"/>
      <c r="IE119" s="9"/>
      <c r="IF119" s="9"/>
      <c r="IG119" s="9"/>
      <c r="IH119" s="9"/>
      <c r="II119" s="9"/>
      <c r="IJ119" s="9"/>
      <c r="IK119" s="9"/>
      <c r="IL119" s="9"/>
      <c r="IM119" s="9"/>
      <c r="IN119" s="9"/>
      <c r="IO119" s="9"/>
      <c r="IP119" s="9"/>
      <c r="IQ119" s="9"/>
      <c r="IR119" s="9"/>
      <c r="IS119" s="9"/>
      <c r="IT119" s="9"/>
      <c r="IU119" s="9"/>
      <c r="IV119" s="9"/>
      <c r="IW119" s="9"/>
      <c r="IX119" s="9"/>
      <c r="IY119" s="9"/>
      <c r="IZ119" s="9"/>
      <c r="JA119" s="9"/>
      <c r="JB119" s="9"/>
      <c r="JC119" s="9"/>
      <c r="JD119" s="9"/>
      <c r="JE119" s="9"/>
      <c r="JF119" s="9"/>
      <c r="JG119" s="9"/>
      <c r="JH119" s="9"/>
      <c r="JI119" s="9"/>
      <c r="JJ119" s="9"/>
      <c r="JK119" s="9"/>
      <c r="JL119" s="9"/>
      <c r="JM119" s="9"/>
      <c r="JN119" s="9"/>
      <c r="JO119" s="9"/>
      <c r="JP119" s="9"/>
      <c r="JQ119" s="9"/>
      <c r="JR119" s="9"/>
      <c r="JS119" s="9"/>
      <c r="JT119" s="9"/>
      <c r="JU119" s="9"/>
      <c r="JV119" s="9"/>
      <c r="JW119" s="9"/>
      <c r="JX119" s="9"/>
      <c r="JY119" s="9"/>
      <c r="JZ119" s="9"/>
      <c r="KA119" s="9"/>
      <c r="KB119" s="9"/>
      <c r="KC119" s="9"/>
      <c r="KD119" s="9"/>
      <c r="KE119" s="9"/>
      <c r="KF119" s="9"/>
      <c r="KG119" s="9"/>
      <c r="KH119" s="9"/>
      <c r="KI119" s="9"/>
      <c r="KJ119" s="9"/>
      <c r="KK119" s="9"/>
      <c r="KL119" s="9"/>
      <c r="KM119" s="9"/>
      <c r="KN119" s="9"/>
      <c r="KO119" s="9"/>
      <c r="KP119" s="9"/>
      <c r="KQ119" s="9"/>
      <c r="KR119" s="9"/>
      <c r="KS119" s="9"/>
      <c r="KT119" s="9"/>
      <c r="KU119" s="9"/>
      <c r="KV119" s="9"/>
      <c r="KW119" s="9"/>
      <c r="KX119" s="9"/>
      <c r="KY119" s="9"/>
      <c r="KZ119" s="9"/>
      <c r="LA119" s="9"/>
      <c r="LB119" s="9"/>
      <c r="LC119" s="9"/>
      <c r="LD119" s="9"/>
      <c r="LE119" s="9"/>
      <c r="LF119" s="9"/>
      <c r="LG119" s="9"/>
      <c r="LH119" s="9"/>
      <c r="LI119" s="9"/>
      <c r="LJ119" s="9"/>
      <c r="LK119" s="9"/>
      <c r="LL119" s="9"/>
      <c r="LM119" s="9"/>
      <c r="LN119" s="9"/>
      <c r="LO119" s="9"/>
      <c r="LP119" s="9"/>
      <c r="LQ119" s="9"/>
      <c r="LR119" s="9"/>
      <c r="LS119" s="9"/>
      <c r="LT119" s="9"/>
      <c r="LU119" s="9"/>
      <c r="LV119" s="9"/>
      <c r="LW119" s="9"/>
      <c r="LX119" s="9"/>
      <c r="LY119" s="9"/>
      <c r="LZ119" s="9"/>
      <c r="MA119" s="9"/>
      <c r="MB119" s="9"/>
      <c r="MC119" s="9"/>
      <c r="MD119" s="9"/>
      <c r="ME119" s="9"/>
      <c r="MF119" s="9"/>
      <c r="MG119" s="9"/>
      <c r="MH119" s="9"/>
      <c r="MI119" s="9"/>
      <c r="MJ119" s="9"/>
      <c r="MK119" s="9"/>
    </row>
    <row r="120" spans="1:349" hidden="1" x14ac:dyDescent="0.25">
      <c r="A120" s="9"/>
      <c r="B120" s="9"/>
      <c r="C120" s="9"/>
      <c r="D120" s="9"/>
      <c r="E120" s="9"/>
      <c r="F120" s="9"/>
      <c r="G120" s="9"/>
      <c r="H120" s="9"/>
      <c r="I120" s="9"/>
      <c r="J120" s="9"/>
      <c r="K120" s="9"/>
      <c r="L120" s="9"/>
      <c r="M120" s="9"/>
      <c r="N120" s="9"/>
      <c r="O120" s="9"/>
      <c r="AG120" s="9"/>
      <c r="AH120" s="9"/>
      <c r="AI120" s="9"/>
      <c r="AJ120" s="9"/>
      <c r="AK120" s="9"/>
      <c r="AL120" s="9"/>
      <c r="AM120" s="9"/>
      <c r="AN120" s="9"/>
      <c r="AO120" s="9"/>
      <c r="AP120" s="9"/>
      <c r="AQ120" s="9"/>
      <c r="AR120" s="9"/>
      <c r="AS120" s="9"/>
      <c r="AT120" s="9"/>
      <c r="AU120" s="9"/>
      <c r="AV120" s="9"/>
      <c r="AW120" s="9"/>
      <c r="AX120" s="9"/>
      <c r="AY120" s="9"/>
      <c r="AZ120" s="9"/>
      <c r="BA120" s="9"/>
      <c r="BB120" s="9"/>
      <c r="BC120" s="9"/>
      <c r="BD120" s="9"/>
      <c r="BE120" s="9"/>
      <c r="BF120" s="9"/>
      <c r="BG120" s="9"/>
      <c r="BH120" s="9"/>
      <c r="BI120" s="9"/>
      <c r="BJ120" s="9"/>
      <c r="BK120" s="9"/>
      <c r="BL120" s="9"/>
      <c r="BM120" s="9"/>
      <c r="BN120" s="9"/>
      <c r="BO120" s="9"/>
      <c r="BP120" s="9"/>
      <c r="BQ120" s="9"/>
      <c r="BR120" s="9"/>
      <c r="BS120" s="9"/>
      <c r="BT120" s="9"/>
      <c r="BU120" s="9"/>
      <c r="BV120" s="9"/>
      <c r="BW120" s="9"/>
      <c r="BX120" s="9"/>
      <c r="BY120" s="9"/>
      <c r="BZ120" s="9"/>
      <c r="CA120" s="9"/>
      <c r="CB120" s="9"/>
      <c r="CC120" s="9"/>
      <c r="CD120" s="9"/>
      <c r="CE120" s="9"/>
      <c r="CF120" s="9"/>
      <c r="CG120" s="9"/>
      <c r="CH120" s="9"/>
      <c r="CI120" s="9"/>
      <c r="CJ120" s="9"/>
      <c r="CK120" s="9"/>
      <c r="CL120" s="9"/>
      <c r="CM120" s="9"/>
      <c r="CN120" s="9"/>
      <c r="CO120" s="9"/>
      <c r="CP120" s="9"/>
      <c r="CQ120" s="9"/>
      <c r="CR120" s="9"/>
      <c r="CS120" s="9"/>
      <c r="CT120" s="9"/>
      <c r="CU120" s="9"/>
      <c r="CV120" s="9"/>
      <c r="CW120" s="9"/>
      <c r="CX120" s="9"/>
      <c r="CY120" s="9"/>
      <c r="CZ120" s="9"/>
      <c r="DA120" s="9"/>
      <c r="DB120" s="9"/>
      <c r="DC120" s="9"/>
      <c r="DD120" s="9"/>
      <c r="DE120" s="9"/>
      <c r="DF120" s="9"/>
      <c r="DG120" s="9"/>
      <c r="DH120" s="9"/>
      <c r="DI120" s="9"/>
      <c r="DJ120" s="9"/>
      <c r="DK120" s="9"/>
      <c r="DL120" s="9"/>
      <c r="DM120" s="9"/>
      <c r="DN120" s="9"/>
      <c r="DO120" s="9"/>
      <c r="DP120" s="9"/>
      <c r="DQ120" s="9"/>
      <c r="DR120" s="9"/>
      <c r="DS120" s="9"/>
      <c r="DT120" s="9"/>
      <c r="DU120" s="9"/>
      <c r="DV120" s="9"/>
      <c r="DW120" s="9"/>
      <c r="DX120" s="9"/>
      <c r="DY120" s="9"/>
      <c r="DZ120" s="9"/>
      <c r="EA120" s="9"/>
      <c r="EB120" s="9"/>
      <c r="EC120" s="9"/>
      <c r="ED120" s="9"/>
      <c r="EE120" s="9"/>
      <c r="EF120" s="9"/>
      <c r="EG120" s="9"/>
      <c r="EH120" s="9"/>
      <c r="EI120" s="9"/>
      <c r="EJ120" s="9"/>
      <c r="EK120" s="9"/>
      <c r="EL120" s="9"/>
      <c r="EM120" s="9"/>
      <c r="EN120" s="9"/>
      <c r="EO120" s="9"/>
      <c r="EP120" s="9"/>
      <c r="EQ120" s="9"/>
      <c r="ER120" s="9"/>
      <c r="ES120" s="9"/>
      <c r="ET120" s="9"/>
      <c r="EU120" s="9"/>
      <c r="EV120" s="9"/>
      <c r="EW120" s="9"/>
      <c r="EX120" s="9"/>
      <c r="EY120" s="9"/>
      <c r="EZ120" s="9"/>
      <c r="FA120" s="9"/>
      <c r="FB120" s="9"/>
      <c r="FC120" s="9"/>
      <c r="FD120" s="9"/>
      <c r="FE120" s="9"/>
      <c r="FF120" s="9"/>
      <c r="FG120" s="9"/>
      <c r="FH120" s="9"/>
      <c r="FI120" s="9"/>
      <c r="FJ120" s="9"/>
      <c r="FK120" s="9"/>
      <c r="FL120" s="9"/>
      <c r="FM120" s="9"/>
      <c r="FN120" s="9"/>
      <c r="FO120" s="9"/>
      <c r="FP120" s="9"/>
      <c r="FQ120" s="9"/>
      <c r="FR120" s="9"/>
      <c r="FS120" s="9"/>
      <c r="FT120" s="9"/>
      <c r="FU120" s="9"/>
      <c r="FV120" s="9"/>
      <c r="FW120" s="9"/>
      <c r="FX120" s="9"/>
      <c r="FY120" s="9"/>
      <c r="FZ120" s="9"/>
      <c r="GA120" s="9"/>
      <c r="GB120" s="9"/>
      <c r="GC120" s="9"/>
      <c r="GD120" s="9"/>
      <c r="GE120" s="9"/>
      <c r="GF120" s="9"/>
      <c r="GG120" s="9"/>
      <c r="GH120" s="9"/>
      <c r="GI120" s="9"/>
      <c r="GJ120" s="9"/>
      <c r="GK120" s="9"/>
      <c r="GL120" s="9"/>
      <c r="GM120" s="9"/>
      <c r="GN120" s="9"/>
      <c r="GO120" s="9"/>
      <c r="GP120" s="9"/>
      <c r="GQ120" s="9"/>
      <c r="GR120" s="9"/>
      <c r="GS120" s="9"/>
      <c r="GT120" s="9"/>
      <c r="GU120" s="9"/>
      <c r="GV120" s="9"/>
      <c r="GW120" s="9"/>
      <c r="GX120" s="9"/>
      <c r="GY120" s="9"/>
      <c r="GZ120" s="9"/>
      <c r="HA120" s="9"/>
      <c r="HB120" s="9"/>
      <c r="HC120" s="9"/>
      <c r="HD120" s="9"/>
      <c r="HE120" s="9"/>
      <c r="HF120" s="9"/>
      <c r="HG120" s="9"/>
      <c r="HH120" s="9"/>
      <c r="HI120" s="9"/>
      <c r="HJ120" s="9"/>
      <c r="HK120" s="9"/>
      <c r="HL120" s="9"/>
      <c r="HM120" s="9"/>
      <c r="HN120" s="9"/>
      <c r="HO120" s="9"/>
      <c r="HP120" s="9"/>
      <c r="HQ120" s="9"/>
      <c r="HR120" s="9"/>
      <c r="HS120" s="9"/>
      <c r="HT120" s="9"/>
      <c r="HU120" s="9"/>
      <c r="HV120" s="9"/>
      <c r="HW120" s="9"/>
      <c r="HX120" s="9"/>
      <c r="HY120" s="9"/>
      <c r="HZ120" s="9"/>
      <c r="IA120" s="9"/>
      <c r="IB120" s="9"/>
      <c r="IC120" s="9"/>
      <c r="ID120" s="9"/>
      <c r="IE120" s="9"/>
      <c r="IF120" s="9"/>
      <c r="IG120" s="9"/>
      <c r="IH120" s="9"/>
      <c r="II120" s="9"/>
      <c r="IJ120" s="9"/>
      <c r="IK120" s="9"/>
      <c r="IL120" s="9"/>
      <c r="IM120" s="9"/>
      <c r="IN120" s="9"/>
      <c r="IO120" s="9"/>
      <c r="IP120" s="9"/>
      <c r="IQ120" s="9"/>
      <c r="IR120" s="9"/>
      <c r="IS120" s="9"/>
      <c r="IT120" s="9"/>
      <c r="IU120" s="9"/>
      <c r="IV120" s="9"/>
      <c r="IW120" s="9"/>
      <c r="IX120" s="9"/>
      <c r="IY120" s="9"/>
      <c r="IZ120" s="9"/>
      <c r="JA120" s="9"/>
      <c r="JB120" s="9"/>
      <c r="JC120" s="9"/>
      <c r="JD120" s="9"/>
      <c r="JE120" s="9"/>
      <c r="JF120" s="9"/>
      <c r="JG120" s="9"/>
      <c r="JH120" s="9"/>
      <c r="JI120" s="9"/>
      <c r="JJ120" s="9"/>
      <c r="JK120" s="9"/>
      <c r="JL120" s="9"/>
      <c r="JM120" s="9"/>
      <c r="JN120" s="9"/>
      <c r="JO120" s="9"/>
      <c r="JP120" s="9"/>
      <c r="JQ120" s="9"/>
      <c r="JR120" s="9"/>
      <c r="JS120" s="9"/>
      <c r="JT120" s="9"/>
      <c r="JU120" s="9"/>
      <c r="JV120" s="9"/>
      <c r="JW120" s="9"/>
      <c r="JX120" s="9"/>
      <c r="JY120" s="9"/>
      <c r="JZ120" s="9"/>
      <c r="KA120" s="9"/>
      <c r="KB120" s="9"/>
      <c r="KC120" s="9"/>
      <c r="KD120" s="9"/>
      <c r="KE120" s="9"/>
      <c r="KF120" s="9"/>
      <c r="KG120" s="9"/>
      <c r="KH120" s="9"/>
      <c r="KI120" s="9"/>
      <c r="KJ120" s="9"/>
      <c r="KK120" s="9"/>
      <c r="KL120" s="9"/>
      <c r="KM120" s="9"/>
      <c r="KN120" s="9"/>
      <c r="KO120" s="9"/>
      <c r="KP120" s="9"/>
      <c r="KQ120" s="9"/>
      <c r="KR120" s="9"/>
      <c r="KS120" s="9"/>
      <c r="KT120" s="9"/>
      <c r="KU120" s="9"/>
      <c r="KV120" s="9"/>
      <c r="KW120" s="9"/>
      <c r="KX120" s="9"/>
      <c r="KY120" s="9"/>
      <c r="KZ120" s="9"/>
      <c r="LA120" s="9"/>
      <c r="LB120" s="9"/>
      <c r="LC120" s="9"/>
      <c r="LD120" s="9"/>
      <c r="LE120" s="9"/>
      <c r="LF120" s="9"/>
      <c r="LG120" s="9"/>
      <c r="LH120" s="9"/>
      <c r="LI120" s="9"/>
      <c r="LJ120" s="9"/>
      <c r="LK120" s="9"/>
      <c r="LL120" s="9"/>
      <c r="LM120" s="9"/>
      <c r="LN120" s="9"/>
      <c r="LO120" s="9"/>
      <c r="LP120" s="9"/>
      <c r="LQ120" s="9"/>
      <c r="LR120" s="9"/>
      <c r="LS120" s="9"/>
      <c r="LT120" s="9"/>
      <c r="LU120" s="9"/>
      <c r="LV120" s="9"/>
      <c r="LW120" s="9"/>
      <c r="LX120" s="9"/>
      <c r="LY120" s="9"/>
      <c r="LZ120" s="9"/>
      <c r="MA120" s="9"/>
      <c r="MB120" s="9"/>
      <c r="MC120" s="9"/>
      <c r="MD120" s="9"/>
      <c r="ME120" s="9"/>
      <c r="MF120" s="9"/>
      <c r="MG120" s="9"/>
      <c r="MH120" s="9"/>
      <c r="MI120" s="9"/>
      <c r="MJ120" s="9"/>
      <c r="MK120" s="9"/>
    </row>
    <row r="121" spans="1:349" hidden="1" x14ac:dyDescent="0.25">
      <c r="A121" s="9"/>
      <c r="B121" s="9"/>
      <c r="C121" s="9"/>
      <c r="D121" s="9"/>
      <c r="E121" s="9"/>
      <c r="F121" s="9"/>
      <c r="G121" s="9"/>
      <c r="H121" s="9"/>
      <c r="I121" s="9"/>
      <c r="J121" s="9"/>
      <c r="K121" s="9"/>
      <c r="L121" s="9"/>
      <c r="M121" s="9"/>
      <c r="N121" s="9"/>
      <c r="O121" s="9"/>
      <c r="AG121" s="9"/>
      <c r="AH121" s="9"/>
      <c r="AI121" s="9"/>
      <c r="AJ121" s="9"/>
      <c r="AK121" s="9"/>
      <c r="AL121" s="9"/>
      <c r="AM121" s="9"/>
      <c r="AN121" s="9"/>
      <c r="AO121" s="9"/>
      <c r="AP121" s="9"/>
      <c r="AQ121" s="9"/>
      <c r="AR121" s="9"/>
      <c r="AS121" s="9"/>
      <c r="AT121" s="9"/>
      <c r="AU121" s="9"/>
      <c r="AV121" s="9"/>
      <c r="AW121" s="9"/>
      <c r="AX121" s="9"/>
      <c r="AY121" s="9"/>
      <c r="AZ121" s="9"/>
      <c r="BA121" s="9"/>
      <c r="BB121" s="9"/>
      <c r="BC121" s="9"/>
      <c r="BD121" s="9"/>
      <c r="BE121" s="9"/>
      <c r="BF121" s="9"/>
      <c r="BG121" s="9"/>
      <c r="BH121" s="9"/>
      <c r="BI121" s="9"/>
      <c r="BJ121" s="9"/>
      <c r="BK121" s="9"/>
      <c r="BL121" s="9"/>
      <c r="BM121" s="9"/>
      <c r="BN121" s="9"/>
      <c r="BO121" s="9"/>
      <c r="BP121" s="9"/>
      <c r="BQ121" s="9"/>
      <c r="BR121" s="9"/>
      <c r="BS121" s="9"/>
      <c r="BT121" s="9"/>
      <c r="BU121" s="9"/>
      <c r="BV121" s="9"/>
      <c r="BW121" s="9"/>
      <c r="BX121" s="9"/>
      <c r="BY121" s="9"/>
      <c r="BZ121" s="9"/>
      <c r="CA121" s="9"/>
      <c r="CB121" s="9"/>
      <c r="CC121" s="9"/>
      <c r="CD121" s="9"/>
      <c r="CE121" s="9"/>
      <c r="CF121" s="9"/>
      <c r="CG121" s="9"/>
      <c r="CH121" s="9"/>
      <c r="CI121" s="9"/>
      <c r="CJ121" s="9"/>
      <c r="CK121" s="9"/>
      <c r="CL121" s="9"/>
      <c r="CM121" s="9"/>
      <c r="CN121" s="9"/>
      <c r="CO121" s="9"/>
      <c r="CP121" s="9"/>
      <c r="CQ121" s="9"/>
      <c r="CR121" s="9"/>
      <c r="CS121" s="9"/>
      <c r="CT121" s="9"/>
      <c r="CU121" s="9"/>
      <c r="CV121" s="9"/>
      <c r="CW121" s="9"/>
      <c r="CX121" s="9"/>
      <c r="CY121" s="9"/>
      <c r="CZ121" s="9"/>
      <c r="DA121" s="9"/>
      <c r="DB121" s="9"/>
      <c r="DC121" s="9"/>
      <c r="DD121" s="9"/>
      <c r="DE121" s="9"/>
      <c r="DF121" s="9"/>
      <c r="DG121" s="9"/>
      <c r="DH121" s="9"/>
      <c r="DI121" s="9"/>
      <c r="DJ121" s="9"/>
      <c r="DK121" s="9"/>
      <c r="DL121" s="9"/>
      <c r="DM121" s="9"/>
      <c r="DN121" s="9"/>
      <c r="DO121" s="9"/>
      <c r="DP121" s="9"/>
      <c r="DQ121" s="9"/>
      <c r="DR121" s="9"/>
      <c r="DS121" s="9"/>
      <c r="DT121" s="9"/>
      <c r="DU121" s="9"/>
      <c r="DV121" s="9"/>
      <c r="DW121" s="9"/>
      <c r="DX121" s="9"/>
      <c r="DY121" s="9"/>
      <c r="DZ121" s="9"/>
      <c r="EA121" s="9"/>
      <c r="EB121" s="9"/>
      <c r="EC121" s="9"/>
      <c r="ED121" s="9"/>
      <c r="EE121" s="9"/>
      <c r="EF121" s="9"/>
      <c r="EG121" s="9"/>
      <c r="EH121" s="9"/>
      <c r="EI121" s="9"/>
      <c r="EJ121" s="9"/>
      <c r="EK121" s="9"/>
      <c r="EL121" s="9"/>
      <c r="EM121" s="9"/>
      <c r="EN121" s="9"/>
      <c r="EO121" s="9"/>
      <c r="EP121" s="9"/>
      <c r="EQ121" s="9"/>
      <c r="ER121" s="9"/>
      <c r="ES121" s="9"/>
      <c r="ET121" s="9"/>
      <c r="EU121" s="9"/>
      <c r="EV121" s="9"/>
      <c r="EW121" s="9"/>
      <c r="EX121" s="9"/>
      <c r="EY121" s="9"/>
      <c r="EZ121" s="9"/>
      <c r="FA121" s="9"/>
      <c r="FB121" s="9"/>
      <c r="FC121" s="9"/>
      <c r="FD121" s="9"/>
      <c r="FE121" s="9"/>
      <c r="FF121" s="9"/>
      <c r="FG121" s="9"/>
      <c r="FH121" s="9"/>
      <c r="FI121" s="9"/>
      <c r="FJ121" s="9"/>
      <c r="FK121" s="9"/>
      <c r="FL121" s="9"/>
      <c r="FM121" s="9"/>
      <c r="FN121" s="9"/>
      <c r="FO121" s="9"/>
      <c r="FP121" s="9"/>
      <c r="FQ121" s="9"/>
      <c r="FR121" s="9"/>
      <c r="FS121" s="9"/>
      <c r="FT121" s="9"/>
      <c r="FU121" s="9"/>
      <c r="FV121" s="9"/>
      <c r="FW121" s="9"/>
      <c r="FX121" s="9"/>
      <c r="FY121" s="9"/>
      <c r="FZ121" s="9"/>
      <c r="GA121" s="9"/>
      <c r="GB121" s="9"/>
      <c r="GC121" s="9"/>
      <c r="GD121" s="9"/>
      <c r="GE121" s="9"/>
      <c r="GF121" s="9"/>
      <c r="GG121" s="9"/>
      <c r="GH121" s="9"/>
      <c r="GI121" s="9"/>
      <c r="GJ121" s="9"/>
      <c r="GK121" s="9"/>
      <c r="GL121" s="9"/>
      <c r="GM121" s="9"/>
      <c r="GN121" s="9"/>
      <c r="GO121" s="9"/>
      <c r="GP121" s="9"/>
      <c r="GQ121" s="9"/>
      <c r="GR121" s="9"/>
      <c r="GS121" s="9"/>
      <c r="GT121" s="9"/>
      <c r="GU121" s="9"/>
      <c r="GV121" s="9"/>
      <c r="GW121" s="9"/>
      <c r="GX121" s="9"/>
      <c r="GY121" s="9"/>
      <c r="GZ121" s="9"/>
      <c r="HA121" s="9"/>
      <c r="HB121" s="9"/>
      <c r="HC121" s="9"/>
      <c r="HD121" s="9"/>
      <c r="HE121" s="9"/>
      <c r="HF121" s="9"/>
      <c r="HG121" s="9"/>
      <c r="HH121" s="9"/>
      <c r="HI121" s="9"/>
      <c r="HJ121" s="9"/>
      <c r="HK121" s="9"/>
      <c r="HL121" s="9"/>
      <c r="HM121" s="9"/>
      <c r="HN121" s="9"/>
      <c r="HO121" s="9"/>
      <c r="HP121" s="9"/>
      <c r="HQ121" s="9"/>
      <c r="HR121" s="9"/>
      <c r="HS121" s="9"/>
      <c r="HT121" s="9"/>
      <c r="HU121" s="9"/>
      <c r="HV121" s="9"/>
      <c r="HW121" s="9"/>
      <c r="HX121" s="9"/>
      <c r="HY121" s="9"/>
      <c r="HZ121" s="9"/>
      <c r="IA121" s="9"/>
      <c r="IB121" s="9"/>
      <c r="IC121" s="9"/>
      <c r="ID121" s="9"/>
      <c r="IE121" s="9"/>
      <c r="IF121" s="9"/>
      <c r="IG121" s="9"/>
      <c r="IH121" s="9"/>
      <c r="II121" s="9"/>
      <c r="IJ121" s="9"/>
      <c r="IK121" s="9"/>
      <c r="IL121" s="9"/>
      <c r="IM121" s="9"/>
      <c r="IN121" s="9"/>
      <c r="IO121" s="9"/>
      <c r="IP121" s="9"/>
      <c r="IQ121" s="9"/>
      <c r="IR121" s="9"/>
      <c r="IS121" s="9"/>
      <c r="IT121" s="9"/>
      <c r="IU121" s="9"/>
      <c r="IV121" s="9"/>
      <c r="IW121" s="9"/>
      <c r="IX121" s="9"/>
      <c r="IY121" s="9"/>
      <c r="IZ121" s="9"/>
      <c r="JA121" s="9"/>
      <c r="JB121" s="9"/>
      <c r="JC121" s="9"/>
      <c r="JD121" s="9"/>
      <c r="JE121" s="9"/>
      <c r="JF121" s="9"/>
      <c r="JG121" s="9"/>
      <c r="JH121" s="9"/>
      <c r="JI121" s="9"/>
      <c r="JJ121" s="9"/>
      <c r="JK121" s="9"/>
      <c r="JL121" s="9"/>
      <c r="JM121" s="9"/>
      <c r="JN121" s="9"/>
      <c r="JO121" s="9"/>
      <c r="JP121" s="9"/>
      <c r="JQ121" s="9"/>
      <c r="JR121" s="9"/>
      <c r="JS121" s="9"/>
      <c r="JT121" s="9"/>
      <c r="JU121" s="9"/>
      <c r="JV121" s="9"/>
      <c r="JW121" s="9"/>
      <c r="JX121" s="9"/>
      <c r="JY121" s="9"/>
      <c r="JZ121" s="9"/>
      <c r="KA121" s="9"/>
      <c r="KB121" s="9"/>
      <c r="KC121" s="9"/>
      <c r="KD121" s="9"/>
      <c r="KE121" s="9"/>
      <c r="KF121" s="9"/>
      <c r="KG121" s="9"/>
      <c r="KH121" s="9"/>
      <c r="KI121" s="9"/>
      <c r="KJ121" s="9"/>
      <c r="KK121" s="9"/>
      <c r="KL121" s="9"/>
      <c r="KM121" s="9"/>
      <c r="KN121" s="9"/>
      <c r="KO121" s="9"/>
      <c r="KP121" s="9"/>
      <c r="KQ121" s="9"/>
      <c r="KR121" s="9"/>
      <c r="KS121" s="9"/>
      <c r="KT121" s="9"/>
      <c r="KU121" s="9"/>
      <c r="KV121" s="9"/>
      <c r="KW121" s="9"/>
      <c r="KX121" s="9"/>
      <c r="KY121" s="9"/>
      <c r="KZ121" s="9"/>
      <c r="LA121" s="9"/>
      <c r="LB121" s="9"/>
      <c r="LC121" s="9"/>
      <c r="LD121" s="9"/>
      <c r="LE121" s="9"/>
      <c r="LF121" s="9"/>
      <c r="LG121" s="9"/>
      <c r="LH121" s="9"/>
      <c r="LI121" s="9"/>
      <c r="LJ121" s="9"/>
      <c r="LK121" s="9"/>
      <c r="LL121" s="9"/>
      <c r="LM121" s="9"/>
      <c r="LN121" s="9"/>
      <c r="LO121" s="9"/>
      <c r="LP121" s="9"/>
      <c r="LQ121" s="9"/>
      <c r="LR121" s="9"/>
      <c r="LS121" s="9"/>
      <c r="LT121" s="9"/>
      <c r="LU121" s="9"/>
      <c r="LV121" s="9"/>
      <c r="LW121" s="9"/>
      <c r="LX121" s="9"/>
      <c r="LY121" s="9"/>
      <c r="LZ121" s="9"/>
      <c r="MA121" s="9"/>
      <c r="MB121" s="9"/>
      <c r="MC121" s="9"/>
      <c r="MD121" s="9"/>
      <c r="ME121" s="9"/>
      <c r="MF121" s="9"/>
      <c r="MG121" s="9"/>
      <c r="MH121" s="9"/>
      <c r="MI121" s="9"/>
      <c r="MJ121" s="9"/>
      <c r="MK121" s="9"/>
    </row>
    <row r="122" spans="1:349" hidden="1" x14ac:dyDescent="0.25">
      <c r="A122" s="9"/>
      <c r="B122" s="9"/>
      <c r="C122" s="9"/>
      <c r="D122" s="9"/>
      <c r="E122" s="9"/>
      <c r="F122" s="9"/>
      <c r="G122" s="9"/>
      <c r="H122" s="9"/>
      <c r="I122" s="9"/>
      <c r="J122" s="9"/>
      <c r="K122" s="9"/>
      <c r="L122" s="9"/>
      <c r="M122" s="9"/>
      <c r="N122" s="9"/>
      <c r="O122" s="9"/>
      <c r="AG122" s="9"/>
      <c r="AH122" s="9"/>
      <c r="AI122" s="9"/>
      <c r="AJ122" s="9"/>
      <c r="AK122" s="9"/>
      <c r="AL122" s="9"/>
      <c r="AM122" s="9"/>
      <c r="AN122" s="9"/>
      <c r="AO122" s="9"/>
      <c r="AP122" s="9"/>
      <c r="AQ122" s="9"/>
      <c r="AR122" s="9"/>
      <c r="AS122" s="9"/>
      <c r="AT122" s="9"/>
      <c r="AU122" s="9"/>
      <c r="AV122" s="9"/>
      <c r="AW122" s="9"/>
      <c r="AX122" s="9"/>
      <c r="AY122" s="9"/>
      <c r="AZ122" s="9"/>
      <c r="BA122" s="9"/>
      <c r="BB122" s="9"/>
      <c r="BC122" s="9"/>
      <c r="BD122" s="9"/>
      <c r="BE122" s="9"/>
      <c r="BF122" s="9"/>
      <c r="BG122" s="9"/>
      <c r="BH122" s="9"/>
      <c r="BI122" s="9"/>
      <c r="BJ122" s="9"/>
      <c r="BK122" s="9"/>
      <c r="BL122" s="9"/>
      <c r="BM122" s="9"/>
      <c r="BN122" s="9"/>
      <c r="BO122" s="9"/>
      <c r="BP122" s="9"/>
      <c r="BQ122" s="9"/>
      <c r="BR122" s="9"/>
      <c r="BS122" s="9"/>
      <c r="BT122" s="9"/>
      <c r="BU122" s="9"/>
      <c r="BV122" s="9"/>
      <c r="BW122" s="9"/>
      <c r="BX122" s="9"/>
      <c r="BY122" s="9"/>
      <c r="BZ122" s="9"/>
      <c r="CA122" s="9"/>
      <c r="CB122" s="9"/>
      <c r="CC122" s="9"/>
      <c r="CD122" s="9"/>
      <c r="CE122" s="9"/>
      <c r="CF122" s="9"/>
      <c r="CG122" s="9"/>
      <c r="CH122" s="9"/>
      <c r="CI122" s="9"/>
      <c r="CJ122" s="9"/>
      <c r="CK122" s="9"/>
      <c r="CL122" s="9"/>
      <c r="CM122" s="9"/>
      <c r="CN122" s="9"/>
      <c r="CO122" s="9"/>
      <c r="CP122" s="9"/>
      <c r="CQ122" s="9"/>
      <c r="CR122" s="9"/>
      <c r="CS122" s="9"/>
      <c r="CT122" s="9"/>
      <c r="CU122" s="9"/>
      <c r="CV122" s="9"/>
      <c r="CW122" s="9"/>
      <c r="CX122" s="9"/>
      <c r="CY122" s="9"/>
      <c r="CZ122" s="9"/>
      <c r="DA122" s="9"/>
      <c r="DB122" s="9"/>
      <c r="DC122" s="9"/>
      <c r="DD122" s="9"/>
      <c r="DE122" s="9"/>
      <c r="DF122" s="9"/>
      <c r="DG122" s="9"/>
      <c r="DH122" s="9"/>
      <c r="DI122" s="9"/>
      <c r="DJ122" s="9"/>
      <c r="DK122" s="9"/>
      <c r="DL122" s="9"/>
      <c r="DM122" s="9"/>
      <c r="DN122" s="9"/>
      <c r="DO122" s="9"/>
      <c r="DP122" s="9"/>
      <c r="DQ122" s="9"/>
      <c r="DR122" s="9"/>
      <c r="DS122" s="9"/>
      <c r="DT122" s="9"/>
      <c r="DU122" s="9"/>
      <c r="DV122" s="9"/>
      <c r="DW122" s="9"/>
      <c r="DX122" s="9"/>
      <c r="DY122" s="9"/>
      <c r="DZ122" s="9"/>
      <c r="EA122" s="9"/>
      <c r="EB122" s="9"/>
      <c r="EC122" s="9"/>
      <c r="ED122" s="9"/>
      <c r="EE122" s="9"/>
      <c r="EF122" s="9"/>
      <c r="EG122" s="9"/>
      <c r="EH122" s="9"/>
      <c r="EI122" s="9"/>
      <c r="EJ122" s="9"/>
      <c r="EK122" s="9"/>
      <c r="EL122" s="9"/>
      <c r="EM122" s="9"/>
      <c r="EN122" s="9"/>
      <c r="EO122" s="9"/>
      <c r="EP122" s="9"/>
      <c r="EQ122" s="9"/>
      <c r="ER122" s="9"/>
      <c r="ES122" s="9"/>
      <c r="ET122" s="9"/>
      <c r="EU122" s="9"/>
      <c r="EV122" s="9"/>
      <c r="EW122" s="9"/>
      <c r="EX122" s="9"/>
      <c r="EY122" s="9"/>
      <c r="EZ122" s="9"/>
      <c r="FA122" s="9"/>
      <c r="FB122" s="9"/>
      <c r="FC122" s="9"/>
      <c r="FD122" s="9"/>
      <c r="FE122" s="9"/>
      <c r="FF122" s="9"/>
      <c r="FG122" s="9"/>
      <c r="FH122" s="9"/>
      <c r="FI122" s="9"/>
      <c r="FJ122" s="9"/>
      <c r="FK122" s="9"/>
      <c r="FL122" s="9"/>
      <c r="FM122" s="9"/>
      <c r="FN122" s="9"/>
      <c r="FO122" s="9"/>
      <c r="FP122" s="9"/>
      <c r="FQ122" s="9"/>
      <c r="FR122" s="9"/>
      <c r="FS122" s="9"/>
      <c r="FT122" s="9"/>
      <c r="FU122" s="9"/>
      <c r="FV122" s="9"/>
      <c r="FW122" s="9"/>
      <c r="FX122" s="9"/>
      <c r="FY122" s="9"/>
      <c r="FZ122" s="9"/>
      <c r="GA122" s="9"/>
      <c r="GB122" s="9"/>
      <c r="GC122" s="9"/>
      <c r="GD122" s="9"/>
      <c r="GE122" s="9"/>
      <c r="GF122" s="9"/>
      <c r="GG122" s="9"/>
      <c r="GH122" s="9"/>
      <c r="GI122" s="9"/>
      <c r="GJ122" s="9"/>
      <c r="GK122" s="9"/>
      <c r="GL122" s="9"/>
      <c r="GM122" s="9"/>
      <c r="GN122" s="9"/>
      <c r="GO122" s="9"/>
      <c r="GP122" s="9"/>
      <c r="GQ122" s="9"/>
      <c r="GR122" s="9"/>
      <c r="GS122" s="9"/>
      <c r="GT122" s="9"/>
      <c r="GU122" s="9"/>
      <c r="GV122" s="9"/>
      <c r="GW122" s="9"/>
      <c r="GX122" s="9"/>
      <c r="GY122" s="9"/>
      <c r="GZ122" s="9"/>
      <c r="HA122" s="9"/>
      <c r="HB122" s="9"/>
      <c r="HC122" s="9"/>
      <c r="HD122" s="9"/>
      <c r="HE122" s="9"/>
      <c r="HF122" s="9"/>
      <c r="HG122" s="9"/>
      <c r="HH122" s="9"/>
      <c r="HI122" s="9"/>
      <c r="HJ122" s="9"/>
      <c r="HK122" s="9"/>
      <c r="HL122" s="9"/>
      <c r="HM122" s="9"/>
      <c r="HN122" s="9"/>
      <c r="HO122" s="9"/>
      <c r="HP122" s="9"/>
      <c r="HQ122" s="9"/>
      <c r="HR122" s="9"/>
      <c r="HS122" s="9"/>
      <c r="HT122" s="9"/>
      <c r="HU122" s="9"/>
      <c r="HV122" s="9"/>
      <c r="HW122" s="9"/>
      <c r="HX122" s="9"/>
      <c r="HY122" s="9"/>
      <c r="HZ122" s="9"/>
      <c r="IA122" s="9"/>
      <c r="IB122" s="9"/>
      <c r="IC122" s="9"/>
      <c r="ID122" s="9"/>
      <c r="IE122" s="9"/>
      <c r="IF122" s="9"/>
      <c r="IG122" s="9"/>
      <c r="IH122" s="9"/>
      <c r="II122" s="9"/>
      <c r="IJ122" s="9"/>
      <c r="IK122" s="9"/>
      <c r="IL122" s="9"/>
      <c r="IM122" s="9"/>
      <c r="IN122" s="9"/>
      <c r="IO122" s="9"/>
      <c r="IP122" s="9"/>
      <c r="IQ122" s="9"/>
      <c r="IR122" s="9"/>
      <c r="IS122" s="9"/>
      <c r="IT122" s="9"/>
      <c r="IU122" s="9"/>
      <c r="IV122" s="9"/>
      <c r="IW122" s="9"/>
      <c r="IX122" s="9"/>
      <c r="IY122" s="9"/>
      <c r="IZ122" s="9"/>
      <c r="JA122" s="9"/>
      <c r="JB122" s="9"/>
      <c r="JC122" s="9"/>
      <c r="JD122" s="9"/>
      <c r="JE122" s="9"/>
      <c r="JF122" s="9"/>
      <c r="JG122" s="9"/>
      <c r="JH122" s="9"/>
      <c r="JI122" s="9"/>
      <c r="JJ122" s="9"/>
      <c r="JK122" s="9"/>
      <c r="JL122" s="9"/>
      <c r="JM122" s="9"/>
      <c r="JN122" s="9"/>
      <c r="JO122" s="9"/>
      <c r="JP122" s="9"/>
      <c r="JQ122" s="9"/>
      <c r="JR122" s="9"/>
      <c r="JS122" s="9"/>
      <c r="JT122" s="9"/>
      <c r="JU122" s="9"/>
      <c r="JV122" s="9"/>
      <c r="JW122" s="9"/>
      <c r="JX122" s="9"/>
      <c r="JY122" s="9"/>
      <c r="JZ122" s="9"/>
      <c r="KA122" s="9"/>
      <c r="KB122" s="9"/>
      <c r="KC122" s="9"/>
      <c r="KD122" s="9"/>
      <c r="KE122" s="9"/>
      <c r="KF122" s="9"/>
      <c r="KG122" s="9"/>
      <c r="KH122" s="9"/>
      <c r="KI122" s="9"/>
      <c r="KJ122" s="9"/>
      <c r="KK122" s="9"/>
      <c r="KL122" s="9"/>
      <c r="KM122" s="9"/>
      <c r="KN122" s="9"/>
      <c r="KO122" s="9"/>
      <c r="KP122" s="9"/>
      <c r="KQ122" s="9"/>
      <c r="KR122" s="9"/>
      <c r="KS122" s="9"/>
      <c r="KT122" s="9"/>
      <c r="KU122" s="9"/>
      <c r="KV122" s="9"/>
      <c r="KW122" s="9"/>
      <c r="KX122" s="9"/>
      <c r="KY122" s="9"/>
      <c r="KZ122" s="9"/>
      <c r="LA122" s="9"/>
      <c r="LB122" s="9"/>
      <c r="LC122" s="9"/>
      <c r="LD122" s="9"/>
      <c r="LE122" s="9"/>
      <c r="LF122" s="9"/>
      <c r="LG122" s="9"/>
      <c r="LH122" s="9"/>
      <c r="LI122" s="9"/>
      <c r="LJ122" s="9"/>
      <c r="LK122" s="9"/>
      <c r="LL122" s="9"/>
      <c r="LM122" s="9"/>
      <c r="LN122" s="9"/>
      <c r="LO122" s="9"/>
      <c r="LP122" s="9"/>
      <c r="LQ122" s="9"/>
      <c r="LR122" s="9"/>
      <c r="LS122" s="9"/>
      <c r="LT122" s="9"/>
      <c r="LU122" s="9"/>
      <c r="LV122" s="9"/>
      <c r="LW122" s="9"/>
      <c r="LX122" s="9"/>
      <c r="LY122" s="9"/>
      <c r="LZ122" s="9"/>
      <c r="MA122" s="9"/>
      <c r="MB122" s="9"/>
      <c r="MC122" s="9"/>
      <c r="MD122" s="9"/>
      <c r="ME122" s="9"/>
      <c r="MF122" s="9"/>
      <c r="MG122" s="9"/>
      <c r="MH122" s="9"/>
      <c r="MI122" s="9"/>
      <c r="MJ122" s="9"/>
      <c r="MK122" s="9"/>
    </row>
    <row r="123" spans="1:349" hidden="1" x14ac:dyDescent="0.25">
      <c r="A123" s="9"/>
      <c r="B123" s="9"/>
      <c r="C123" s="9"/>
      <c r="D123" s="9"/>
      <c r="E123" s="9"/>
      <c r="F123" s="9"/>
      <c r="G123" s="9"/>
      <c r="H123" s="9"/>
      <c r="I123" s="9"/>
      <c r="J123" s="9"/>
      <c r="K123" s="9"/>
      <c r="L123" s="9"/>
      <c r="M123" s="9"/>
      <c r="N123" s="9"/>
      <c r="O123" s="9"/>
      <c r="AG123" s="9"/>
      <c r="AH123" s="9"/>
      <c r="AI123" s="9"/>
      <c r="AJ123" s="9"/>
      <c r="AK123" s="9"/>
      <c r="AL123" s="9"/>
      <c r="AM123" s="9"/>
      <c r="AN123" s="9"/>
      <c r="AO123" s="9"/>
      <c r="AP123" s="9"/>
      <c r="AQ123" s="9"/>
      <c r="AR123" s="9"/>
      <c r="AS123" s="9"/>
      <c r="AT123" s="9"/>
      <c r="AU123" s="9"/>
      <c r="AV123" s="9"/>
      <c r="AW123" s="9"/>
      <c r="AX123" s="9"/>
      <c r="AY123" s="9"/>
      <c r="AZ123" s="9"/>
      <c r="BA123" s="9"/>
      <c r="BB123" s="9"/>
      <c r="BC123" s="9"/>
      <c r="BD123" s="9"/>
      <c r="BE123" s="9"/>
      <c r="BF123" s="9"/>
      <c r="BG123" s="9"/>
      <c r="BH123" s="9"/>
      <c r="BI123" s="9"/>
      <c r="BJ123" s="9"/>
      <c r="BK123" s="9"/>
      <c r="BL123" s="9"/>
      <c r="BM123" s="9"/>
      <c r="BN123" s="9"/>
      <c r="BO123" s="9"/>
      <c r="BP123" s="9"/>
      <c r="BQ123" s="9"/>
      <c r="BR123" s="9"/>
      <c r="BS123" s="9"/>
      <c r="BT123" s="9"/>
      <c r="BU123" s="9"/>
      <c r="BV123" s="9"/>
      <c r="BW123" s="9"/>
      <c r="BX123" s="9"/>
      <c r="BY123" s="9"/>
      <c r="BZ123" s="9"/>
      <c r="CA123" s="9"/>
      <c r="CB123" s="9"/>
      <c r="CC123" s="9"/>
      <c r="CD123" s="9"/>
      <c r="CE123" s="9"/>
      <c r="CF123" s="9"/>
      <c r="CG123" s="9"/>
      <c r="CH123" s="9"/>
      <c r="CI123" s="9"/>
      <c r="CJ123" s="9"/>
      <c r="CK123" s="9"/>
      <c r="CL123" s="9"/>
      <c r="CM123" s="9"/>
      <c r="CN123" s="9"/>
      <c r="CO123" s="9"/>
      <c r="CP123" s="9"/>
      <c r="CQ123" s="9"/>
      <c r="CR123" s="9"/>
      <c r="CS123" s="9"/>
      <c r="CT123" s="9"/>
      <c r="CU123" s="9"/>
      <c r="CV123" s="9"/>
      <c r="CW123" s="9"/>
      <c r="CX123" s="9"/>
      <c r="CY123" s="9"/>
      <c r="CZ123" s="9"/>
      <c r="DA123" s="9"/>
      <c r="DB123" s="9"/>
      <c r="DC123" s="9"/>
      <c r="DD123" s="9"/>
      <c r="DE123" s="9"/>
      <c r="DF123" s="9"/>
      <c r="DG123" s="9"/>
      <c r="DH123" s="9"/>
      <c r="DI123" s="9"/>
      <c r="DJ123" s="9"/>
      <c r="DK123" s="9"/>
      <c r="DL123" s="9"/>
      <c r="DM123" s="9"/>
      <c r="DN123" s="9"/>
      <c r="DO123" s="9"/>
      <c r="DP123" s="9"/>
      <c r="DQ123" s="9"/>
      <c r="DR123" s="9"/>
      <c r="DS123" s="9"/>
      <c r="DT123" s="9"/>
      <c r="DU123" s="9"/>
      <c r="DV123" s="9"/>
      <c r="DW123" s="9"/>
      <c r="DX123" s="9"/>
      <c r="DY123" s="9"/>
      <c r="DZ123" s="9"/>
      <c r="EA123" s="9"/>
      <c r="EB123" s="9"/>
      <c r="EC123" s="9"/>
      <c r="ED123" s="9"/>
      <c r="EE123" s="9"/>
      <c r="EF123" s="9"/>
      <c r="EG123" s="9"/>
      <c r="EH123" s="9"/>
      <c r="EI123" s="9"/>
      <c r="EJ123" s="9"/>
      <c r="EK123" s="9"/>
      <c r="EL123" s="9"/>
      <c r="EM123" s="9"/>
      <c r="EN123" s="9"/>
      <c r="EO123" s="9"/>
      <c r="EP123" s="9"/>
      <c r="EQ123" s="9"/>
      <c r="ER123" s="9"/>
      <c r="ES123" s="9"/>
      <c r="ET123" s="9"/>
      <c r="EU123" s="9"/>
      <c r="EV123" s="9"/>
      <c r="EW123" s="9"/>
      <c r="EX123" s="9"/>
      <c r="EY123" s="9"/>
      <c r="EZ123" s="9"/>
      <c r="FA123" s="9"/>
      <c r="FB123" s="9"/>
      <c r="FC123" s="9"/>
      <c r="FD123" s="9"/>
      <c r="FE123" s="9"/>
      <c r="FF123" s="9"/>
      <c r="FG123" s="9"/>
      <c r="FH123" s="9"/>
      <c r="FI123" s="9"/>
      <c r="FJ123" s="9"/>
      <c r="FK123" s="9"/>
      <c r="FL123" s="9"/>
      <c r="FM123" s="9"/>
      <c r="FN123" s="9"/>
      <c r="FO123" s="9"/>
      <c r="FP123" s="9"/>
      <c r="FQ123" s="9"/>
      <c r="FR123" s="9"/>
      <c r="FS123" s="9"/>
      <c r="FT123" s="9"/>
      <c r="FU123" s="9"/>
      <c r="FV123" s="9"/>
      <c r="FW123" s="9"/>
      <c r="FX123" s="9"/>
      <c r="FY123" s="9"/>
      <c r="FZ123" s="9"/>
      <c r="GA123" s="9"/>
      <c r="GB123" s="9"/>
      <c r="GC123" s="9"/>
      <c r="GD123" s="9"/>
      <c r="GE123" s="9"/>
      <c r="GF123" s="9"/>
      <c r="GG123" s="9"/>
      <c r="GH123" s="9"/>
      <c r="GI123" s="9"/>
      <c r="GJ123" s="9"/>
      <c r="GK123" s="9"/>
      <c r="GL123" s="9"/>
      <c r="GM123" s="9"/>
      <c r="GN123" s="9"/>
      <c r="GO123" s="9"/>
      <c r="GP123" s="9"/>
      <c r="GQ123" s="9"/>
      <c r="GR123" s="9"/>
      <c r="GS123" s="9"/>
      <c r="GT123" s="9"/>
      <c r="GU123" s="9"/>
      <c r="GV123" s="9"/>
      <c r="GW123" s="9"/>
      <c r="GX123" s="9"/>
      <c r="GY123" s="9"/>
      <c r="GZ123" s="9"/>
      <c r="HA123" s="9"/>
      <c r="HB123" s="9"/>
      <c r="HC123" s="9"/>
      <c r="HD123" s="9"/>
      <c r="HE123" s="9"/>
      <c r="HF123" s="9"/>
      <c r="HG123" s="9"/>
      <c r="HH123" s="9"/>
      <c r="HI123" s="9"/>
      <c r="HJ123" s="9"/>
      <c r="HK123" s="9"/>
      <c r="HL123" s="9"/>
      <c r="HM123" s="9"/>
      <c r="HN123" s="9"/>
      <c r="HO123" s="9"/>
      <c r="HP123" s="9"/>
      <c r="HQ123" s="9"/>
      <c r="HR123" s="9"/>
      <c r="HS123" s="9"/>
      <c r="HT123" s="9"/>
      <c r="HU123" s="9"/>
      <c r="HV123" s="9"/>
      <c r="HW123" s="9"/>
      <c r="HX123" s="9"/>
      <c r="HY123" s="9"/>
      <c r="HZ123" s="9"/>
      <c r="IA123" s="9"/>
      <c r="IB123" s="9"/>
      <c r="IC123" s="9"/>
      <c r="ID123" s="9"/>
      <c r="IE123" s="9"/>
      <c r="IF123" s="9"/>
      <c r="IG123" s="9"/>
      <c r="IH123" s="9"/>
      <c r="II123" s="9"/>
      <c r="IJ123" s="9"/>
      <c r="IK123" s="9"/>
      <c r="IL123" s="9"/>
      <c r="IM123" s="9"/>
      <c r="IN123" s="9"/>
      <c r="IO123" s="9"/>
      <c r="IP123" s="9"/>
      <c r="IQ123" s="9"/>
      <c r="IR123" s="9"/>
      <c r="IS123" s="9"/>
      <c r="IT123" s="9"/>
      <c r="IU123" s="9"/>
      <c r="IV123" s="9"/>
      <c r="IW123" s="9"/>
      <c r="IX123" s="9"/>
      <c r="IY123" s="9"/>
      <c r="IZ123" s="9"/>
      <c r="JA123" s="9"/>
      <c r="JB123" s="9"/>
      <c r="JC123" s="9"/>
      <c r="JD123" s="9"/>
      <c r="JE123" s="9"/>
      <c r="JF123" s="9"/>
      <c r="JG123" s="9"/>
      <c r="JH123" s="9"/>
      <c r="JI123" s="9"/>
      <c r="JJ123" s="9"/>
      <c r="JK123" s="9"/>
      <c r="JL123" s="9"/>
      <c r="JM123" s="9"/>
      <c r="JN123" s="9"/>
      <c r="JO123" s="9"/>
      <c r="JP123" s="9"/>
      <c r="JQ123" s="9"/>
      <c r="JR123" s="9"/>
      <c r="JS123" s="9"/>
      <c r="JT123" s="9"/>
      <c r="JU123" s="9"/>
      <c r="JV123" s="9"/>
      <c r="JW123" s="9"/>
      <c r="JX123" s="9"/>
      <c r="JY123" s="9"/>
      <c r="JZ123" s="9"/>
      <c r="KA123" s="9"/>
      <c r="KB123" s="9"/>
      <c r="KC123" s="9"/>
      <c r="KD123" s="9"/>
      <c r="KE123" s="9"/>
      <c r="KF123" s="9"/>
      <c r="KG123" s="9"/>
      <c r="KH123" s="9"/>
      <c r="KI123" s="9"/>
      <c r="KJ123" s="9"/>
      <c r="KK123" s="9"/>
      <c r="KL123" s="9"/>
      <c r="KM123" s="9"/>
      <c r="KN123" s="9"/>
      <c r="KO123" s="9"/>
      <c r="KP123" s="9"/>
      <c r="KQ123" s="9"/>
      <c r="KR123" s="9"/>
      <c r="KS123" s="9"/>
      <c r="KT123" s="9"/>
      <c r="KU123" s="9"/>
      <c r="KV123" s="9"/>
      <c r="KW123" s="9"/>
      <c r="KX123" s="9"/>
      <c r="KY123" s="9"/>
      <c r="KZ123" s="9"/>
      <c r="LA123" s="9"/>
      <c r="LB123" s="9"/>
      <c r="LC123" s="9"/>
      <c r="LD123" s="9"/>
      <c r="LE123" s="9"/>
      <c r="LF123" s="9"/>
      <c r="LG123" s="9"/>
      <c r="LH123" s="9"/>
      <c r="LI123" s="9"/>
      <c r="LJ123" s="9"/>
      <c r="LK123" s="9"/>
      <c r="LL123" s="9"/>
      <c r="LM123" s="9"/>
      <c r="LN123" s="9"/>
      <c r="LO123" s="9"/>
      <c r="LP123" s="9"/>
      <c r="LQ123" s="9"/>
      <c r="LR123" s="9"/>
      <c r="LS123" s="9"/>
      <c r="LT123" s="9"/>
      <c r="LU123" s="9"/>
      <c r="LV123" s="9"/>
      <c r="LW123" s="9"/>
      <c r="LX123" s="9"/>
      <c r="LY123" s="9"/>
      <c r="LZ123" s="9"/>
      <c r="MA123" s="9"/>
      <c r="MB123" s="9"/>
      <c r="MC123" s="9"/>
      <c r="MD123" s="9"/>
      <c r="ME123" s="9"/>
      <c r="MF123" s="9"/>
      <c r="MG123" s="9"/>
      <c r="MH123" s="9"/>
      <c r="MI123" s="9"/>
      <c r="MJ123" s="9"/>
      <c r="MK123" s="9"/>
    </row>
    <row r="124" spans="1:349" hidden="1" x14ac:dyDescent="0.25">
      <c r="A124" s="9"/>
      <c r="B124" s="9"/>
      <c r="C124" s="9"/>
      <c r="D124" s="9"/>
      <c r="E124" s="9"/>
      <c r="F124" s="9"/>
      <c r="G124" s="9"/>
      <c r="H124" s="9"/>
      <c r="I124" s="9"/>
      <c r="J124" s="9"/>
      <c r="K124" s="9"/>
      <c r="L124" s="9"/>
      <c r="M124" s="9"/>
      <c r="N124" s="9"/>
      <c r="O124" s="9"/>
      <c r="AG124" s="9"/>
      <c r="AH124" s="9"/>
      <c r="AI124" s="9"/>
      <c r="AJ124" s="9"/>
      <c r="AK124" s="9"/>
      <c r="AL124" s="9"/>
      <c r="AM124" s="9"/>
      <c r="AN124" s="9"/>
      <c r="AO124" s="9"/>
      <c r="AP124" s="9"/>
      <c r="AQ124" s="9"/>
      <c r="AR124" s="9"/>
      <c r="AS124" s="9"/>
      <c r="AT124" s="9"/>
      <c r="AU124" s="9"/>
      <c r="AV124" s="9"/>
      <c r="AW124" s="9"/>
      <c r="AX124" s="9"/>
      <c r="AY124" s="9"/>
      <c r="AZ124" s="9"/>
      <c r="BA124" s="9"/>
      <c r="BB124" s="9"/>
      <c r="BC124" s="9"/>
      <c r="BD124" s="9"/>
      <c r="BE124" s="9"/>
      <c r="BF124" s="9"/>
      <c r="BG124" s="9"/>
      <c r="BH124" s="9"/>
      <c r="BI124" s="9"/>
      <c r="BJ124" s="9"/>
      <c r="BK124" s="9"/>
      <c r="BL124" s="9"/>
      <c r="BM124" s="9"/>
      <c r="BN124" s="9"/>
      <c r="BO124" s="9"/>
      <c r="BP124" s="9"/>
      <c r="BQ124" s="9"/>
      <c r="BR124" s="9"/>
      <c r="BS124" s="9"/>
      <c r="BT124" s="9"/>
      <c r="BU124" s="9"/>
      <c r="BV124" s="9"/>
      <c r="BW124" s="9"/>
      <c r="BX124" s="9"/>
      <c r="BY124" s="9"/>
      <c r="BZ124" s="9"/>
      <c r="CA124" s="9"/>
      <c r="CB124" s="9"/>
      <c r="CC124" s="9"/>
      <c r="CD124" s="9"/>
      <c r="CE124" s="9"/>
      <c r="CF124" s="9"/>
      <c r="CG124" s="9"/>
      <c r="CH124" s="9"/>
      <c r="CI124" s="9"/>
      <c r="CJ124" s="9"/>
      <c r="CK124" s="9"/>
      <c r="CL124" s="9"/>
      <c r="CM124" s="9"/>
      <c r="CN124" s="9"/>
      <c r="CO124" s="9"/>
      <c r="CP124" s="9"/>
      <c r="CQ124" s="9"/>
      <c r="CR124" s="9"/>
      <c r="CS124" s="9"/>
      <c r="CT124" s="9"/>
      <c r="CU124" s="9"/>
      <c r="CV124" s="9"/>
      <c r="CW124" s="9"/>
      <c r="CX124" s="9"/>
      <c r="CY124" s="9"/>
      <c r="CZ124" s="9"/>
      <c r="DA124" s="9"/>
      <c r="DB124" s="9"/>
      <c r="DC124" s="9"/>
      <c r="DD124" s="9"/>
      <c r="DE124" s="9"/>
      <c r="DF124" s="9"/>
      <c r="DG124" s="9"/>
      <c r="DH124" s="9"/>
      <c r="DI124" s="9"/>
      <c r="DJ124" s="9"/>
      <c r="DK124" s="9"/>
      <c r="DL124" s="9"/>
      <c r="DM124" s="9"/>
      <c r="DN124" s="9"/>
      <c r="DO124" s="9"/>
      <c r="DP124" s="9"/>
      <c r="DQ124" s="9"/>
      <c r="DR124" s="9"/>
      <c r="DS124" s="9"/>
      <c r="DT124" s="9"/>
      <c r="DU124" s="9"/>
      <c r="DV124" s="9"/>
      <c r="DW124" s="9"/>
      <c r="DX124" s="9"/>
      <c r="DY124" s="9"/>
      <c r="DZ124" s="9"/>
      <c r="EA124" s="9"/>
      <c r="EB124" s="9"/>
      <c r="EC124" s="9"/>
      <c r="ED124" s="9"/>
      <c r="EE124" s="9"/>
      <c r="EF124" s="9"/>
      <c r="EG124" s="9"/>
      <c r="EH124" s="9"/>
      <c r="EI124" s="9"/>
      <c r="EJ124" s="9"/>
      <c r="EK124" s="9"/>
      <c r="EL124" s="9"/>
      <c r="EM124" s="9"/>
      <c r="EN124" s="9"/>
      <c r="EO124" s="9"/>
      <c r="EP124" s="9"/>
      <c r="EQ124" s="9"/>
      <c r="ER124" s="9"/>
      <c r="ES124" s="9"/>
      <c r="ET124" s="9"/>
      <c r="EU124" s="9"/>
      <c r="EV124" s="9"/>
      <c r="EW124" s="9"/>
      <c r="EX124" s="9"/>
      <c r="EY124" s="9"/>
      <c r="EZ124" s="9"/>
      <c r="FA124" s="9"/>
      <c r="FB124" s="9"/>
      <c r="FC124" s="9"/>
      <c r="FD124" s="9"/>
      <c r="FE124" s="9"/>
      <c r="FF124" s="9"/>
      <c r="FG124" s="9"/>
      <c r="FH124" s="9"/>
      <c r="FI124" s="9"/>
      <c r="FJ124" s="9"/>
      <c r="FK124" s="9"/>
      <c r="FL124" s="9"/>
      <c r="FM124" s="9"/>
      <c r="FN124" s="9"/>
      <c r="FO124" s="9"/>
      <c r="FP124" s="9"/>
      <c r="FQ124" s="9"/>
      <c r="FR124" s="9"/>
      <c r="FS124" s="9"/>
      <c r="FT124" s="9"/>
      <c r="FU124" s="9"/>
      <c r="FV124" s="9"/>
      <c r="FW124" s="9"/>
      <c r="FX124" s="9"/>
      <c r="FY124" s="9"/>
      <c r="FZ124" s="9"/>
      <c r="GA124" s="9"/>
      <c r="GB124" s="9"/>
      <c r="GC124" s="9"/>
      <c r="GD124" s="9"/>
      <c r="GE124" s="9"/>
      <c r="GF124" s="9"/>
      <c r="GG124" s="9"/>
      <c r="GH124" s="9"/>
      <c r="GI124" s="9"/>
      <c r="GJ124" s="9"/>
      <c r="GK124" s="9"/>
      <c r="GL124" s="9"/>
      <c r="GM124" s="9"/>
      <c r="GN124" s="9"/>
      <c r="GO124" s="9"/>
      <c r="GP124" s="9"/>
      <c r="GQ124" s="9"/>
      <c r="GR124" s="9"/>
      <c r="GS124" s="9"/>
      <c r="GT124" s="9"/>
      <c r="GU124" s="9"/>
      <c r="GV124" s="9"/>
      <c r="GW124" s="9"/>
      <c r="GX124" s="9"/>
      <c r="GY124" s="9"/>
      <c r="GZ124" s="9"/>
      <c r="HA124" s="9"/>
      <c r="HB124" s="9"/>
      <c r="HC124" s="9"/>
      <c r="HD124" s="9"/>
      <c r="HE124" s="9"/>
      <c r="HF124" s="9"/>
      <c r="HG124" s="9"/>
      <c r="HH124" s="9"/>
      <c r="HI124" s="9"/>
      <c r="HJ124" s="9"/>
      <c r="HK124" s="9"/>
      <c r="HL124" s="9"/>
      <c r="HM124" s="9"/>
      <c r="HN124" s="9"/>
      <c r="HO124" s="9"/>
      <c r="HP124" s="9"/>
      <c r="HQ124" s="9"/>
      <c r="HR124" s="9"/>
      <c r="HS124" s="9"/>
      <c r="HT124" s="9"/>
      <c r="HU124" s="9"/>
      <c r="HV124" s="9"/>
      <c r="HW124" s="9"/>
      <c r="HX124" s="9"/>
      <c r="HY124" s="9"/>
      <c r="HZ124" s="9"/>
      <c r="IA124" s="9"/>
      <c r="IB124" s="9"/>
      <c r="IC124" s="9"/>
      <c r="ID124" s="9"/>
      <c r="IE124" s="9"/>
      <c r="IF124" s="9"/>
      <c r="IG124" s="9"/>
      <c r="IH124" s="9"/>
      <c r="II124" s="9"/>
      <c r="IJ124" s="9"/>
      <c r="IK124" s="9"/>
      <c r="IL124" s="9"/>
      <c r="IM124" s="9"/>
      <c r="IN124" s="9"/>
      <c r="IO124" s="9"/>
      <c r="IP124" s="9"/>
      <c r="IQ124" s="9"/>
      <c r="IR124" s="9"/>
      <c r="IS124" s="9"/>
      <c r="IT124" s="9"/>
      <c r="IU124" s="9"/>
      <c r="IV124" s="9"/>
      <c r="IW124" s="9"/>
      <c r="IX124" s="9"/>
      <c r="IY124" s="9"/>
      <c r="IZ124" s="9"/>
      <c r="JA124" s="9"/>
      <c r="JB124" s="9"/>
      <c r="JC124" s="9"/>
      <c r="JD124" s="9"/>
      <c r="JE124" s="9"/>
      <c r="JF124" s="9"/>
      <c r="JG124" s="9"/>
      <c r="JH124" s="9"/>
      <c r="JI124" s="9"/>
      <c r="JJ124" s="9"/>
      <c r="JK124" s="9"/>
      <c r="JL124" s="9"/>
      <c r="JM124" s="9"/>
      <c r="JN124" s="9"/>
      <c r="JO124" s="9"/>
      <c r="JP124" s="9"/>
      <c r="JQ124" s="9"/>
      <c r="JR124" s="9"/>
      <c r="JS124" s="9"/>
      <c r="JT124" s="9"/>
      <c r="JU124" s="9"/>
      <c r="JV124" s="9"/>
      <c r="JW124" s="9"/>
      <c r="JX124" s="9"/>
      <c r="JY124" s="9"/>
      <c r="JZ124" s="9"/>
      <c r="KA124" s="9"/>
      <c r="KB124" s="9"/>
      <c r="KC124" s="9"/>
      <c r="KD124" s="9"/>
      <c r="KE124" s="9"/>
      <c r="KF124" s="9"/>
      <c r="KG124" s="9"/>
      <c r="KH124" s="9"/>
      <c r="KI124" s="9"/>
      <c r="KJ124" s="9"/>
      <c r="KK124" s="9"/>
      <c r="KL124" s="9"/>
      <c r="KM124" s="9"/>
      <c r="KN124" s="9"/>
      <c r="KO124" s="9"/>
      <c r="KP124" s="9"/>
      <c r="KQ124" s="9"/>
      <c r="KR124" s="9"/>
      <c r="KS124" s="9"/>
      <c r="KT124" s="9"/>
      <c r="KU124" s="9"/>
      <c r="KV124" s="9"/>
      <c r="KW124" s="9"/>
      <c r="KX124" s="9"/>
      <c r="KY124" s="9"/>
      <c r="KZ124" s="9"/>
      <c r="LA124" s="9"/>
      <c r="LB124" s="9"/>
      <c r="LC124" s="9"/>
      <c r="LD124" s="9"/>
      <c r="LE124" s="9"/>
      <c r="LF124" s="9"/>
      <c r="LG124" s="9"/>
      <c r="LH124" s="9"/>
      <c r="LI124" s="9"/>
      <c r="LJ124" s="9"/>
      <c r="LK124" s="9"/>
      <c r="LL124" s="9"/>
      <c r="LM124" s="9"/>
      <c r="LN124" s="9"/>
      <c r="LO124" s="9"/>
      <c r="LP124" s="9"/>
      <c r="LQ124" s="9"/>
      <c r="LR124" s="9"/>
      <c r="LS124" s="9"/>
      <c r="LT124" s="9"/>
      <c r="LU124" s="9"/>
      <c r="LV124" s="9"/>
      <c r="LW124" s="9"/>
      <c r="LX124" s="9"/>
      <c r="LY124" s="9"/>
      <c r="LZ124" s="9"/>
      <c r="MA124" s="9"/>
      <c r="MB124" s="9"/>
      <c r="MC124" s="9"/>
      <c r="MD124" s="9"/>
      <c r="ME124" s="9"/>
      <c r="MF124" s="9"/>
      <c r="MG124" s="9"/>
      <c r="MH124" s="9"/>
      <c r="MI124" s="9"/>
      <c r="MJ124" s="9"/>
      <c r="MK124" s="9"/>
    </row>
    <row r="125" spans="1:349" hidden="1" x14ac:dyDescent="0.25">
      <c r="A125" s="9"/>
      <c r="B125" s="9"/>
      <c r="C125" s="9"/>
      <c r="D125" s="9"/>
      <c r="E125" s="9"/>
      <c r="F125" s="9"/>
      <c r="G125" s="9"/>
      <c r="H125" s="9"/>
      <c r="I125" s="9"/>
      <c r="J125" s="9"/>
      <c r="K125" s="9"/>
      <c r="L125" s="9"/>
      <c r="M125" s="9"/>
      <c r="N125" s="9"/>
      <c r="O125" s="9"/>
      <c r="AG125" s="9"/>
      <c r="AH125" s="9"/>
      <c r="AI125" s="9"/>
      <c r="AJ125" s="9"/>
      <c r="AK125" s="9"/>
      <c r="AL125" s="9"/>
      <c r="AM125" s="9"/>
      <c r="AN125" s="9"/>
      <c r="AO125" s="9"/>
      <c r="AP125" s="9"/>
      <c r="AQ125" s="9"/>
      <c r="AR125" s="9"/>
      <c r="AS125" s="9"/>
      <c r="AT125" s="9"/>
      <c r="AU125" s="9"/>
      <c r="AV125" s="9"/>
      <c r="AW125" s="9"/>
      <c r="AX125" s="9"/>
      <c r="AY125" s="9"/>
      <c r="AZ125" s="9"/>
      <c r="BA125" s="9"/>
      <c r="BB125" s="9"/>
      <c r="BC125" s="9"/>
      <c r="BD125" s="9"/>
      <c r="BE125" s="9"/>
      <c r="BF125" s="9"/>
      <c r="BG125" s="9"/>
      <c r="BH125" s="9"/>
      <c r="BI125" s="9"/>
      <c r="BJ125" s="9"/>
      <c r="BK125" s="9"/>
      <c r="BL125" s="9"/>
      <c r="BM125" s="9"/>
      <c r="BN125" s="9"/>
      <c r="BO125" s="9"/>
      <c r="BP125" s="9"/>
      <c r="BQ125" s="9"/>
      <c r="BR125" s="9"/>
      <c r="BS125" s="9"/>
      <c r="BT125" s="9"/>
      <c r="BU125" s="9"/>
      <c r="BV125" s="9"/>
      <c r="BW125" s="9"/>
      <c r="BX125" s="9"/>
      <c r="BY125" s="9"/>
      <c r="BZ125" s="9"/>
      <c r="CA125" s="9"/>
      <c r="CB125" s="9"/>
      <c r="CC125" s="9"/>
      <c r="CD125" s="9"/>
      <c r="CE125" s="9"/>
      <c r="CF125" s="9"/>
      <c r="CG125" s="9"/>
      <c r="CH125" s="9"/>
      <c r="CI125" s="9"/>
      <c r="CJ125" s="9"/>
      <c r="CK125" s="9"/>
      <c r="CL125" s="9"/>
      <c r="CM125" s="9"/>
      <c r="CN125" s="9"/>
      <c r="CO125" s="9"/>
      <c r="CP125" s="9"/>
      <c r="CQ125" s="9"/>
      <c r="CR125" s="9"/>
      <c r="CS125" s="9"/>
      <c r="CT125" s="9"/>
      <c r="CU125" s="9"/>
      <c r="CV125" s="9"/>
      <c r="CW125" s="9"/>
      <c r="CX125" s="9"/>
      <c r="CY125" s="9"/>
      <c r="CZ125" s="9"/>
      <c r="DA125" s="9"/>
      <c r="DB125" s="9"/>
      <c r="DC125" s="9"/>
      <c r="DD125" s="9"/>
      <c r="DE125" s="9"/>
      <c r="DF125" s="9"/>
      <c r="DG125" s="9"/>
      <c r="DH125" s="9"/>
      <c r="DI125" s="9"/>
      <c r="DJ125" s="9"/>
      <c r="DK125" s="9"/>
      <c r="DL125" s="9"/>
      <c r="DM125" s="9"/>
      <c r="DN125" s="9"/>
      <c r="DO125" s="9"/>
      <c r="DP125" s="9"/>
      <c r="DQ125" s="9"/>
      <c r="DR125" s="9"/>
      <c r="DS125" s="9"/>
      <c r="DT125" s="9"/>
      <c r="DU125" s="9"/>
      <c r="DV125" s="9"/>
      <c r="DW125" s="9"/>
      <c r="DX125" s="9"/>
      <c r="DY125" s="9"/>
      <c r="DZ125" s="9"/>
      <c r="EA125" s="9"/>
      <c r="EB125" s="9"/>
      <c r="EC125" s="9"/>
      <c r="ED125" s="9"/>
      <c r="EE125" s="9"/>
      <c r="EF125" s="9"/>
      <c r="EG125" s="9"/>
      <c r="EH125" s="9"/>
      <c r="EI125" s="9"/>
      <c r="EJ125" s="9"/>
      <c r="EK125" s="9"/>
      <c r="EL125" s="9"/>
      <c r="EM125" s="9"/>
      <c r="EN125" s="9"/>
      <c r="EO125" s="9"/>
      <c r="EP125" s="9"/>
      <c r="EQ125" s="9"/>
      <c r="ER125" s="9"/>
      <c r="ES125" s="9"/>
      <c r="ET125" s="9"/>
      <c r="EU125" s="9"/>
      <c r="EV125" s="9"/>
      <c r="EW125" s="9"/>
      <c r="EX125" s="9"/>
      <c r="EY125" s="9"/>
      <c r="EZ125" s="9"/>
      <c r="FA125" s="9"/>
      <c r="FB125" s="9"/>
      <c r="FC125" s="9"/>
      <c r="FD125" s="9"/>
      <c r="FE125" s="9"/>
      <c r="FF125" s="9"/>
      <c r="FG125" s="9"/>
      <c r="FH125" s="9"/>
      <c r="FI125" s="9"/>
      <c r="FJ125" s="9"/>
      <c r="FK125" s="9"/>
      <c r="FL125" s="9"/>
      <c r="FM125" s="9"/>
      <c r="FN125" s="9"/>
      <c r="FO125" s="9"/>
      <c r="FP125" s="9"/>
      <c r="FQ125" s="9"/>
      <c r="FR125" s="9"/>
      <c r="FS125" s="9"/>
      <c r="FT125" s="9"/>
      <c r="FU125" s="9"/>
      <c r="FV125" s="9"/>
      <c r="FW125" s="9"/>
      <c r="FX125" s="9"/>
      <c r="FY125" s="9"/>
      <c r="FZ125" s="9"/>
      <c r="GA125" s="9"/>
      <c r="GB125" s="9"/>
      <c r="GC125" s="9"/>
      <c r="GD125" s="9"/>
      <c r="GE125" s="9"/>
      <c r="GF125" s="9"/>
      <c r="GG125" s="9"/>
      <c r="GH125" s="9"/>
      <c r="GI125" s="9"/>
      <c r="GJ125" s="9"/>
      <c r="GK125" s="9"/>
      <c r="GL125" s="9"/>
      <c r="GM125" s="9"/>
      <c r="GN125" s="9"/>
      <c r="GO125" s="9"/>
      <c r="GP125" s="9"/>
      <c r="GQ125" s="9"/>
      <c r="GR125" s="9"/>
      <c r="GS125" s="9"/>
      <c r="GT125" s="9"/>
      <c r="GU125" s="9"/>
      <c r="GV125" s="9"/>
      <c r="GW125" s="9"/>
      <c r="GX125" s="9"/>
      <c r="GY125" s="9"/>
      <c r="GZ125" s="9"/>
      <c r="HA125" s="9"/>
      <c r="HB125" s="9"/>
      <c r="HC125" s="9"/>
      <c r="HD125" s="9"/>
      <c r="HE125" s="9"/>
      <c r="HF125" s="9"/>
      <c r="HG125" s="9"/>
      <c r="HH125" s="9"/>
      <c r="HI125" s="9"/>
      <c r="HJ125" s="9"/>
      <c r="HK125" s="9"/>
      <c r="HL125" s="9"/>
      <c r="HM125" s="9"/>
      <c r="HN125" s="9"/>
      <c r="HO125" s="9"/>
      <c r="HP125" s="9"/>
      <c r="HQ125" s="9"/>
      <c r="HR125" s="9"/>
      <c r="HS125" s="9"/>
      <c r="HT125" s="9"/>
      <c r="HU125" s="9"/>
      <c r="HV125" s="9"/>
      <c r="HW125" s="9"/>
      <c r="HX125" s="9"/>
      <c r="HY125" s="9"/>
      <c r="HZ125" s="9"/>
      <c r="IA125" s="9"/>
      <c r="IB125" s="9"/>
      <c r="IC125" s="9"/>
      <c r="ID125" s="9"/>
      <c r="IE125" s="9"/>
      <c r="IF125" s="9"/>
      <c r="IG125" s="9"/>
      <c r="IH125" s="9"/>
      <c r="II125" s="9"/>
      <c r="IJ125" s="9"/>
      <c r="IK125" s="9"/>
      <c r="IL125" s="9"/>
      <c r="IM125" s="9"/>
      <c r="IN125" s="9"/>
      <c r="IO125" s="9"/>
      <c r="IP125" s="9"/>
      <c r="IQ125" s="9"/>
      <c r="IR125" s="9"/>
      <c r="IS125" s="9"/>
      <c r="IT125" s="9"/>
      <c r="IU125" s="9"/>
      <c r="IV125" s="9"/>
      <c r="IW125" s="9"/>
      <c r="IX125" s="9"/>
      <c r="IY125" s="9"/>
      <c r="IZ125" s="9"/>
      <c r="JA125" s="9"/>
      <c r="JB125" s="9"/>
      <c r="JC125" s="9"/>
      <c r="JD125" s="9"/>
      <c r="JE125" s="9"/>
      <c r="JF125" s="9"/>
      <c r="JG125" s="9"/>
      <c r="JH125" s="9"/>
      <c r="JI125" s="9"/>
      <c r="JJ125" s="9"/>
      <c r="JK125" s="9"/>
      <c r="JL125" s="9"/>
      <c r="JM125" s="9"/>
      <c r="JN125" s="9"/>
      <c r="JO125" s="9"/>
      <c r="JP125" s="9"/>
      <c r="JQ125" s="9"/>
      <c r="JR125" s="9"/>
      <c r="JS125" s="9"/>
      <c r="JT125" s="9"/>
      <c r="JU125" s="9"/>
      <c r="JV125" s="9"/>
      <c r="JW125" s="9"/>
      <c r="JX125" s="9"/>
      <c r="JY125" s="9"/>
      <c r="JZ125" s="9"/>
      <c r="KA125" s="9"/>
      <c r="KB125" s="9"/>
      <c r="KC125" s="9"/>
      <c r="KD125" s="9"/>
      <c r="KE125" s="9"/>
      <c r="KF125" s="9"/>
      <c r="KG125" s="9"/>
      <c r="KH125" s="9"/>
      <c r="KI125" s="9"/>
      <c r="KJ125" s="9"/>
      <c r="KK125" s="9"/>
      <c r="KL125" s="9"/>
      <c r="KM125" s="9"/>
      <c r="KN125" s="9"/>
      <c r="KO125" s="9"/>
      <c r="KP125" s="9"/>
      <c r="KQ125" s="9"/>
      <c r="KR125" s="9"/>
      <c r="KS125" s="9"/>
      <c r="KT125" s="9"/>
      <c r="KU125" s="9"/>
      <c r="KV125" s="9"/>
      <c r="KW125" s="9"/>
      <c r="KX125" s="9"/>
      <c r="KY125" s="9"/>
      <c r="KZ125" s="9"/>
      <c r="LA125" s="9"/>
      <c r="LB125" s="9"/>
      <c r="LC125" s="9"/>
      <c r="LD125" s="9"/>
      <c r="LE125" s="9"/>
      <c r="LF125" s="9"/>
      <c r="LG125" s="9"/>
      <c r="LH125" s="9"/>
      <c r="LI125" s="9"/>
      <c r="LJ125" s="9"/>
      <c r="LK125" s="9"/>
      <c r="LL125" s="9"/>
      <c r="LM125" s="9"/>
      <c r="LN125" s="9"/>
      <c r="LO125" s="9"/>
      <c r="LP125" s="9"/>
      <c r="LQ125" s="9"/>
      <c r="LR125" s="9"/>
      <c r="LS125" s="9"/>
      <c r="LT125" s="9"/>
      <c r="LU125" s="9"/>
      <c r="LV125" s="9"/>
      <c r="LW125" s="9"/>
      <c r="LX125" s="9"/>
      <c r="LY125" s="9"/>
      <c r="LZ125" s="9"/>
      <c r="MA125" s="9"/>
      <c r="MB125" s="9"/>
      <c r="MC125" s="9"/>
      <c r="MD125" s="9"/>
      <c r="ME125" s="9"/>
      <c r="MF125" s="9"/>
      <c r="MG125" s="9"/>
      <c r="MH125" s="9"/>
      <c r="MI125" s="9"/>
      <c r="MJ125" s="9"/>
      <c r="MK125" s="9"/>
    </row>
    <row r="126" spans="1:349" hidden="1" x14ac:dyDescent="0.25">
      <c r="A126" s="9"/>
      <c r="B126" s="9"/>
      <c r="C126" s="9"/>
      <c r="D126" s="9"/>
      <c r="E126" s="9"/>
      <c r="F126" s="9"/>
      <c r="G126" s="9"/>
      <c r="H126" s="9"/>
      <c r="I126" s="9"/>
      <c r="J126" s="9"/>
      <c r="K126" s="9"/>
      <c r="L126" s="9"/>
      <c r="M126" s="9"/>
      <c r="N126" s="9"/>
      <c r="O126" s="9"/>
      <c r="AG126" s="9"/>
      <c r="AH126" s="9"/>
      <c r="AI126" s="9"/>
      <c r="AJ126" s="9"/>
      <c r="AK126" s="9"/>
      <c r="AL126" s="9"/>
      <c r="AM126" s="9"/>
      <c r="AN126" s="9"/>
      <c r="AO126" s="9"/>
      <c r="AP126" s="9"/>
      <c r="AQ126" s="9"/>
      <c r="AR126" s="9"/>
      <c r="AS126" s="9"/>
      <c r="AT126" s="9"/>
      <c r="AU126" s="9"/>
      <c r="AV126" s="9"/>
      <c r="AW126" s="9"/>
      <c r="AX126" s="9"/>
      <c r="AY126" s="9"/>
      <c r="AZ126" s="9"/>
      <c r="BA126" s="9"/>
      <c r="BB126" s="9"/>
      <c r="BC126" s="9"/>
      <c r="BD126" s="9"/>
      <c r="BE126" s="9"/>
      <c r="BF126" s="9"/>
      <c r="BG126" s="9"/>
      <c r="BH126" s="9"/>
      <c r="BI126" s="9"/>
      <c r="BJ126" s="9"/>
      <c r="BK126" s="9"/>
      <c r="BL126" s="9"/>
      <c r="BM126" s="9"/>
      <c r="BN126" s="9"/>
      <c r="BO126" s="9"/>
      <c r="BP126" s="9"/>
      <c r="BQ126" s="9"/>
      <c r="BR126" s="9"/>
      <c r="BS126" s="9"/>
      <c r="BT126" s="9"/>
      <c r="BU126" s="9"/>
      <c r="BV126" s="9"/>
      <c r="BW126" s="9"/>
      <c r="BX126" s="9"/>
      <c r="BY126" s="9"/>
      <c r="BZ126" s="9"/>
      <c r="CA126" s="9"/>
      <c r="CB126" s="9"/>
      <c r="CC126" s="9"/>
      <c r="CD126" s="9"/>
      <c r="CE126" s="9"/>
      <c r="CF126" s="9"/>
      <c r="CG126" s="9"/>
      <c r="CH126" s="9"/>
      <c r="CI126" s="9"/>
      <c r="CJ126" s="9"/>
      <c r="CK126" s="9"/>
      <c r="CL126" s="9"/>
      <c r="CM126" s="9"/>
      <c r="CN126" s="9"/>
      <c r="CO126" s="9"/>
      <c r="CP126" s="9"/>
      <c r="CQ126" s="9"/>
      <c r="CR126" s="9"/>
      <c r="CS126" s="9"/>
      <c r="CT126" s="9"/>
      <c r="CU126" s="9"/>
      <c r="CV126" s="9"/>
      <c r="CW126" s="9"/>
      <c r="CX126" s="9"/>
      <c r="CY126" s="9"/>
      <c r="CZ126" s="9"/>
      <c r="DA126" s="9"/>
      <c r="DB126" s="9"/>
      <c r="DC126" s="9"/>
      <c r="DD126" s="9"/>
      <c r="DE126" s="9"/>
      <c r="DF126" s="9"/>
      <c r="DG126" s="9"/>
      <c r="DH126" s="9"/>
      <c r="DI126" s="9"/>
      <c r="DJ126" s="9"/>
      <c r="DK126" s="9"/>
      <c r="DL126" s="9"/>
      <c r="DM126" s="9"/>
      <c r="DN126" s="9"/>
      <c r="DO126" s="9"/>
      <c r="DP126" s="9"/>
      <c r="DQ126" s="9"/>
      <c r="DR126" s="9"/>
      <c r="DS126" s="9"/>
      <c r="DT126" s="9"/>
      <c r="DU126" s="9"/>
      <c r="DV126" s="9"/>
      <c r="DW126" s="9"/>
      <c r="DX126" s="9"/>
      <c r="DY126" s="9"/>
      <c r="DZ126" s="9"/>
      <c r="EA126" s="9"/>
      <c r="EB126" s="9"/>
      <c r="EC126" s="9"/>
      <c r="ED126" s="9"/>
      <c r="EE126" s="9"/>
      <c r="EF126" s="9"/>
      <c r="EG126" s="9"/>
      <c r="EH126" s="9"/>
      <c r="EI126" s="9"/>
      <c r="EJ126" s="9"/>
      <c r="EK126" s="9"/>
      <c r="EL126" s="9"/>
      <c r="EM126" s="9"/>
      <c r="EN126" s="9"/>
      <c r="EO126" s="9"/>
      <c r="EP126" s="9"/>
      <c r="EQ126" s="9"/>
      <c r="ER126" s="9"/>
      <c r="ES126" s="9"/>
      <c r="ET126" s="9"/>
      <c r="EU126" s="9"/>
      <c r="EV126" s="9"/>
      <c r="EW126" s="9"/>
      <c r="EX126" s="9"/>
      <c r="EY126" s="9"/>
      <c r="EZ126" s="9"/>
      <c r="FA126" s="9"/>
      <c r="FB126" s="9"/>
      <c r="FC126" s="9"/>
      <c r="FD126" s="9"/>
      <c r="FE126" s="9"/>
      <c r="FF126" s="9"/>
      <c r="FG126" s="9"/>
      <c r="FH126" s="9"/>
      <c r="FI126" s="9"/>
      <c r="FJ126" s="9"/>
      <c r="FK126" s="9"/>
      <c r="FL126" s="9"/>
      <c r="FM126" s="9"/>
      <c r="FN126" s="9"/>
      <c r="FO126" s="9"/>
      <c r="FP126" s="9"/>
      <c r="FQ126" s="9"/>
      <c r="FR126" s="9"/>
      <c r="FS126" s="9"/>
      <c r="FT126" s="9"/>
      <c r="FU126" s="9"/>
      <c r="FV126" s="9"/>
      <c r="FW126" s="9"/>
      <c r="FX126" s="9"/>
      <c r="FY126" s="9"/>
      <c r="FZ126" s="9"/>
      <c r="GA126" s="9"/>
      <c r="GB126" s="9"/>
      <c r="GC126" s="9"/>
      <c r="GD126" s="9"/>
      <c r="GE126" s="9"/>
      <c r="GF126" s="9"/>
      <c r="GG126" s="9"/>
      <c r="GH126" s="9"/>
      <c r="GI126" s="9"/>
      <c r="GJ126" s="9"/>
      <c r="GK126" s="9"/>
      <c r="GL126" s="9"/>
      <c r="GM126" s="9"/>
      <c r="GN126" s="9"/>
      <c r="GO126" s="9"/>
      <c r="GP126" s="9"/>
      <c r="GQ126" s="9"/>
      <c r="GR126" s="9"/>
      <c r="GS126" s="9"/>
      <c r="GT126" s="9"/>
      <c r="GU126" s="9"/>
      <c r="GV126" s="9"/>
      <c r="GW126" s="9"/>
      <c r="GX126" s="9"/>
      <c r="GY126" s="9"/>
      <c r="GZ126" s="9"/>
      <c r="HA126" s="9"/>
      <c r="HB126" s="9"/>
      <c r="HC126" s="9"/>
      <c r="HD126" s="9"/>
      <c r="HE126" s="9"/>
      <c r="HF126" s="9"/>
      <c r="HG126" s="9"/>
      <c r="HH126" s="9"/>
      <c r="HI126" s="9"/>
      <c r="HJ126" s="9"/>
      <c r="HK126" s="9"/>
      <c r="HL126" s="9"/>
      <c r="HM126" s="9"/>
      <c r="HN126" s="9"/>
      <c r="HO126" s="9"/>
      <c r="HP126" s="9"/>
      <c r="HQ126" s="9"/>
      <c r="HR126" s="9"/>
      <c r="HS126" s="9"/>
      <c r="HT126" s="9"/>
      <c r="HU126" s="9"/>
      <c r="HV126" s="9"/>
      <c r="HW126" s="9"/>
      <c r="HX126" s="9"/>
      <c r="HY126" s="9"/>
      <c r="HZ126" s="9"/>
      <c r="IA126" s="9"/>
      <c r="IB126" s="9"/>
      <c r="IC126" s="9"/>
      <c r="ID126" s="9"/>
      <c r="IE126" s="9"/>
      <c r="IF126" s="9"/>
      <c r="IG126" s="9"/>
      <c r="IH126" s="9"/>
      <c r="II126" s="9"/>
      <c r="IJ126" s="9"/>
      <c r="IK126" s="9"/>
      <c r="IL126" s="9"/>
      <c r="IM126" s="9"/>
      <c r="IN126" s="9"/>
      <c r="IO126" s="9"/>
      <c r="IP126" s="9"/>
      <c r="IQ126" s="9"/>
      <c r="IR126" s="9"/>
      <c r="IS126" s="9"/>
      <c r="IT126" s="9"/>
      <c r="IU126" s="9"/>
      <c r="IV126" s="9"/>
      <c r="IW126" s="9"/>
      <c r="IX126" s="9"/>
      <c r="IY126" s="9"/>
      <c r="IZ126" s="9"/>
      <c r="JA126" s="9"/>
      <c r="JB126" s="9"/>
      <c r="JC126" s="9"/>
      <c r="JD126" s="9"/>
      <c r="JE126" s="9"/>
      <c r="JF126" s="9"/>
      <c r="JG126" s="9"/>
      <c r="JH126" s="9"/>
      <c r="JI126" s="9"/>
      <c r="JJ126" s="9"/>
      <c r="JK126" s="9"/>
      <c r="JL126" s="9"/>
      <c r="JM126" s="9"/>
      <c r="JN126" s="9"/>
      <c r="JO126" s="9"/>
      <c r="JP126" s="9"/>
      <c r="JQ126" s="9"/>
      <c r="JR126" s="9"/>
      <c r="JS126" s="9"/>
      <c r="JT126" s="9"/>
      <c r="JU126" s="9"/>
      <c r="JV126" s="9"/>
      <c r="JW126" s="9"/>
      <c r="JX126" s="9"/>
      <c r="JY126" s="9"/>
      <c r="JZ126" s="9"/>
      <c r="KA126" s="9"/>
      <c r="KB126" s="9"/>
      <c r="KC126" s="9"/>
      <c r="KD126" s="9"/>
      <c r="KE126" s="9"/>
      <c r="KF126" s="9"/>
      <c r="KG126" s="9"/>
      <c r="KH126" s="9"/>
      <c r="KI126" s="9"/>
      <c r="KJ126" s="9"/>
      <c r="KK126" s="9"/>
      <c r="KL126" s="9"/>
      <c r="KM126" s="9"/>
      <c r="KN126" s="9"/>
      <c r="KO126" s="9"/>
      <c r="KP126" s="9"/>
      <c r="KQ126" s="9"/>
      <c r="KR126" s="9"/>
      <c r="KS126" s="9"/>
      <c r="KT126" s="9"/>
      <c r="KU126" s="9"/>
      <c r="KV126" s="9"/>
      <c r="KW126" s="9"/>
      <c r="KX126" s="9"/>
      <c r="KY126" s="9"/>
      <c r="KZ126" s="9"/>
      <c r="LA126" s="9"/>
      <c r="LB126" s="9"/>
      <c r="LC126" s="9"/>
      <c r="LD126" s="9"/>
      <c r="LE126" s="9"/>
      <c r="LF126" s="9"/>
      <c r="LG126" s="9"/>
      <c r="LH126" s="9"/>
      <c r="LI126" s="9"/>
      <c r="LJ126" s="9"/>
      <c r="LK126" s="9"/>
      <c r="LL126" s="9"/>
      <c r="LM126" s="9"/>
      <c r="LN126" s="9"/>
      <c r="LO126" s="9"/>
      <c r="LP126" s="9"/>
      <c r="LQ126" s="9"/>
      <c r="LR126" s="9"/>
      <c r="LS126" s="9"/>
      <c r="LT126" s="9"/>
      <c r="LU126" s="9"/>
      <c r="LV126" s="9"/>
      <c r="LW126" s="9"/>
      <c r="LX126" s="9"/>
      <c r="LY126" s="9"/>
      <c r="LZ126" s="9"/>
      <c r="MA126" s="9"/>
      <c r="MB126" s="9"/>
      <c r="MC126" s="9"/>
      <c r="MD126" s="9"/>
      <c r="ME126" s="9"/>
      <c r="MF126" s="9"/>
      <c r="MG126" s="9"/>
      <c r="MH126" s="9"/>
      <c r="MI126" s="9"/>
      <c r="MJ126" s="9"/>
      <c r="MK126" s="9"/>
    </row>
    <row r="127" spans="1:349" hidden="1" x14ac:dyDescent="0.25">
      <c r="A127" s="9"/>
      <c r="B127" s="9"/>
      <c r="C127" s="9"/>
      <c r="D127" s="9"/>
      <c r="E127" s="9"/>
      <c r="F127" s="9"/>
      <c r="G127" s="9"/>
      <c r="H127" s="9"/>
      <c r="I127" s="9"/>
      <c r="J127" s="9"/>
      <c r="K127" s="9"/>
      <c r="L127" s="9"/>
      <c r="M127" s="9"/>
      <c r="N127" s="9"/>
      <c r="O127" s="9"/>
      <c r="AG127" s="9"/>
      <c r="AH127" s="9"/>
      <c r="AI127" s="9"/>
      <c r="AJ127" s="9"/>
      <c r="AK127" s="9"/>
      <c r="AL127" s="9"/>
      <c r="AM127" s="9"/>
      <c r="AN127" s="9"/>
      <c r="AO127" s="9"/>
      <c r="AP127" s="9"/>
      <c r="AQ127" s="9"/>
      <c r="AR127" s="9"/>
      <c r="AS127" s="9"/>
      <c r="AT127" s="9"/>
      <c r="AU127" s="9"/>
      <c r="AV127" s="9"/>
      <c r="AW127" s="9"/>
      <c r="AX127" s="9"/>
      <c r="AY127" s="9"/>
      <c r="AZ127" s="9"/>
      <c r="BA127" s="9"/>
      <c r="BB127" s="9"/>
      <c r="BC127" s="9"/>
      <c r="BD127" s="9"/>
      <c r="BE127" s="9"/>
      <c r="BF127" s="9"/>
      <c r="BG127" s="9"/>
      <c r="BH127" s="9"/>
      <c r="BI127" s="9"/>
      <c r="BJ127" s="9"/>
      <c r="BK127" s="9"/>
      <c r="BL127" s="9"/>
      <c r="BM127" s="9"/>
      <c r="BN127" s="9"/>
      <c r="BO127" s="9"/>
      <c r="BP127" s="9"/>
      <c r="BQ127" s="9"/>
      <c r="BR127" s="9"/>
      <c r="BS127" s="9"/>
      <c r="BT127" s="9"/>
      <c r="BU127" s="9"/>
      <c r="BV127" s="9"/>
      <c r="BW127" s="9"/>
      <c r="BX127" s="9"/>
      <c r="BY127" s="9"/>
      <c r="BZ127" s="9"/>
      <c r="CA127" s="9"/>
      <c r="CB127" s="9"/>
      <c r="CC127" s="9"/>
      <c r="CD127" s="9"/>
      <c r="CE127" s="9"/>
      <c r="CF127" s="9"/>
      <c r="CG127" s="9"/>
      <c r="CH127" s="9"/>
      <c r="CI127" s="9"/>
      <c r="CJ127" s="9"/>
      <c r="CK127" s="9"/>
      <c r="CL127" s="9"/>
      <c r="CM127" s="9"/>
      <c r="CN127" s="9"/>
      <c r="CO127" s="9"/>
      <c r="CP127" s="9"/>
      <c r="CQ127" s="9"/>
      <c r="CR127" s="9"/>
      <c r="CS127" s="9"/>
      <c r="CT127" s="9"/>
      <c r="CU127" s="9"/>
      <c r="CV127" s="9"/>
      <c r="CW127" s="9"/>
      <c r="CX127" s="9"/>
      <c r="CY127" s="9"/>
      <c r="CZ127" s="9"/>
      <c r="DA127" s="9"/>
      <c r="DB127" s="9"/>
      <c r="DC127" s="9"/>
      <c r="DD127" s="9"/>
      <c r="DE127" s="9"/>
      <c r="DF127" s="9"/>
      <c r="DG127" s="9"/>
      <c r="DH127" s="9"/>
      <c r="DI127" s="9"/>
      <c r="DJ127" s="9"/>
      <c r="DK127" s="9"/>
      <c r="DL127" s="9"/>
      <c r="DM127" s="9"/>
      <c r="DN127" s="9"/>
      <c r="DO127" s="9"/>
      <c r="DP127" s="9"/>
      <c r="DQ127" s="9"/>
      <c r="DR127" s="9"/>
      <c r="DS127" s="9"/>
      <c r="DT127" s="9"/>
      <c r="DU127" s="9"/>
      <c r="DV127" s="9"/>
      <c r="DW127" s="9"/>
      <c r="DX127" s="9"/>
      <c r="DY127" s="9"/>
      <c r="DZ127" s="9"/>
      <c r="EA127" s="9"/>
      <c r="EB127" s="9"/>
      <c r="EC127" s="9"/>
      <c r="ED127" s="9"/>
      <c r="EE127" s="9"/>
      <c r="EF127" s="9"/>
      <c r="EG127" s="9"/>
      <c r="EH127" s="9"/>
      <c r="EI127" s="9"/>
      <c r="EJ127" s="9"/>
      <c r="EK127" s="9"/>
      <c r="EL127" s="9"/>
      <c r="EM127" s="9"/>
      <c r="EN127" s="9"/>
      <c r="EO127" s="9"/>
      <c r="EP127" s="9"/>
      <c r="EQ127" s="9"/>
      <c r="ER127" s="9"/>
      <c r="ES127" s="9"/>
      <c r="ET127" s="9"/>
      <c r="EU127" s="9"/>
      <c r="EV127" s="9"/>
      <c r="EW127" s="9"/>
      <c r="EX127" s="9"/>
      <c r="EY127" s="9"/>
      <c r="EZ127" s="9"/>
      <c r="FA127" s="9"/>
      <c r="FB127" s="9"/>
      <c r="FC127" s="9"/>
      <c r="FD127" s="9"/>
      <c r="FE127" s="9"/>
      <c r="FF127" s="9"/>
      <c r="FG127" s="9"/>
      <c r="FH127" s="9"/>
      <c r="FI127" s="9"/>
      <c r="FJ127" s="9"/>
      <c r="FK127" s="9"/>
      <c r="FL127" s="9"/>
      <c r="FM127" s="9"/>
      <c r="FN127" s="9"/>
      <c r="FO127" s="9"/>
      <c r="FP127" s="9"/>
      <c r="FQ127" s="9"/>
      <c r="FR127" s="9"/>
      <c r="FS127" s="9"/>
      <c r="FT127" s="9"/>
      <c r="FU127" s="9"/>
      <c r="FV127" s="9"/>
      <c r="FW127" s="9"/>
      <c r="FX127" s="9"/>
      <c r="FY127" s="9"/>
      <c r="FZ127" s="9"/>
      <c r="GA127" s="9"/>
      <c r="GB127" s="9"/>
      <c r="GC127" s="9"/>
      <c r="GD127" s="9"/>
      <c r="GE127" s="9"/>
      <c r="GF127" s="9"/>
      <c r="GG127" s="9"/>
      <c r="GH127" s="9"/>
      <c r="GI127" s="9"/>
      <c r="GJ127" s="9"/>
      <c r="GK127" s="9"/>
      <c r="GL127" s="9"/>
      <c r="GM127" s="9"/>
      <c r="GN127" s="9"/>
      <c r="GO127" s="9"/>
      <c r="GP127" s="9"/>
      <c r="GQ127" s="9"/>
      <c r="GR127" s="9"/>
      <c r="GS127" s="9"/>
      <c r="GT127" s="9"/>
      <c r="GU127" s="9"/>
      <c r="GV127" s="9"/>
      <c r="GW127" s="9"/>
      <c r="GX127" s="9"/>
      <c r="GY127" s="9"/>
      <c r="GZ127" s="9"/>
      <c r="HA127" s="9"/>
      <c r="HB127" s="9"/>
      <c r="HC127" s="9"/>
      <c r="HD127" s="9"/>
      <c r="HE127" s="9"/>
      <c r="HF127" s="9"/>
      <c r="HG127" s="9"/>
      <c r="HH127" s="9"/>
      <c r="HI127" s="9"/>
      <c r="HJ127" s="9"/>
      <c r="HK127" s="9"/>
      <c r="HL127" s="9"/>
      <c r="HM127" s="9"/>
      <c r="HN127" s="9"/>
      <c r="HO127" s="9"/>
      <c r="HP127" s="9"/>
      <c r="HQ127" s="9"/>
      <c r="HR127" s="9"/>
      <c r="HS127" s="9"/>
      <c r="HT127" s="9"/>
      <c r="HU127" s="9"/>
      <c r="HV127" s="9"/>
      <c r="HW127" s="9"/>
      <c r="HX127" s="9"/>
      <c r="HY127" s="9"/>
      <c r="HZ127" s="9"/>
      <c r="IA127" s="9"/>
      <c r="IB127" s="9"/>
      <c r="IC127" s="9"/>
      <c r="ID127" s="9"/>
      <c r="IE127" s="9"/>
      <c r="IF127" s="9"/>
      <c r="IG127" s="9"/>
      <c r="IH127" s="9"/>
      <c r="II127" s="9"/>
      <c r="IJ127" s="9"/>
      <c r="IK127" s="9"/>
      <c r="IL127" s="9"/>
      <c r="IM127" s="9"/>
      <c r="IN127" s="9"/>
      <c r="IO127" s="9"/>
      <c r="IP127" s="9"/>
      <c r="IQ127" s="9"/>
      <c r="IR127" s="9"/>
      <c r="IS127" s="9"/>
      <c r="IT127" s="9"/>
      <c r="IU127" s="9"/>
      <c r="IV127" s="9"/>
      <c r="IW127" s="9"/>
      <c r="IX127" s="9"/>
      <c r="IY127" s="9"/>
      <c r="IZ127" s="9"/>
      <c r="JA127" s="9"/>
      <c r="JB127" s="9"/>
      <c r="JC127" s="9"/>
      <c r="JD127" s="9"/>
      <c r="JE127" s="9"/>
      <c r="JF127" s="9"/>
      <c r="JG127" s="9"/>
      <c r="JH127" s="9"/>
      <c r="JI127" s="9"/>
      <c r="JJ127" s="9"/>
      <c r="JK127" s="9"/>
      <c r="JL127" s="9"/>
      <c r="JM127" s="9"/>
      <c r="JN127" s="9"/>
      <c r="JO127" s="9"/>
      <c r="JP127" s="9"/>
      <c r="JQ127" s="9"/>
      <c r="JR127" s="9"/>
      <c r="JS127" s="9"/>
      <c r="JT127" s="9"/>
      <c r="JU127" s="9"/>
      <c r="JV127" s="9"/>
      <c r="JW127" s="9"/>
      <c r="JX127" s="9"/>
      <c r="JY127" s="9"/>
      <c r="JZ127" s="9"/>
      <c r="KA127" s="9"/>
      <c r="KB127" s="9"/>
      <c r="KC127" s="9"/>
      <c r="KD127" s="9"/>
      <c r="KE127" s="9"/>
      <c r="KF127" s="9"/>
      <c r="KG127" s="9"/>
      <c r="KH127" s="9"/>
      <c r="KI127" s="9"/>
      <c r="KJ127" s="9"/>
      <c r="KK127" s="9"/>
      <c r="KL127" s="9"/>
      <c r="KM127" s="9"/>
      <c r="KN127" s="9"/>
      <c r="KO127" s="9"/>
      <c r="KP127" s="9"/>
      <c r="KQ127" s="9"/>
      <c r="KR127" s="9"/>
      <c r="KS127" s="9"/>
      <c r="KT127" s="9"/>
      <c r="KU127" s="9"/>
      <c r="KV127" s="9"/>
      <c r="KW127" s="9"/>
      <c r="KX127" s="9"/>
      <c r="KY127" s="9"/>
      <c r="KZ127" s="9"/>
      <c r="LA127" s="9"/>
      <c r="LB127" s="9"/>
      <c r="LC127" s="9"/>
      <c r="LD127" s="9"/>
      <c r="LE127" s="9"/>
      <c r="LF127" s="9"/>
      <c r="LG127" s="9"/>
      <c r="LH127" s="9"/>
      <c r="LI127" s="9"/>
      <c r="LJ127" s="9"/>
      <c r="LK127" s="9"/>
      <c r="LL127" s="9"/>
      <c r="LM127" s="9"/>
      <c r="LN127" s="9"/>
      <c r="LO127" s="9"/>
      <c r="LP127" s="9"/>
      <c r="LQ127" s="9"/>
      <c r="LR127" s="9"/>
      <c r="LS127" s="9"/>
      <c r="LT127" s="9"/>
      <c r="LU127" s="9"/>
      <c r="LV127" s="9"/>
      <c r="LW127" s="9"/>
      <c r="LX127" s="9"/>
      <c r="LY127" s="9"/>
      <c r="LZ127" s="9"/>
      <c r="MA127" s="9"/>
      <c r="MB127" s="9"/>
      <c r="MC127" s="9"/>
      <c r="MD127" s="9"/>
      <c r="ME127" s="9"/>
      <c r="MF127" s="9"/>
      <c r="MG127" s="9"/>
      <c r="MH127" s="9"/>
      <c r="MI127" s="9"/>
      <c r="MJ127" s="9"/>
      <c r="MK127" s="9"/>
    </row>
    <row r="128" spans="1:349" hidden="1" x14ac:dyDescent="0.25">
      <c r="A128" s="9"/>
      <c r="B128" s="9"/>
      <c r="C128" s="9"/>
      <c r="D128" s="9"/>
      <c r="E128" s="9"/>
      <c r="F128" s="9"/>
      <c r="G128" s="9"/>
      <c r="H128" s="9"/>
      <c r="I128" s="9"/>
      <c r="J128" s="9"/>
      <c r="K128" s="9"/>
      <c r="L128" s="9"/>
      <c r="M128" s="9"/>
      <c r="N128" s="9"/>
      <c r="O128" s="9"/>
      <c r="AG128" s="9"/>
      <c r="AH128" s="9"/>
      <c r="AI128" s="9"/>
      <c r="AJ128" s="9"/>
      <c r="AK128" s="9"/>
      <c r="AL128" s="9"/>
      <c r="AM128" s="9"/>
      <c r="AN128" s="9"/>
      <c r="AO128" s="9"/>
      <c r="AP128" s="9"/>
      <c r="AQ128" s="9"/>
      <c r="AR128" s="9"/>
      <c r="AS128" s="9"/>
      <c r="AT128" s="9"/>
      <c r="AU128" s="9"/>
      <c r="AV128" s="9"/>
      <c r="AW128" s="9"/>
      <c r="AX128" s="9"/>
      <c r="AY128" s="9"/>
      <c r="AZ128" s="9"/>
      <c r="BA128" s="9"/>
      <c r="BB128" s="9"/>
      <c r="BC128" s="9"/>
      <c r="BD128" s="9"/>
      <c r="BE128" s="9"/>
      <c r="BF128" s="9"/>
      <c r="BG128" s="9"/>
      <c r="BH128" s="9"/>
      <c r="BI128" s="9"/>
      <c r="BJ128" s="9"/>
      <c r="BK128" s="9"/>
      <c r="BL128" s="9"/>
      <c r="BM128" s="9"/>
      <c r="BN128" s="9"/>
      <c r="BO128" s="9"/>
      <c r="BP128" s="9"/>
      <c r="BQ128" s="9"/>
      <c r="BR128" s="9"/>
      <c r="BS128" s="9"/>
      <c r="BT128" s="9"/>
      <c r="BU128" s="9"/>
      <c r="BV128" s="9"/>
      <c r="BW128" s="9"/>
      <c r="BX128" s="9"/>
      <c r="BY128" s="9"/>
      <c r="BZ128" s="9"/>
      <c r="CA128" s="9"/>
      <c r="CB128" s="9"/>
      <c r="CC128" s="9"/>
      <c r="CD128" s="9"/>
      <c r="CE128" s="9"/>
      <c r="CF128" s="9"/>
      <c r="CG128" s="9"/>
      <c r="CH128" s="9"/>
      <c r="CI128" s="9"/>
      <c r="CJ128" s="9"/>
      <c r="CK128" s="9"/>
      <c r="CL128" s="9"/>
      <c r="CM128" s="9"/>
      <c r="CN128" s="9"/>
      <c r="CO128" s="9"/>
      <c r="CP128" s="9"/>
      <c r="CQ128" s="9"/>
      <c r="CR128" s="9"/>
      <c r="CS128" s="9"/>
      <c r="CT128" s="9"/>
      <c r="CU128" s="9"/>
      <c r="CV128" s="9"/>
      <c r="CW128" s="9"/>
      <c r="CX128" s="9"/>
      <c r="CY128" s="9"/>
      <c r="CZ128" s="9"/>
      <c r="DA128" s="9"/>
      <c r="DB128" s="9"/>
      <c r="DC128" s="9"/>
      <c r="DD128" s="9"/>
      <c r="DE128" s="9"/>
      <c r="DF128" s="9"/>
      <c r="DG128" s="9"/>
      <c r="DH128" s="9"/>
      <c r="DI128" s="9"/>
      <c r="DJ128" s="9"/>
      <c r="DK128" s="9"/>
      <c r="DL128" s="9"/>
      <c r="DM128" s="9"/>
      <c r="DN128" s="9"/>
      <c r="DO128" s="9"/>
      <c r="DP128" s="9"/>
      <c r="DQ128" s="9"/>
      <c r="DR128" s="9"/>
      <c r="DS128" s="9"/>
      <c r="DT128" s="9"/>
      <c r="DU128" s="9"/>
      <c r="DV128" s="9"/>
      <c r="DW128" s="9"/>
      <c r="DX128" s="9"/>
      <c r="DY128" s="9"/>
      <c r="DZ128" s="9"/>
      <c r="EA128" s="9"/>
      <c r="EB128" s="9"/>
      <c r="EC128" s="9"/>
      <c r="ED128" s="9"/>
      <c r="EE128" s="9"/>
      <c r="EF128" s="9"/>
      <c r="EG128" s="9"/>
      <c r="EH128" s="9"/>
      <c r="EI128" s="9"/>
      <c r="EJ128" s="9"/>
      <c r="EK128" s="9"/>
      <c r="EL128" s="9"/>
      <c r="EM128" s="9"/>
      <c r="EN128" s="9"/>
      <c r="EO128" s="9"/>
      <c r="EP128" s="9"/>
      <c r="EQ128" s="9"/>
      <c r="ER128" s="9"/>
      <c r="ES128" s="9"/>
      <c r="ET128" s="9"/>
      <c r="EU128" s="9"/>
      <c r="EV128" s="9"/>
      <c r="EW128" s="9"/>
      <c r="EX128" s="9"/>
      <c r="EY128" s="9"/>
      <c r="EZ128" s="9"/>
      <c r="FA128" s="9"/>
      <c r="FB128" s="9"/>
      <c r="FC128" s="9"/>
      <c r="FD128" s="9"/>
      <c r="FE128" s="9"/>
      <c r="FF128" s="9"/>
      <c r="FG128" s="9"/>
      <c r="FH128" s="9"/>
      <c r="FI128" s="9"/>
      <c r="FJ128" s="9"/>
      <c r="FK128" s="9"/>
      <c r="FL128" s="9"/>
      <c r="FM128" s="9"/>
      <c r="FN128" s="9"/>
      <c r="FO128" s="9"/>
      <c r="FP128" s="9"/>
      <c r="FQ128" s="9"/>
      <c r="FR128" s="9"/>
      <c r="FS128" s="9"/>
      <c r="FT128" s="9"/>
      <c r="FU128" s="9"/>
      <c r="FV128" s="9"/>
      <c r="FW128" s="9"/>
      <c r="FX128" s="9"/>
      <c r="FY128" s="9"/>
      <c r="FZ128" s="9"/>
      <c r="GA128" s="9"/>
      <c r="GB128" s="9"/>
      <c r="GC128" s="9"/>
      <c r="GD128" s="9"/>
      <c r="GE128" s="9"/>
      <c r="GF128" s="9"/>
      <c r="GG128" s="9"/>
      <c r="GH128" s="9"/>
      <c r="GI128" s="9"/>
      <c r="GJ128" s="9"/>
      <c r="GK128" s="9"/>
      <c r="GL128" s="9"/>
      <c r="GM128" s="9"/>
      <c r="GN128" s="9"/>
      <c r="GO128" s="9"/>
      <c r="GP128" s="9"/>
      <c r="GQ128" s="9"/>
      <c r="GR128" s="9"/>
      <c r="GS128" s="9"/>
      <c r="GT128" s="9"/>
      <c r="GU128" s="9"/>
      <c r="GV128" s="9"/>
      <c r="GW128" s="9"/>
      <c r="GX128" s="9"/>
      <c r="GY128" s="9"/>
      <c r="GZ128" s="9"/>
      <c r="HA128" s="9"/>
      <c r="HB128" s="9"/>
      <c r="HC128" s="9"/>
      <c r="HD128" s="9"/>
      <c r="HE128" s="9"/>
      <c r="HF128" s="9"/>
      <c r="HG128" s="9"/>
      <c r="HH128" s="9"/>
      <c r="HI128" s="9"/>
      <c r="HJ128" s="9"/>
      <c r="HK128" s="9"/>
      <c r="HL128" s="9"/>
      <c r="HM128" s="9"/>
      <c r="HN128" s="9"/>
      <c r="HO128" s="9"/>
      <c r="HP128" s="9"/>
      <c r="HQ128" s="9"/>
      <c r="HR128" s="9"/>
      <c r="HS128" s="9"/>
      <c r="HT128" s="9"/>
      <c r="HU128" s="9"/>
      <c r="HV128" s="9"/>
      <c r="HW128" s="9"/>
      <c r="HX128" s="9"/>
      <c r="HY128" s="9"/>
      <c r="HZ128" s="9"/>
      <c r="IA128" s="9"/>
      <c r="IB128" s="9"/>
      <c r="IC128" s="9"/>
      <c r="ID128" s="9"/>
      <c r="IE128" s="9"/>
      <c r="IF128" s="9"/>
      <c r="IG128" s="9"/>
      <c r="IH128" s="9"/>
      <c r="II128" s="9"/>
      <c r="IJ128" s="9"/>
      <c r="IK128" s="9"/>
      <c r="IL128" s="9"/>
      <c r="IM128" s="9"/>
      <c r="IN128" s="9"/>
      <c r="IO128" s="9"/>
      <c r="IP128" s="9"/>
      <c r="IQ128" s="9"/>
      <c r="IR128" s="9"/>
      <c r="IS128" s="9"/>
      <c r="IT128" s="9"/>
      <c r="IU128" s="9"/>
      <c r="IV128" s="9"/>
      <c r="IW128" s="9"/>
      <c r="IX128" s="9"/>
      <c r="IY128" s="9"/>
      <c r="IZ128" s="9"/>
      <c r="JA128" s="9"/>
      <c r="JB128" s="9"/>
      <c r="JC128" s="9"/>
      <c r="JD128" s="9"/>
      <c r="JE128" s="9"/>
      <c r="JF128" s="9"/>
      <c r="JG128" s="9"/>
      <c r="JH128" s="9"/>
      <c r="JI128" s="9"/>
      <c r="JJ128" s="9"/>
      <c r="JK128" s="9"/>
      <c r="JL128" s="9"/>
      <c r="JM128" s="9"/>
      <c r="JN128" s="9"/>
      <c r="JO128" s="9"/>
      <c r="JP128" s="9"/>
      <c r="JQ128" s="9"/>
      <c r="JR128" s="9"/>
      <c r="JS128" s="9"/>
      <c r="JT128" s="9"/>
      <c r="JU128" s="9"/>
      <c r="JV128" s="9"/>
      <c r="JW128" s="9"/>
      <c r="JX128" s="9"/>
      <c r="JY128" s="9"/>
      <c r="JZ128" s="9"/>
      <c r="KA128" s="9"/>
      <c r="KB128" s="9"/>
      <c r="KC128" s="9"/>
      <c r="KD128" s="9"/>
      <c r="KE128" s="9"/>
      <c r="KF128" s="9"/>
      <c r="KG128" s="9"/>
      <c r="KH128" s="9"/>
      <c r="KI128" s="9"/>
      <c r="KJ128" s="9"/>
      <c r="KK128" s="9"/>
      <c r="KL128" s="9"/>
      <c r="KM128" s="9"/>
      <c r="KN128" s="9"/>
      <c r="KO128" s="9"/>
      <c r="KP128" s="9"/>
      <c r="KQ128" s="9"/>
      <c r="KR128" s="9"/>
      <c r="KS128" s="9"/>
      <c r="KT128" s="9"/>
      <c r="KU128" s="9"/>
      <c r="KV128" s="9"/>
      <c r="KW128" s="9"/>
      <c r="KX128" s="9"/>
      <c r="KY128" s="9"/>
      <c r="KZ128" s="9"/>
      <c r="LA128" s="9"/>
      <c r="LB128" s="9"/>
      <c r="LC128" s="9"/>
      <c r="LD128" s="9"/>
      <c r="LE128" s="9"/>
      <c r="LF128" s="9"/>
      <c r="LG128" s="9"/>
      <c r="LH128" s="9"/>
      <c r="LI128" s="9"/>
      <c r="LJ128" s="9"/>
      <c r="LK128" s="9"/>
      <c r="LL128" s="9"/>
      <c r="LM128" s="9"/>
      <c r="LN128" s="9"/>
      <c r="LO128" s="9"/>
      <c r="LP128" s="9"/>
      <c r="LQ128" s="9"/>
      <c r="LR128" s="9"/>
      <c r="LS128" s="9"/>
      <c r="LT128" s="9"/>
      <c r="LU128" s="9"/>
      <c r="LV128" s="9"/>
      <c r="LW128" s="9"/>
      <c r="LX128" s="9"/>
      <c r="LY128" s="9"/>
      <c r="LZ128" s="9"/>
      <c r="MA128" s="9"/>
      <c r="MB128" s="9"/>
      <c r="MC128" s="9"/>
      <c r="MD128" s="9"/>
      <c r="ME128" s="9"/>
      <c r="MF128" s="9"/>
      <c r="MG128" s="9"/>
      <c r="MH128" s="9"/>
      <c r="MI128" s="9"/>
      <c r="MJ128" s="9"/>
      <c r="MK128" s="9"/>
    </row>
    <row r="129" spans="1:349" hidden="1" x14ac:dyDescent="0.25">
      <c r="A129" s="9"/>
      <c r="B129" s="9"/>
      <c r="C129" s="9"/>
      <c r="D129" s="9"/>
      <c r="E129" s="9"/>
      <c r="F129" s="9"/>
      <c r="G129" s="9"/>
      <c r="H129" s="9"/>
      <c r="I129" s="9"/>
      <c r="J129" s="9"/>
      <c r="K129" s="9"/>
      <c r="L129" s="9"/>
      <c r="M129" s="9"/>
      <c r="N129" s="9"/>
      <c r="O129" s="9"/>
      <c r="AG129" s="9"/>
      <c r="AH129" s="9"/>
      <c r="AI129" s="9"/>
      <c r="AJ129" s="9"/>
      <c r="AK129" s="9"/>
      <c r="AL129" s="9"/>
      <c r="AM129" s="9"/>
      <c r="AN129" s="9"/>
      <c r="AO129" s="9"/>
      <c r="AP129" s="9"/>
      <c r="AQ129" s="9"/>
      <c r="AR129" s="9"/>
      <c r="AS129" s="9"/>
      <c r="AT129" s="9"/>
      <c r="AU129" s="9"/>
      <c r="AV129" s="9"/>
      <c r="AW129" s="9"/>
      <c r="AX129" s="9"/>
      <c r="AY129" s="9"/>
      <c r="AZ129" s="9"/>
      <c r="BA129" s="9"/>
      <c r="BB129" s="9"/>
      <c r="BC129" s="9"/>
      <c r="BD129" s="9"/>
      <c r="BE129" s="9"/>
      <c r="BF129" s="9"/>
      <c r="BG129" s="9"/>
      <c r="BH129" s="9"/>
      <c r="BI129" s="9"/>
      <c r="BJ129" s="9"/>
      <c r="BK129" s="9"/>
      <c r="BL129" s="9"/>
      <c r="BM129" s="9"/>
      <c r="BN129" s="9"/>
      <c r="BO129" s="9"/>
      <c r="BP129" s="9"/>
      <c r="BQ129" s="9"/>
      <c r="BR129" s="9"/>
      <c r="BS129" s="9"/>
      <c r="BT129" s="9"/>
      <c r="BU129" s="9"/>
      <c r="BV129" s="9"/>
      <c r="BW129" s="9"/>
      <c r="BX129" s="9"/>
      <c r="BY129" s="9"/>
      <c r="BZ129" s="9"/>
      <c r="CA129" s="9"/>
      <c r="CB129" s="9"/>
      <c r="CC129" s="9"/>
      <c r="CD129" s="9"/>
      <c r="CE129" s="9"/>
      <c r="CF129" s="9"/>
      <c r="CG129" s="9"/>
      <c r="CH129" s="9"/>
      <c r="CI129" s="9"/>
      <c r="CJ129" s="9"/>
      <c r="CK129" s="9"/>
      <c r="CL129" s="9"/>
      <c r="CM129" s="9"/>
      <c r="CN129" s="9"/>
      <c r="CO129" s="9"/>
      <c r="CP129" s="9"/>
      <c r="CQ129" s="9"/>
      <c r="CR129" s="9"/>
      <c r="CS129" s="9"/>
      <c r="CT129" s="9"/>
      <c r="CU129" s="9"/>
      <c r="CV129" s="9"/>
      <c r="CW129" s="9"/>
      <c r="CX129" s="9"/>
      <c r="CY129" s="9"/>
      <c r="CZ129" s="9"/>
      <c r="DA129" s="9"/>
      <c r="DB129" s="9"/>
      <c r="DC129" s="9"/>
      <c r="DD129" s="9"/>
      <c r="DE129" s="9"/>
      <c r="DF129" s="9"/>
      <c r="DG129" s="9"/>
      <c r="DH129" s="9"/>
      <c r="DI129" s="9"/>
      <c r="DJ129" s="9"/>
      <c r="DK129" s="9"/>
      <c r="DL129" s="9"/>
      <c r="DM129" s="9"/>
      <c r="DN129" s="9"/>
      <c r="DO129" s="9"/>
      <c r="DP129" s="9"/>
      <c r="DQ129" s="9"/>
      <c r="DR129" s="9"/>
      <c r="DS129" s="9"/>
      <c r="DT129" s="9"/>
      <c r="DU129" s="9"/>
      <c r="DV129" s="9"/>
      <c r="DW129" s="9"/>
      <c r="DX129" s="9"/>
      <c r="DY129" s="9"/>
      <c r="DZ129" s="9"/>
      <c r="EA129" s="9"/>
      <c r="EB129" s="9"/>
      <c r="EC129" s="9"/>
      <c r="ED129" s="9"/>
      <c r="EE129" s="9"/>
      <c r="EF129" s="9"/>
      <c r="EG129" s="9"/>
      <c r="EH129" s="9"/>
      <c r="EI129" s="9"/>
      <c r="EJ129" s="9"/>
      <c r="EK129" s="9"/>
      <c r="EL129" s="9"/>
      <c r="EM129" s="9"/>
      <c r="EN129" s="9"/>
      <c r="EO129" s="9"/>
      <c r="EP129" s="9"/>
      <c r="EQ129" s="9"/>
      <c r="ER129" s="9"/>
      <c r="ES129" s="9"/>
      <c r="ET129" s="9"/>
      <c r="EU129" s="9"/>
      <c r="EV129" s="9"/>
      <c r="EW129" s="9"/>
      <c r="EX129" s="9"/>
      <c r="EY129" s="9"/>
      <c r="EZ129" s="9"/>
      <c r="FA129" s="9"/>
      <c r="FB129" s="9"/>
      <c r="FC129" s="9"/>
      <c r="FD129" s="9"/>
      <c r="FE129" s="9"/>
      <c r="FF129" s="9"/>
      <c r="FG129" s="9"/>
      <c r="FH129" s="9"/>
      <c r="FI129" s="9"/>
      <c r="FJ129" s="9"/>
      <c r="FK129" s="9"/>
      <c r="FL129" s="9"/>
      <c r="FM129" s="9"/>
      <c r="FN129" s="9"/>
      <c r="FO129" s="9"/>
      <c r="FP129" s="9"/>
      <c r="FQ129" s="9"/>
      <c r="FR129" s="9"/>
      <c r="FS129" s="9"/>
      <c r="FT129" s="9"/>
      <c r="FU129" s="9"/>
      <c r="FV129" s="9"/>
      <c r="FW129" s="9"/>
      <c r="FX129" s="9"/>
      <c r="FY129" s="9"/>
      <c r="FZ129" s="9"/>
      <c r="GA129" s="9"/>
      <c r="GB129" s="9"/>
      <c r="GC129" s="9"/>
      <c r="GD129" s="9"/>
      <c r="GE129" s="9"/>
      <c r="GF129" s="9"/>
      <c r="GG129" s="9"/>
      <c r="GH129" s="9"/>
      <c r="GI129" s="9"/>
      <c r="GJ129" s="9"/>
      <c r="GK129" s="9"/>
      <c r="GL129" s="9"/>
      <c r="GM129" s="9"/>
      <c r="GN129" s="9"/>
      <c r="GO129" s="9"/>
      <c r="GP129" s="9"/>
      <c r="GQ129" s="9"/>
      <c r="GR129" s="9"/>
      <c r="GS129" s="9"/>
      <c r="GT129" s="9"/>
      <c r="GU129" s="9"/>
      <c r="GV129" s="9"/>
      <c r="GW129" s="9"/>
      <c r="GX129" s="9"/>
      <c r="GY129" s="9"/>
      <c r="GZ129" s="9"/>
      <c r="HA129" s="9"/>
      <c r="HB129" s="9"/>
      <c r="HC129" s="9"/>
      <c r="HD129" s="9"/>
      <c r="HE129" s="9"/>
      <c r="HF129" s="9"/>
      <c r="HG129" s="9"/>
      <c r="HH129" s="9"/>
      <c r="HI129" s="9"/>
      <c r="HJ129" s="9"/>
      <c r="HK129" s="9"/>
      <c r="HL129" s="9"/>
      <c r="HM129" s="9"/>
      <c r="HN129" s="9"/>
      <c r="HO129" s="9"/>
      <c r="HP129" s="9"/>
      <c r="HQ129" s="9"/>
      <c r="HR129" s="9"/>
      <c r="HS129" s="9"/>
      <c r="HT129" s="9"/>
      <c r="HU129" s="9"/>
      <c r="HV129" s="9"/>
      <c r="HW129" s="9"/>
      <c r="HX129" s="9"/>
      <c r="HY129" s="9"/>
      <c r="HZ129" s="9"/>
      <c r="IA129" s="9"/>
      <c r="IB129" s="9"/>
      <c r="IC129" s="9"/>
      <c r="ID129" s="9"/>
      <c r="IE129" s="9"/>
      <c r="IF129" s="9"/>
      <c r="IG129" s="9"/>
      <c r="IH129" s="9"/>
      <c r="II129" s="9"/>
      <c r="IJ129" s="9"/>
      <c r="IK129" s="9"/>
      <c r="IL129" s="9"/>
      <c r="IM129" s="9"/>
      <c r="IN129" s="9"/>
      <c r="IO129" s="9"/>
      <c r="IP129" s="9"/>
      <c r="IQ129" s="9"/>
      <c r="IR129" s="9"/>
      <c r="IS129" s="9"/>
      <c r="IT129" s="9"/>
      <c r="IU129" s="9"/>
      <c r="IV129" s="9"/>
      <c r="IW129" s="9"/>
      <c r="IX129" s="9"/>
      <c r="IY129" s="9"/>
      <c r="IZ129" s="9"/>
      <c r="JA129" s="9"/>
      <c r="JB129" s="9"/>
      <c r="JC129" s="9"/>
      <c r="JD129" s="9"/>
      <c r="JE129" s="9"/>
      <c r="JF129" s="9"/>
      <c r="JG129" s="9"/>
      <c r="JH129" s="9"/>
      <c r="JI129" s="9"/>
      <c r="JJ129" s="9"/>
      <c r="JK129" s="9"/>
      <c r="JL129" s="9"/>
      <c r="JM129" s="9"/>
      <c r="JN129" s="9"/>
      <c r="JO129" s="9"/>
      <c r="JP129" s="9"/>
      <c r="JQ129" s="9"/>
      <c r="JR129" s="9"/>
      <c r="JS129" s="9"/>
      <c r="JT129" s="9"/>
      <c r="JU129" s="9"/>
      <c r="JV129" s="9"/>
      <c r="JW129" s="9"/>
      <c r="JX129" s="9"/>
      <c r="JY129" s="9"/>
      <c r="JZ129" s="9"/>
      <c r="KA129" s="9"/>
      <c r="KB129" s="9"/>
      <c r="KC129" s="9"/>
      <c r="KD129" s="9"/>
      <c r="KE129" s="9"/>
      <c r="KF129" s="9"/>
      <c r="KG129" s="9"/>
      <c r="KH129" s="9"/>
      <c r="KI129" s="9"/>
      <c r="KJ129" s="9"/>
      <c r="KK129" s="9"/>
      <c r="KL129" s="9"/>
      <c r="KM129" s="9"/>
      <c r="KN129" s="9"/>
      <c r="KO129" s="9"/>
      <c r="KP129" s="9"/>
      <c r="KQ129" s="9"/>
      <c r="KR129" s="9"/>
      <c r="KS129" s="9"/>
      <c r="KT129" s="9"/>
      <c r="KU129" s="9"/>
      <c r="KV129" s="9"/>
      <c r="KW129" s="9"/>
      <c r="KX129" s="9"/>
      <c r="KY129" s="9"/>
      <c r="KZ129" s="9"/>
      <c r="LA129" s="9"/>
      <c r="LB129" s="9"/>
      <c r="LC129" s="9"/>
      <c r="LD129" s="9"/>
      <c r="LE129" s="9"/>
      <c r="LF129" s="9"/>
      <c r="LG129" s="9"/>
      <c r="LH129" s="9"/>
      <c r="LI129" s="9"/>
      <c r="LJ129" s="9"/>
      <c r="LK129" s="9"/>
      <c r="LL129" s="9"/>
      <c r="LM129" s="9"/>
      <c r="LN129" s="9"/>
      <c r="LO129" s="9"/>
      <c r="LP129" s="9"/>
      <c r="LQ129" s="9"/>
      <c r="LR129" s="9"/>
      <c r="LS129" s="9"/>
      <c r="LT129" s="9"/>
      <c r="LU129" s="9"/>
      <c r="LV129" s="9"/>
      <c r="LW129" s="9"/>
      <c r="LX129" s="9"/>
      <c r="LY129" s="9"/>
      <c r="LZ129" s="9"/>
      <c r="MA129" s="9"/>
      <c r="MB129" s="9"/>
      <c r="MC129" s="9"/>
      <c r="MD129" s="9"/>
      <c r="ME129" s="9"/>
      <c r="MF129" s="9"/>
      <c r="MG129" s="9"/>
      <c r="MH129" s="9"/>
      <c r="MI129" s="9"/>
      <c r="MJ129" s="9"/>
      <c r="MK129" s="9"/>
    </row>
    <row r="130" spans="1:349" hidden="1" x14ac:dyDescent="0.25">
      <c r="A130" s="9"/>
      <c r="B130" s="9"/>
      <c r="C130" s="9"/>
      <c r="D130" s="9"/>
      <c r="E130" s="9"/>
      <c r="F130" s="9"/>
      <c r="G130" s="9"/>
      <c r="H130" s="9"/>
      <c r="I130" s="9"/>
      <c r="J130" s="9"/>
      <c r="K130" s="9"/>
      <c r="L130" s="9"/>
      <c r="M130" s="9"/>
      <c r="N130" s="9"/>
      <c r="O130" s="9"/>
      <c r="AG130" s="9"/>
      <c r="AH130" s="9"/>
      <c r="AI130" s="9"/>
      <c r="AJ130" s="9"/>
      <c r="AK130" s="9"/>
      <c r="AL130" s="9"/>
      <c r="AM130" s="9"/>
      <c r="AN130" s="9"/>
      <c r="AO130" s="9"/>
      <c r="AP130" s="9"/>
      <c r="AQ130" s="9"/>
      <c r="AR130" s="9"/>
      <c r="AS130" s="9"/>
      <c r="AT130" s="9"/>
      <c r="AU130" s="9"/>
      <c r="AV130" s="9"/>
      <c r="AW130" s="9"/>
      <c r="AX130" s="9"/>
      <c r="AY130" s="9"/>
      <c r="AZ130" s="9"/>
      <c r="BA130" s="9"/>
      <c r="BB130" s="9"/>
      <c r="BC130" s="9"/>
      <c r="BD130" s="9"/>
      <c r="BE130" s="9"/>
      <c r="BF130" s="9"/>
      <c r="BG130" s="9"/>
      <c r="BH130" s="9"/>
      <c r="BI130" s="9"/>
      <c r="BJ130" s="9"/>
      <c r="BK130" s="9"/>
      <c r="BL130" s="9"/>
      <c r="BM130" s="9"/>
      <c r="BN130" s="9"/>
      <c r="BO130" s="9"/>
      <c r="BP130" s="9"/>
      <c r="BQ130" s="9"/>
      <c r="BR130" s="9"/>
      <c r="BS130" s="9"/>
      <c r="BT130" s="9"/>
      <c r="BU130" s="9"/>
      <c r="BV130" s="9"/>
      <c r="BW130" s="9"/>
      <c r="BX130" s="9"/>
      <c r="BY130" s="9"/>
      <c r="BZ130" s="9"/>
      <c r="CA130" s="9"/>
      <c r="CB130" s="9"/>
      <c r="CC130" s="9"/>
      <c r="CD130" s="9"/>
      <c r="CE130" s="9"/>
      <c r="CF130" s="9"/>
      <c r="CG130" s="9"/>
      <c r="CH130" s="9"/>
      <c r="CI130" s="9"/>
      <c r="CJ130" s="9"/>
      <c r="CK130" s="9"/>
      <c r="CL130" s="9"/>
      <c r="CM130" s="9"/>
      <c r="CN130" s="9"/>
      <c r="CO130" s="9"/>
      <c r="CP130" s="9"/>
      <c r="CQ130" s="9"/>
      <c r="CR130" s="9"/>
      <c r="CS130" s="9"/>
      <c r="CT130" s="9"/>
      <c r="CU130" s="9"/>
      <c r="CV130" s="9"/>
      <c r="CW130" s="9"/>
      <c r="CX130" s="9"/>
      <c r="CY130" s="9"/>
      <c r="CZ130" s="9"/>
      <c r="DA130" s="9"/>
      <c r="DB130" s="9"/>
      <c r="DC130" s="9"/>
      <c r="DD130" s="9"/>
      <c r="DE130" s="9"/>
      <c r="DF130" s="9"/>
      <c r="DG130" s="9"/>
      <c r="DH130" s="9"/>
      <c r="DI130" s="9"/>
      <c r="DJ130" s="9"/>
      <c r="DK130" s="9"/>
      <c r="DL130" s="9"/>
      <c r="DM130" s="9"/>
      <c r="DN130" s="9"/>
      <c r="DO130" s="9"/>
      <c r="DP130" s="9"/>
      <c r="DQ130" s="9"/>
      <c r="DR130" s="9"/>
      <c r="DS130" s="9"/>
      <c r="DT130" s="9"/>
      <c r="DU130" s="9"/>
      <c r="DV130" s="9"/>
      <c r="DW130" s="9"/>
      <c r="DX130" s="9"/>
      <c r="DY130" s="9"/>
      <c r="DZ130" s="9"/>
      <c r="EA130" s="9"/>
      <c r="EB130" s="9"/>
      <c r="EC130" s="9"/>
      <c r="ED130" s="9"/>
      <c r="EE130" s="9"/>
      <c r="EF130" s="9"/>
      <c r="EG130" s="9"/>
      <c r="EH130" s="9"/>
      <c r="EI130" s="9"/>
      <c r="EJ130" s="9"/>
      <c r="EK130" s="9"/>
      <c r="EL130" s="9"/>
      <c r="EM130" s="9"/>
      <c r="EN130" s="9"/>
      <c r="EO130" s="9"/>
      <c r="EP130" s="9"/>
      <c r="EQ130" s="9"/>
      <c r="ER130" s="9"/>
      <c r="ES130" s="9"/>
      <c r="ET130" s="9"/>
      <c r="EU130" s="9"/>
      <c r="EV130" s="9"/>
      <c r="EW130" s="9"/>
      <c r="EX130" s="9"/>
      <c r="EY130" s="9"/>
      <c r="EZ130" s="9"/>
      <c r="FA130" s="9"/>
      <c r="FB130" s="9"/>
      <c r="FC130" s="9"/>
      <c r="FD130" s="9"/>
      <c r="FE130" s="9"/>
      <c r="FF130" s="9"/>
      <c r="FG130" s="9"/>
      <c r="FH130" s="9"/>
      <c r="FI130" s="9"/>
      <c r="FJ130" s="9"/>
      <c r="FK130" s="9"/>
      <c r="FL130" s="9"/>
      <c r="FM130" s="9"/>
      <c r="FN130" s="9"/>
      <c r="FO130" s="9"/>
      <c r="FP130" s="9"/>
      <c r="FQ130" s="9"/>
      <c r="FR130" s="9"/>
      <c r="FS130" s="9"/>
      <c r="FT130" s="9"/>
      <c r="FU130" s="9"/>
      <c r="FV130" s="9"/>
      <c r="FW130" s="9"/>
      <c r="FX130" s="9"/>
      <c r="FY130" s="9"/>
      <c r="FZ130" s="9"/>
      <c r="GA130" s="9"/>
      <c r="GB130" s="9"/>
      <c r="GC130" s="9"/>
      <c r="GD130" s="9"/>
      <c r="GE130" s="9"/>
      <c r="GF130" s="9"/>
      <c r="GG130" s="9"/>
      <c r="GH130" s="9"/>
      <c r="GI130" s="9"/>
      <c r="GJ130" s="9"/>
      <c r="GK130" s="9"/>
      <c r="GL130" s="9"/>
      <c r="GM130" s="9"/>
      <c r="GN130" s="9"/>
      <c r="GO130" s="9"/>
      <c r="GP130" s="9"/>
      <c r="GQ130" s="9"/>
      <c r="GR130" s="9"/>
      <c r="GS130" s="9"/>
      <c r="GT130" s="9"/>
      <c r="GU130" s="9"/>
      <c r="GV130" s="9"/>
      <c r="GW130" s="9"/>
      <c r="GX130" s="9"/>
      <c r="GY130" s="9"/>
      <c r="GZ130" s="9"/>
      <c r="HA130" s="9"/>
      <c r="HB130" s="9"/>
      <c r="HC130" s="9"/>
      <c r="HD130" s="9"/>
      <c r="HE130" s="9"/>
      <c r="HF130" s="9"/>
      <c r="HG130" s="9"/>
      <c r="HH130" s="9"/>
      <c r="HI130" s="9"/>
      <c r="HJ130" s="9"/>
      <c r="HK130" s="9"/>
      <c r="HL130" s="9"/>
      <c r="HM130" s="9"/>
      <c r="HN130" s="9"/>
      <c r="HO130" s="9"/>
      <c r="HP130" s="9"/>
      <c r="HQ130" s="9"/>
      <c r="HR130" s="9"/>
      <c r="HS130" s="9"/>
      <c r="HT130" s="9"/>
      <c r="HU130" s="9"/>
      <c r="HV130" s="9"/>
      <c r="HW130" s="9"/>
      <c r="HX130" s="9"/>
      <c r="HY130" s="9"/>
      <c r="HZ130" s="9"/>
      <c r="IA130" s="9"/>
      <c r="IB130" s="9"/>
      <c r="IC130" s="9"/>
      <c r="ID130" s="9"/>
      <c r="IE130" s="9"/>
      <c r="IF130" s="9"/>
      <c r="IG130" s="9"/>
      <c r="IH130" s="9"/>
      <c r="II130" s="9"/>
      <c r="IJ130" s="9"/>
      <c r="IK130" s="9"/>
      <c r="IL130" s="9"/>
      <c r="IM130" s="9"/>
      <c r="IN130" s="9"/>
      <c r="IO130" s="9"/>
      <c r="IP130" s="9"/>
      <c r="IQ130" s="9"/>
      <c r="IR130" s="9"/>
      <c r="IS130" s="9"/>
      <c r="IT130" s="9"/>
      <c r="IU130" s="9"/>
      <c r="IV130" s="9"/>
      <c r="IW130" s="9"/>
      <c r="IX130" s="9"/>
      <c r="IY130" s="9"/>
      <c r="IZ130" s="9"/>
      <c r="JA130" s="9"/>
      <c r="JB130" s="9"/>
      <c r="JC130" s="9"/>
      <c r="JD130" s="9"/>
      <c r="JE130" s="9"/>
      <c r="JF130" s="9"/>
      <c r="JG130" s="9"/>
      <c r="JH130" s="9"/>
      <c r="JI130" s="9"/>
      <c r="JJ130" s="9"/>
      <c r="JK130" s="9"/>
      <c r="JL130" s="9"/>
      <c r="JM130" s="9"/>
      <c r="JN130" s="9"/>
      <c r="JO130" s="9"/>
      <c r="JP130" s="9"/>
      <c r="JQ130" s="9"/>
      <c r="JR130" s="9"/>
      <c r="JS130" s="9"/>
      <c r="JT130" s="9"/>
      <c r="JU130" s="9"/>
      <c r="JV130" s="9"/>
      <c r="JW130" s="9"/>
      <c r="JX130" s="9"/>
      <c r="JY130" s="9"/>
      <c r="JZ130" s="9"/>
      <c r="KA130" s="9"/>
      <c r="KB130" s="9"/>
      <c r="KC130" s="9"/>
      <c r="KD130" s="9"/>
      <c r="KE130" s="9"/>
      <c r="KF130" s="9"/>
      <c r="KG130" s="9"/>
      <c r="KH130" s="9"/>
      <c r="KI130" s="9"/>
      <c r="KJ130" s="9"/>
      <c r="KK130" s="9"/>
      <c r="KL130" s="9"/>
      <c r="KM130" s="9"/>
      <c r="KN130" s="9"/>
      <c r="KO130" s="9"/>
      <c r="KP130" s="9"/>
      <c r="KQ130" s="9"/>
      <c r="KR130" s="9"/>
      <c r="KS130" s="9"/>
      <c r="KT130" s="9"/>
      <c r="KU130" s="9"/>
      <c r="KV130" s="9"/>
      <c r="KW130" s="9"/>
      <c r="KX130" s="9"/>
      <c r="KY130" s="9"/>
      <c r="KZ130" s="9"/>
      <c r="LA130" s="9"/>
      <c r="LB130" s="9"/>
      <c r="LC130" s="9"/>
      <c r="LD130" s="9"/>
      <c r="LE130" s="9"/>
      <c r="LF130" s="9"/>
      <c r="LG130" s="9"/>
      <c r="LH130" s="9"/>
      <c r="LI130" s="9"/>
      <c r="LJ130" s="9"/>
      <c r="LK130" s="9"/>
      <c r="LL130" s="9"/>
      <c r="LM130" s="9"/>
      <c r="LN130" s="9"/>
      <c r="LO130" s="9"/>
      <c r="LP130" s="9"/>
      <c r="LQ130" s="9"/>
      <c r="LR130" s="9"/>
      <c r="LS130" s="9"/>
      <c r="LT130" s="9"/>
      <c r="LU130" s="9"/>
      <c r="LV130" s="9"/>
      <c r="LW130" s="9"/>
      <c r="LX130" s="9"/>
      <c r="LY130" s="9"/>
      <c r="LZ130" s="9"/>
      <c r="MA130" s="9"/>
      <c r="MB130" s="9"/>
      <c r="MC130" s="9"/>
      <c r="MD130" s="9"/>
      <c r="ME130" s="9"/>
      <c r="MF130" s="9"/>
      <c r="MG130" s="9"/>
      <c r="MH130" s="9"/>
      <c r="MI130" s="9"/>
      <c r="MJ130" s="9"/>
      <c r="MK130" s="9"/>
    </row>
  </sheetData>
  <mergeCells count="3">
    <mergeCell ref="D3:E3"/>
    <mergeCell ref="I11:J11"/>
    <mergeCell ref="I13:J13"/>
  </mergeCells>
  <conditionalFormatting sqref="C5:F9">
    <cfRule type="expression" dxfId="30" priority="1">
      <formula>MOD(ROW(),2)=0</formula>
    </cfRule>
  </conditionalFormatting>
  <conditionalFormatting sqref="C11:F23">
    <cfRule type="expression" dxfId="29" priority="2">
      <formula>MOD(ROW(),2)=0</formula>
    </cfRule>
  </conditionalFormatting>
  <dataValidations count="1">
    <dataValidation type="list" allowBlank="1" showInputMessage="1" showErrorMessage="1" sqref="D11:D23" xr:uid="{2A9B977C-B3FF-4CD9-8085-46F7546987D8}">
      <formula1>$L$4:$L$5</formula1>
    </dataValidation>
  </dataValidations>
  <hyperlinks>
    <hyperlink ref="I13" r:id="rId1" xr:uid="{1189E0C4-C8C5-498E-ABD8-59CE660D0009}"/>
    <hyperlink ref="J12" r:id="rId2" xr:uid="{8A112629-703F-4985-B5D7-28E7BBFA17E6}"/>
    <hyperlink ref="I12" r:id="rId3" xr:uid="{BCE6827B-8C22-43D0-92AC-0AB56F1C4158}"/>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14EFC-24D2-4D43-9884-C27E6E22467F}">
  <sheetPr codeName="Sheet10"/>
  <dimension ref="B1:Q42"/>
  <sheetViews>
    <sheetView zoomScaleNormal="100" workbookViewId="0">
      <selection activeCell="G4" sqref="G4"/>
    </sheetView>
  </sheetViews>
  <sheetFormatPr defaultColWidth="9.140625" defaultRowHeight="15" x14ac:dyDescent="0.25"/>
  <cols>
    <col min="1" max="1" width="5.7109375" style="31" customWidth="1"/>
    <col min="2" max="2" width="1.85546875" style="31" customWidth="1"/>
    <col min="3" max="3" width="16.42578125" style="31" bestFit="1" customWidth="1"/>
    <col min="4" max="4" width="10.5703125" style="31" customWidth="1"/>
    <col min="5" max="5" width="18" style="31" bestFit="1" customWidth="1"/>
    <col min="6" max="7" width="15.5703125" style="31" customWidth="1"/>
    <col min="8" max="8" width="1.85546875" style="31" customWidth="1"/>
    <col min="9" max="9" width="5.7109375" style="31" customWidth="1"/>
    <col min="10" max="10" width="9.140625" style="31" customWidth="1"/>
    <col min="11" max="12" width="16.140625" style="31" customWidth="1"/>
    <col min="13" max="13" width="44" style="31" hidden="1" customWidth="1"/>
    <col min="14" max="14" width="3.42578125" style="31" customWidth="1"/>
    <col min="15" max="15" width="9.140625" style="31" customWidth="1"/>
    <col min="16" max="16" width="16.140625" style="31" hidden="1" customWidth="1"/>
    <col min="17" max="17" width="9.140625" style="31" hidden="1" customWidth="1"/>
    <col min="18" max="18" width="56" style="31" customWidth="1"/>
    <col min="19" max="16384" width="9.140625" style="31"/>
  </cols>
  <sheetData>
    <row r="1" spans="2:17" ht="36" customHeight="1" x14ac:dyDescent="0.25"/>
    <row r="2" spans="2:17" ht="8.1" customHeight="1" thickBot="1" x14ac:dyDescent="0.3">
      <c r="B2" s="9"/>
      <c r="C2" s="9"/>
      <c r="D2" s="9"/>
      <c r="E2" s="9"/>
      <c r="F2" s="9"/>
      <c r="G2" s="9"/>
      <c r="H2" s="9"/>
    </row>
    <row r="3" spans="2:17" ht="15.75" thickBot="1" x14ac:dyDescent="0.3">
      <c r="B3" s="9"/>
      <c r="C3" s="327" t="s">
        <v>729</v>
      </c>
      <c r="D3" s="328"/>
      <c r="E3" s="328"/>
      <c r="F3" s="328"/>
      <c r="G3" s="359" t="s">
        <v>759</v>
      </c>
      <c r="H3" s="9"/>
    </row>
    <row r="4" spans="2:17" ht="15.75" thickBot="1" x14ac:dyDescent="0.3">
      <c r="B4" s="9"/>
      <c r="C4" s="290"/>
      <c r="D4" s="324"/>
      <c r="E4" s="324" t="s">
        <v>731</v>
      </c>
      <c r="F4" s="324" t="s">
        <v>732</v>
      </c>
      <c r="G4" s="330" t="s">
        <v>733</v>
      </c>
      <c r="H4" s="9"/>
      <c r="P4" s="458" t="s">
        <v>182</v>
      </c>
      <c r="Q4" s="459"/>
    </row>
    <row r="5" spans="2:17" ht="15.75" thickBot="1" x14ac:dyDescent="0.3">
      <c r="B5" s="9"/>
      <c r="C5" s="290" t="s">
        <v>165</v>
      </c>
      <c r="D5" s="326" t="s">
        <v>139</v>
      </c>
      <c r="E5" s="325">
        <v>1</v>
      </c>
      <c r="F5" s="325">
        <v>2</v>
      </c>
      <c r="G5" s="331">
        <v>3</v>
      </c>
      <c r="H5" s="9"/>
      <c r="J5" s="342"/>
      <c r="K5" s="342"/>
      <c r="M5" s="31" t="s">
        <v>145</v>
      </c>
      <c r="P5" s="343" t="s">
        <v>731</v>
      </c>
      <c r="Q5" s="344"/>
    </row>
    <row r="6" spans="2:17" ht="15.75" thickBot="1" x14ac:dyDescent="0.3">
      <c r="B6" s="9"/>
      <c r="C6" s="292" t="s">
        <v>146</v>
      </c>
      <c r="D6" s="3">
        <v>1</v>
      </c>
      <c r="E6" s="32">
        <v>0</v>
      </c>
      <c r="F6" s="32">
        <v>347207</v>
      </c>
      <c r="G6" s="332">
        <v>459137</v>
      </c>
      <c r="H6" s="9"/>
      <c r="J6" s="342"/>
      <c r="K6" s="342"/>
      <c r="M6" s="31" t="s">
        <v>150</v>
      </c>
      <c r="P6" s="343" t="s">
        <v>732</v>
      </c>
      <c r="Q6" s="344"/>
    </row>
    <row r="7" spans="2:17" x14ac:dyDescent="0.25">
      <c r="B7" s="9"/>
      <c r="C7" s="292" t="s">
        <v>151</v>
      </c>
      <c r="D7" s="3">
        <v>2</v>
      </c>
      <c r="E7" s="32">
        <v>0</v>
      </c>
      <c r="F7" s="32">
        <v>347207</v>
      </c>
      <c r="G7" s="332">
        <v>459137</v>
      </c>
      <c r="H7" s="9"/>
      <c r="J7" s="342"/>
      <c r="K7" s="342"/>
      <c r="P7" s="343" t="s">
        <v>733</v>
      </c>
      <c r="Q7" s="344"/>
    </row>
    <row r="8" spans="2:17" x14ac:dyDescent="0.25">
      <c r="B8" s="9"/>
      <c r="C8" s="292" t="s">
        <v>153</v>
      </c>
      <c r="D8" s="3">
        <v>3</v>
      </c>
      <c r="E8" s="32">
        <v>0</v>
      </c>
      <c r="F8" s="32">
        <v>347207</v>
      </c>
      <c r="G8" s="332">
        <v>459137</v>
      </c>
      <c r="H8" s="9"/>
      <c r="K8" s="345"/>
      <c r="L8" s="346"/>
      <c r="P8" s="347"/>
      <c r="Q8" s="344"/>
    </row>
    <row r="9" spans="2:17" x14ac:dyDescent="0.25">
      <c r="B9" s="9"/>
      <c r="C9" s="292" t="s">
        <v>719</v>
      </c>
      <c r="D9" s="3">
        <v>4</v>
      </c>
      <c r="E9" s="32">
        <v>0</v>
      </c>
      <c r="F9" s="32">
        <v>347207</v>
      </c>
      <c r="G9" s="332">
        <v>459137</v>
      </c>
      <c r="H9" s="9"/>
      <c r="K9" s="345"/>
      <c r="L9" s="346"/>
    </row>
    <row r="10" spans="2:17" ht="15.75" thickBot="1" x14ac:dyDescent="0.3">
      <c r="B10" s="9"/>
      <c r="C10" s="456" t="s">
        <v>183</v>
      </c>
      <c r="D10" s="457"/>
      <c r="E10" s="118">
        <f>VLOOKUP('Pretty Picture'!X12,Compressor!D6:G9,IF('Pretty Picture'!X14=2,3,IF('Pretty Picture'!X14=3,4,2)),FALSE)</f>
        <v>459137</v>
      </c>
      <c r="F10" s="95"/>
      <c r="G10" s="338"/>
      <c r="H10" s="9"/>
    </row>
    <row r="11" spans="2:17" x14ac:dyDescent="0.25">
      <c r="B11" s="9"/>
      <c r="C11" s="339" t="s">
        <v>156</v>
      </c>
      <c r="D11" s="340" t="s">
        <v>157</v>
      </c>
      <c r="E11" s="340" t="s">
        <v>158</v>
      </c>
      <c r="F11" s="462" t="s">
        <v>3</v>
      </c>
      <c r="G11" s="463"/>
      <c r="H11" s="9"/>
    </row>
    <row r="12" spans="2:17" x14ac:dyDescent="0.25">
      <c r="B12" s="9"/>
      <c r="C12" s="341" t="s">
        <v>180</v>
      </c>
      <c r="D12" s="32" t="s">
        <v>145</v>
      </c>
      <c r="E12" s="32">
        <v>20000</v>
      </c>
      <c r="F12" s="460" t="s">
        <v>160</v>
      </c>
      <c r="G12" s="461"/>
      <c r="H12" s="9"/>
    </row>
    <row r="13" spans="2:17" x14ac:dyDescent="0.25">
      <c r="B13" s="9"/>
      <c r="C13" s="341"/>
      <c r="D13" s="32"/>
      <c r="E13" s="32"/>
      <c r="F13" s="460"/>
      <c r="G13" s="461"/>
      <c r="H13" s="9"/>
    </row>
    <row r="14" spans="2:17" x14ac:dyDescent="0.25">
      <c r="B14" s="9"/>
      <c r="C14" s="341"/>
      <c r="D14" s="32"/>
      <c r="E14" s="32"/>
      <c r="F14" s="460"/>
      <c r="G14" s="461"/>
      <c r="H14" s="9"/>
    </row>
    <row r="15" spans="2:17" ht="15.75" thickBot="1" x14ac:dyDescent="0.3">
      <c r="B15" s="9"/>
      <c r="C15" s="333" t="s">
        <v>105</v>
      </c>
      <c r="D15" s="334"/>
      <c r="E15" s="335">
        <f>IF('Pretty Picture'!X12=2,0,SUMIF(D12:D14,"yes",E12:E14)+E10)</f>
        <v>479137</v>
      </c>
      <c r="F15" s="336"/>
      <c r="G15" s="337"/>
      <c r="H15" s="9"/>
    </row>
    <row r="16" spans="2:17" ht="8.1" customHeight="1" x14ac:dyDescent="0.25">
      <c r="B16" s="9"/>
      <c r="C16" s="9"/>
      <c r="D16" s="9"/>
      <c r="E16" s="9"/>
      <c r="F16" s="9"/>
      <c r="G16" s="9"/>
      <c r="H16" s="9"/>
    </row>
    <row r="17" spans="3:4" ht="36" customHeight="1" thickBot="1" x14ac:dyDescent="0.3"/>
    <row r="18" spans="3:4" x14ac:dyDescent="0.25">
      <c r="C18" s="454" t="s">
        <v>184</v>
      </c>
      <c r="D18" s="455"/>
    </row>
    <row r="19" spans="3:4" ht="15.75" thickBot="1" x14ac:dyDescent="0.3">
      <c r="C19" s="452" t="s">
        <v>734</v>
      </c>
      <c r="D19" s="453"/>
    </row>
    <row r="21" spans="3:4" hidden="1" x14ac:dyDescent="0.25"/>
    <row r="22" spans="3:4" hidden="1" x14ac:dyDescent="0.25"/>
    <row r="23" spans="3:4" hidden="1" x14ac:dyDescent="0.25"/>
    <row r="24" spans="3:4" hidden="1" x14ac:dyDescent="0.25"/>
    <row r="25" spans="3:4" hidden="1" x14ac:dyDescent="0.25"/>
    <row r="26" spans="3:4" hidden="1" x14ac:dyDescent="0.25"/>
    <row r="27" spans="3:4" hidden="1" x14ac:dyDescent="0.25"/>
    <row r="28" spans="3:4" hidden="1" x14ac:dyDescent="0.25"/>
    <row r="29" spans="3:4" hidden="1" x14ac:dyDescent="0.25"/>
    <row r="30" spans="3:4" hidden="1" x14ac:dyDescent="0.25"/>
    <row r="31" spans="3:4" hidden="1" x14ac:dyDescent="0.25"/>
    <row r="32" spans="3:4"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sheetData>
  <mergeCells count="8">
    <mergeCell ref="C19:D19"/>
    <mergeCell ref="C18:D18"/>
    <mergeCell ref="C10:D10"/>
    <mergeCell ref="P4:Q4"/>
    <mergeCell ref="F12:G12"/>
    <mergeCell ref="F14:G14"/>
    <mergeCell ref="F13:G13"/>
    <mergeCell ref="F11:G11"/>
  </mergeCells>
  <phoneticPr fontId="18" type="noConversion"/>
  <conditionalFormatting sqref="C12:F14">
    <cfRule type="expression" dxfId="28" priority="1">
      <formula>MOD(ROW(),2)=0</formula>
    </cfRule>
  </conditionalFormatting>
  <conditionalFormatting sqref="C6:G9">
    <cfRule type="expression" dxfId="27" priority="5">
      <formula>MOD(ROW(),2)=0</formula>
    </cfRule>
  </conditionalFormatting>
  <conditionalFormatting sqref="D5:G5">
    <cfRule type="expression" dxfId="26" priority="3">
      <formula>MOD(ROW(),2)=0</formula>
    </cfRule>
  </conditionalFormatting>
  <dataValidations disablePrompts="1" count="1">
    <dataValidation type="list" allowBlank="1" showInputMessage="1" showErrorMessage="1" sqref="D12:D14" xr:uid="{A56123EE-3ABB-4A78-AFBA-7C36C20217CD}">
      <formula1>$M$5:$M$6</formula1>
    </dataValidation>
  </dataValidations>
  <hyperlinks>
    <hyperlink ref="C19" r:id="rId1" display="2.5 Compressors" xr:uid="{BAE0242C-2B1E-46B9-A9F7-99934E461112}"/>
  </hyperlinks>
  <pageMargins left="0.7" right="0.7" top="0.75" bottom="0.75" header="0.3" footer="0.3"/>
  <pageSetup orientation="portrait"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4F454-7B28-48FE-891B-56F50980EA63}">
  <sheetPr codeName="Sheet11"/>
  <dimension ref="B1:I18"/>
  <sheetViews>
    <sheetView workbookViewId="0">
      <selection activeCell="F3" sqref="F3"/>
    </sheetView>
  </sheetViews>
  <sheetFormatPr defaultColWidth="9.140625" defaultRowHeight="15" customHeight="1" x14ac:dyDescent="0.25"/>
  <cols>
    <col min="1" max="1" width="5.7109375" style="31" customWidth="1"/>
    <col min="2" max="2" width="1.85546875" style="31" customWidth="1"/>
    <col min="3" max="3" width="25.85546875" style="31" customWidth="1"/>
    <col min="4" max="4" width="11.5703125" style="31" customWidth="1"/>
    <col min="5" max="5" width="18.5703125" style="31" customWidth="1"/>
    <col min="6" max="6" width="21" style="31" customWidth="1"/>
    <col min="7" max="7" width="1.85546875" style="31" customWidth="1"/>
    <col min="8" max="8" width="5.7109375" style="31" customWidth="1"/>
    <col min="9" max="9" width="3.42578125" style="31" hidden="1" customWidth="1"/>
    <col min="10" max="12" width="9.140625" style="31" customWidth="1"/>
    <col min="13" max="13" width="56" style="31" customWidth="1"/>
    <col min="14" max="16384" width="9.140625" style="31"/>
  </cols>
  <sheetData>
    <row r="1" spans="2:9" ht="36" customHeight="1" x14ac:dyDescent="0.25"/>
    <row r="2" spans="2:9" ht="8.1" customHeight="1" thickBot="1" x14ac:dyDescent="0.3">
      <c r="B2" s="9"/>
      <c r="C2" s="9"/>
      <c r="D2" s="9"/>
      <c r="E2" s="9"/>
      <c r="F2" s="9"/>
      <c r="G2" s="9"/>
    </row>
    <row r="3" spans="2:9" x14ac:dyDescent="0.25">
      <c r="B3" s="9"/>
      <c r="C3" s="327" t="s">
        <v>185</v>
      </c>
      <c r="D3" s="328"/>
      <c r="E3" s="328"/>
      <c r="F3" s="359" t="s">
        <v>759</v>
      </c>
      <c r="G3" s="9"/>
    </row>
    <row r="4" spans="2:9" x14ac:dyDescent="0.25">
      <c r="B4" s="9"/>
      <c r="C4" s="290" t="s">
        <v>138</v>
      </c>
      <c r="D4" s="113" t="s">
        <v>139</v>
      </c>
      <c r="E4" s="117" t="s">
        <v>140</v>
      </c>
      <c r="F4" s="291" t="s">
        <v>3</v>
      </c>
      <c r="G4" s="9"/>
      <c r="I4" s="31" t="s">
        <v>145</v>
      </c>
    </row>
    <row r="5" spans="2:9" x14ac:dyDescent="0.25">
      <c r="B5" s="9"/>
      <c r="C5" s="348" t="s">
        <v>146</v>
      </c>
      <c r="D5" s="316">
        <v>1</v>
      </c>
      <c r="E5" s="123">
        <v>186979</v>
      </c>
      <c r="F5" s="317"/>
      <c r="G5" s="9"/>
      <c r="I5" s="31" t="s">
        <v>150</v>
      </c>
    </row>
    <row r="6" spans="2:9" x14ac:dyDescent="0.25">
      <c r="B6" s="9"/>
      <c r="C6" s="348" t="s">
        <v>151</v>
      </c>
      <c r="D6" s="316">
        <v>2</v>
      </c>
      <c r="E6" s="123">
        <v>186979</v>
      </c>
      <c r="F6" s="349"/>
      <c r="G6" s="9"/>
    </row>
    <row r="7" spans="2:9" x14ac:dyDescent="0.25">
      <c r="B7" s="9"/>
      <c r="C7" s="348" t="s">
        <v>153</v>
      </c>
      <c r="D7" s="316">
        <v>3</v>
      </c>
      <c r="E7" s="123">
        <v>186979</v>
      </c>
      <c r="F7" s="317"/>
      <c r="G7" s="9"/>
    </row>
    <row r="8" spans="2:9" x14ac:dyDescent="0.25">
      <c r="B8" s="9"/>
      <c r="C8" s="348" t="s">
        <v>719</v>
      </c>
      <c r="D8" s="316">
        <v>4</v>
      </c>
      <c r="E8" s="123">
        <v>186979</v>
      </c>
      <c r="F8" s="317"/>
      <c r="G8" s="9"/>
    </row>
    <row r="9" spans="2:9" x14ac:dyDescent="0.25">
      <c r="B9" s="9"/>
      <c r="C9" s="295" t="s">
        <v>155</v>
      </c>
      <c r="D9" s="296">
        <f>'Pretty Picture'!X4</f>
        <v>3</v>
      </c>
      <c r="E9" s="118">
        <f>VLOOKUP(D9,D5:E8,2,TRUE)</f>
        <v>186979</v>
      </c>
      <c r="F9" s="312"/>
      <c r="G9" s="9"/>
    </row>
    <row r="10" spans="2:9" x14ac:dyDescent="0.25">
      <c r="B10" s="9"/>
      <c r="C10" s="290" t="s">
        <v>156</v>
      </c>
      <c r="D10" s="113" t="s">
        <v>157</v>
      </c>
      <c r="E10" s="113" t="s">
        <v>158</v>
      </c>
      <c r="F10" s="291" t="s">
        <v>3</v>
      </c>
      <c r="G10" s="9"/>
    </row>
    <row r="11" spans="2:9" x14ac:dyDescent="0.25">
      <c r="B11" s="9"/>
      <c r="C11" s="311" t="s">
        <v>186</v>
      </c>
      <c r="D11" s="34" t="s">
        <v>145</v>
      </c>
      <c r="E11" s="120">
        <v>3500</v>
      </c>
      <c r="F11" s="317" t="s">
        <v>187</v>
      </c>
      <c r="G11" s="9"/>
    </row>
    <row r="12" spans="2:9" x14ac:dyDescent="0.25">
      <c r="B12" s="9"/>
      <c r="C12" s="311" t="s">
        <v>188</v>
      </c>
      <c r="D12" s="34" t="s">
        <v>145</v>
      </c>
      <c r="E12" s="120">
        <v>17110</v>
      </c>
      <c r="F12" s="317" t="s">
        <v>187</v>
      </c>
      <c r="G12" s="9"/>
    </row>
    <row r="13" spans="2:9" x14ac:dyDescent="0.25">
      <c r="B13" s="9"/>
      <c r="C13" s="311" t="s">
        <v>161</v>
      </c>
      <c r="D13" s="34" t="s">
        <v>145</v>
      </c>
      <c r="E13" s="120">
        <v>24914</v>
      </c>
      <c r="F13" s="317" t="s">
        <v>187</v>
      </c>
      <c r="G13" s="9"/>
    </row>
    <row r="14" spans="2:9" ht="15.75" thickBot="1" x14ac:dyDescent="0.3">
      <c r="B14" s="9"/>
      <c r="C14" s="333" t="s">
        <v>105</v>
      </c>
      <c r="D14" s="334"/>
      <c r="E14" s="335">
        <f>IF('Pretty Picture'!X8=2,0,SUMIF(D11:D13,"yes",E11:E13)+E9)</f>
        <v>232503</v>
      </c>
      <c r="F14" s="337"/>
      <c r="G14" s="9"/>
    </row>
    <row r="15" spans="2:9" ht="8.1" customHeight="1" x14ac:dyDescent="0.25">
      <c r="B15" s="9"/>
      <c r="C15" s="9"/>
      <c r="D15" s="9"/>
      <c r="E15" s="9"/>
      <c r="F15" s="9"/>
      <c r="G15" s="9"/>
    </row>
    <row r="16" spans="2:9" ht="36" customHeight="1" thickBot="1" x14ac:dyDescent="0.3"/>
    <row r="17" spans="3:3" x14ac:dyDescent="0.25">
      <c r="C17" s="350" t="s">
        <v>162</v>
      </c>
    </row>
    <row r="18" spans="3:3" ht="15.75" thickBot="1" x14ac:dyDescent="0.3">
      <c r="C18" s="351" t="s">
        <v>189</v>
      </c>
    </row>
  </sheetData>
  <conditionalFormatting sqref="C5:F8">
    <cfRule type="expression" dxfId="25" priority="3">
      <formula>MOD(ROW(),2)=0</formula>
    </cfRule>
  </conditionalFormatting>
  <conditionalFormatting sqref="C11:F13">
    <cfRule type="expression" dxfId="24" priority="2">
      <formula>MOD(ROW(),2)=0</formula>
    </cfRule>
  </conditionalFormatting>
  <dataValidations count="1">
    <dataValidation type="list" allowBlank="1" showInputMessage="1" showErrorMessage="1" sqref="D11:D13 D26:D28 D37:D39" xr:uid="{2E9CA787-889A-490E-96D0-C1988205FC7B}">
      <formula1>$I$4:$I$5</formula1>
    </dataValidation>
  </dataValidations>
  <hyperlinks>
    <hyperlink ref="C18" r:id="rId1" display="../../../../../../../../:b:/r/sites/Corp/Shared Documents/3. Ops %26 Admin/16. Engr and Ops/20. Plant Equipment and Suppliers/2.7 Chromatograph/22037004-026 RKA POA.pdf?csf=1&amp;web=1&amp;e=BFr4K9" xr:uid="{9346D6DF-0E29-4CD5-B8FE-2F4B7A907A4A}"/>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806B6-FE38-4E45-9349-693D76E78117}">
  <sheetPr codeName="Sheet12"/>
  <dimension ref="B1:I35"/>
  <sheetViews>
    <sheetView workbookViewId="0">
      <selection activeCell="F4" sqref="F4"/>
    </sheetView>
  </sheetViews>
  <sheetFormatPr defaultColWidth="9.140625" defaultRowHeight="15" x14ac:dyDescent="0.25"/>
  <cols>
    <col min="1" max="1" width="5.7109375" style="31" customWidth="1"/>
    <col min="2" max="2" width="1.85546875" style="31" customWidth="1"/>
    <col min="3" max="3" width="30.7109375" style="31" customWidth="1"/>
    <col min="4" max="4" width="11.42578125" style="31" customWidth="1"/>
    <col min="5" max="5" width="18.5703125" style="31" customWidth="1"/>
    <col min="6" max="6" width="47.140625" style="31" customWidth="1"/>
    <col min="7" max="7" width="1.85546875" style="31" customWidth="1"/>
    <col min="8" max="8" width="5.7109375" style="31" customWidth="1"/>
    <col min="9" max="9" width="3.42578125" style="31" hidden="1" customWidth="1"/>
    <col min="10" max="12" width="9.140625" style="31" customWidth="1"/>
    <col min="13" max="13" width="56" style="31" customWidth="1"/>
    <col min="14" max="16384" width="9.140625" style="31"/>
  </cols>
  <sheetData>
    <row r="1" spans="2:9" ht="36" customHeight="1" x14ac:dyDescent="0.25"/>
    <row r="2" spans="2:9" ht="8.1" customHeight="1" thickBot="1" x14ac:dyDescent="0.3">
      <c r="B2" s="9"/>
      <c r="C2" s="9"/>
      <c r="D2" s="9"/>
      <c r="E2" s="9"/>
      <c r="F2" s="9"/>
      <c r="G2" s="9"/>
    </row>
    <row r="3" spans="2:9" x14ac:dyDescent="0.25">
      <c r="B3" s="9"/>
      <c r="C3" s="327" t="s">
        <v>117</v>
      </c>
      <c r="D3" s="328"/>
      <c r="E3" s="328"/>
      <c r="F3" s="359" t="s">
        <v>759</v>
      </c>
      <c r="G3" s="9"/>
    </row>
    <row r="4" spans="2:9" x14ac:dyDescent="0.25">
      <c r="B4" s="9"/>
      <c r="C4" s="290" t="s">
        <v>190</v>
      </c>
      <c r="D4" s="113" t="s">
        <v>139</v>
      </c>
      <c r="E4" s="117" t="s">
        <v>140</v>
      </c>
      <c r="F4" s="291" t="s">
        <v>3</v>
      </c>
      <c r="G4" s="9"/>
      <c r="I4" s="31" t="s">
        <v>145</v>
      </c>
    </row>
    <row r="5" spans="2:9" x14ac:dyDescent="0.25">
      <c r="B5" s="9"/>
      <c r="C5" s="311" t="s">
        <v>191</v>
      </c>
      <c r="D5" s="316">
        <v>1</v>
      </c>
      <c r="E5" s="123">
        <v>30035</v>
      </c>
      <c r="F5" s="356" t="s">
        <v>192</v>
      </c>
      <c r="G5" s="9"/>
      <c r="I5" s="31" t="s">
        <v>150</v>
      </c>
    </row>
    <row r="6" spans="2:9" x14ac:dyDescent="0.25">
      <c r="B6" s="9"/>
      <c r="C6" s="311" t="s">
        <v>193</v>
      </c>
      <c r="D6" s="316">
        <v>2</v>
      </c>
      <c r="E6" s="123">
        <v>51254</v>
      </c>
      <c r="F6" s="357" t="s">
        <v>194</v>
      </c>
      <c r="G6" s="9"/>
    </row>
    <row r="7" spans="2:9" x14ac:dyDescent="0.25">
      <c r="B7" s="9"/>
      <c r="C7" s="311" t="s">
        <v>195</v>
      </c>
      <c r="D7" s="316">
        <v>3</v>
      </c>
      <c r="E7" s="123">
        <v>69421</v>
      </c>
      <c r="F7" s="356" t="s">
        <v>196</v>
      </c>
      <c r="G7" s="9"/>
    </row>
    <row r="8" spans="2:9" x14ac:dyDescent="0.25">
      <c r="B8" s="9"/>
      <c r="C8" s="311" t="s">
        <v>195</v>
      </c>
      <c r="D8" s="316">
        <v>4</v>
      </c>
      <c r="E8" s="123">
        <v>69421</v>
      </c>
      <c r="F8" s="356" t="s">
        <v>196</v>
      </c>
      <c r="G8" s="9"/>
    </row>
    <row r="9" spans="2:9" x14ac:dyDescent="0.25">
      <c r="B9" s="9"/>
      <c r="C9" s="295" t="s">
        <v>155</v>
      </c>
      <c r="D9" s="296">
        <f>'Pretty Picture'!X4</f>
        <v>3</v>
      </c>
      <c r="E9" s="118">
        <f>VLOOKUP(D9,D5:E8,2,TRUE)</f>
        <v>69421</v>
      </c>
      <c r="F9" s="358"/>
      <c r="G9" s="9"/>
    </row>
    <row r="10" spans="2:9" x14ac:dyDescent="0.25">
      <c r="B10" s="9"/>
      <c r="C10" s="290" t="s">
        <v>156</v>
      </c>
      <c r="D10" s="113" t="s">
        <v>157</v>
      </c>
      <c r="E10" s="113" t="s">
        <v>158</v>
      </c>
      <c r="F10" s="291" t="s">
        <v>3</v>
      </c>
      <c r="G10" s="9"/>
    </row>
    <row r="11" spans="2:9" x14ac:dyDescent="0.25">
      <c r="B11" s="9"/>
      <c r="C11" s="311" t="s">
        <v>188</v>
      </c>
      <c r="D11" s="34" t="s">
        <v>145</v>
      </c>
      <c r="E11" s="120">
        <v>8500</v>
      </c>
      <c r="F11" s="317" t="s">
        <v>187</v>
      </c>
      <c r="G11" s="9"/>
    </row>
    <row r="12" spans="2:9" x14ac:dyDescent="0.25">
      <c r="B12" s="9"/>
      <c r="C12" s="311" t="s">
        <v>161</v>
      </c>
      <c r="D12" s="34" t="s">
        <v>145</v>
      </c>
      <c r="E12" s="120">
        <v>7500</v>
      </c>
      <c r="F12" s="317" t="s">
        <v>187</v>
      </c>
      <c r="G12" s="9"/>
    </row>
    <row r="13" spans="2:9" x14ac:dyDescent="0.25">
      <c r="B13" s="9"/>
      <c r="C13" s="311"/>
      <c r="D13" s="34"/>
      <c r="E13" s="120"/>
      <c r="F13" s="317"/>
      <c r="G13" s="9"/>
    </row>
    <row r="14" spans="2:9" ht="15.75" thickBot="1" x14ac:dyDescent="0.3">
      <c r="B14" s="9"/>
      <c r="C14" s="333" t="s">
        <v>105</v>
      </c>
      <c r="D14" s="334"/>
      <c r="E14" s="335">
        <f>IF('Pretty Picture'!X10=2,0,SUMIF(D11:D13,"yes",E11:E13)+E9)</f>
        <v>85421</v>
      </c>
      <c r="F14" s="337"/>
      <c r="G14" s="9"/>
    </row>
    <row r="15" spans="2:9" ht="8.1" customHeight="1" x14ac:dyDescent="0.25">
      <c r="B15" s="9"/>
      <c r="C15" s="9"/>
      <c r="D15" s="9"/>
      <c r="E15" s="9"/>
      <c r="F15" s="9"/>
      <c r="G15" s="9"/>
    </row>
    <row r="16" spans="2:9" ht="36" customHeight="1" x14ac:dyDescent="0.25">
      <c r="D16" s="352"/>
      <c r="E16" s="353"/>
    </row>
    <row r="17" spans="3:6" x14ac:dyDescent="0.25">
      <c r="D17" s="352"/>
      <c r="E17" s="353"/>
      <c r="F17" s="354"/>
    </row>
    <row r="18" spans="3:6" x14ac:dyDescent="0.25">
      <c r="D18" s="352"/>
      <c r="E18" s="353"/>
      <c r="F18" s="354"/>
    </row>
    <row r="19" spans="3:6" x14ac:dyDescent="0.25">
      <c r="D19" s="352"/>
      <c r="E19" s="353"/>
    </row>
    <row r="20" spans="3:6" x14ac:dyDescent="0.25">
      <c r="C20" s="64"/>
      <c r="D20" s="345"/>
      <c r="E20" s="345"/>
      <c r="F20" s="345"/>
    </row>
    <row r="21" spans="3:6" x14ac:dyDescent="0.25">
      <c r="D21" s="346"/>
      <c r="E21" s="353"/>
      <c r="F21" s="354"/>
    </row>
    <row r="22" spans="3:6" x14ac:dyDescent="0.25">
      <c r="D22" s="346"/>
      <c r="E22" s="353"/>
      <c r="F22" s="354"/>
    </row>
    <row r="23" spans="3:6" x14ac:dyDescent="0.25">
      <c r="D23" s="346"/>
      <c r="E23" s="353"/>
      <c r="F23" s="354"/>
    </row>
    <row r="24" spans="3:6" x14ac:dyDescent="0.25">
      <c r="E24" s="354"/>
    </row>
    <row r="26" spans="3:6" x14ac:dyDescent="0.25">
      <c r="C26" s="64"/>
      <c r="D26" s="345"/>
      <c r="E26" s="355"/>
      <c r="F26" s="345"/>
    </row>
    <row r="27" spans="3:6" x14ac:dyDescent="0.25">
      <c r="D27" s="352"/>
      <c r="E27" s="353"/>
      <c r="F27" s="354"/>
    </row>
    <row r="28" spans="3:6" x14ac:dyDescent="0.25">
      <c r="D28" s="352"/>
      <c r="E28" s="353"/>
      <c r="F28" s="354"/>
    </row>
    <row r="29" spans="3:6" x14ac:dyDescent="0.25">
      <c r="D29" s="352"/>
      <c r="E29" s="353"/>
      <c r="F29" s="354"/>
    </row>
    <row r="30" spans="3:6" x14ac:dyDescent="0.25">
      <c r="D30" s="352"/>
      <c r="E30" s="353"/>
    </row>
    <row r="31" spans="3:6" x14ac:dyDescent="0.25">
      <c r="C31" s="64"/>
      <c r="D31" s="345"/>
      <c r="E31" s="345"/>
      <c r="F31" s="345"/>
    </row>
    <row r="32" spans="3:6" x14ac:dyDescent="0.25">
      <c r="D32" s="346"/>
      <c r="E32" s="353"/>
      <c r="F32" s="354"/>
    </row>
    <row r="33" spans="4:6" x14ac:dyDescent="0.25">
      <c r="D33" s="346"/>
      <c r="E33" s="353"/>
      <c r="F33" s="354"/>
    </row>
    <row r="34" spans="4:6" x14ac:dyDescent="0.25">
      <c r="D34" s="346"/>
      <c r="E34" s="353"/>
      <c r="F34" s="354"/>
    </row>
    <row r="35" spans="4:6" x14ac:dyDescent="0.25">
      <c r="E35" s="354"/>
    </row>
  </sheetData>
  <conditionalFormatting sqref="C5:F8">
    <cfRule type="expression" dxfId="23" priority="4">
      <formula>MOD(ROW(),2)=0</formula>
    </cfRule>
  </conditionalFormatting>
  <conditionalFormatting sqref="C11:F13">
    <cfRule type="expression" dxfId="22" priority="1">
      <formula>MOD(ROW(),2)=0</formula>
    </cfRule>
  </conditionalFormatting>
  <dataValidations disablePrompts="1" count="1">
    <dataValidation type="list" allowBlank="1" showInputMessage="1" showErrorMessage="1" sqref="D21:D23 D11:D13 D32:D34" xr:uid="{3E20877D-0617-4F9A-89F2-EB0957EF1250}">
      <formula1>$I$4:$I$5</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1DA88-A96C-4735-B9B0-21A9DDB0DDFC}">
  <sheetPr codeName="Sheet13"/>
  <dimension ref="B1:I20"/>
  <sheetViews>
    <sheetView workbookViewId="0">
      <selection activeCell="F4" sqref="F4"/>
    </sheetView>
  </sheetViews>
  <sheetFormatPr defaultColWidth="9.140625" defaultRowHeight="15" customHeight="1" x14ac:dyDescent="0.25"/>
  <cols>
    <col min="1" max="1" width="5.7109375" style="31" customWidth="1"/>
    <col min="2" max="2" width="1.85546875" style="31" customWidth="1"/>
    <col min="3" max="3" width="18.140625" style="31" customWidth="1"/>
    <col min="4" max="4" width="12.42578125" style="31" customWidth="1"/>
    <col min="5" max="5" width="18.85546875" style="31" customWidth="1"/>
    <col min="6" max="6" width="20.5703125" style="31" customWidth="1"/>
    <col min="7" max="7" width="1.85546875" style="31" customWidth="1"/>
    <col min="8" max="8" width="5.7109375" style="31" customWidth="1"/>
    <col min="9" max="9" width="3.42578125" style="31" hidden="1" customWidth="1"/>
    <col min="10" max="12" width="9.140625" style="31" customWidth="1"/>
    <col min="13" max="13" width="56" style="31" customWidth="1"/>
    <col min="14" max="16384" width="9.140625" style="31"/>
  </cols>
  <sheetData>
    <row r="1" spans="2:9" ht="36" customHeight="1" x14ac:dyDescent="0.25">
      <c r="I1" s="9"/>
    </row>
    <row r="2" spans="2:9" ht="8.1" customHeight="1" thickBot="1" x14ac:dyDescent="0.3">
      <c r="B2" s="9"/>
      <c r="C2" s="9"/>
      <c r="D2" s="9"/>
      <c r="E2" s="9"/>
      <c r="F2" s="9"/>
      <c r="G2" s="9"/>
      <c r="I2" s="9"/>
    </row>
    <row r="3" spans="2:9" x14ac:dyDescent="0.25">
      <c r="B3" s="9"/>
      <c r="C3" s="327" t="s">
        <v>211</v>
      </c>
      <c r="D3" s="328"/>
      <c r="E3" s="328"/>
      <c r="F3" s="359" t="s">
        <v>759</v>
      </c>
      <c r="G3" s="9"/>
      <c r="I3"/>
    </row>
    <row r="4" spans="2:9" x14ac:dyDescent="0.25">
      <c r="B4" s="9"/>
      <c r="C4" s="290" t="s">
        <v>212</v>
      </c>
      <c r="D4" s="113" t="s">
        <v>139</v>
      </c>
      <c r="E4" s="117" t="s">
        <v>140</v>
      </c>
      <c r="F4" s="291" t="s">
        <v>3</v>
      </c>
      <c r="G4" s="9"/>
      <c r="I4" t="s">
        <v>145</v>
      </c>
    </row>
    <row r="5" spans="2:9" x14ac:dyDescent="0.25">
      <c r="B5" s="9"/>
      <c r="C5" s="348">
        <v>400</v>
      </c>
      <c r="D5" s="316">
        <v>1</v>
      </c>
      <c r="E5" s="123">
        <f>0.75*E6</f>
        <v>905208.75</v>
      </c>
      <c r="F5" s="317" t="s">
        <v>213</v>
      </c>
      <c r="G5" s="9"/>
      <c r="I5" t="s">
        <v>150</v>
      </c>
    </row>
    <row r="6" spans="2:9" x14ac:dyDescent="0.25">
      <c r="B6" s="9"/>
      <c r="C6" s="348">
        <v>800</v>
      </c>
      <c r="D6" s="316">
        <v>2</v>
      </c>
      <c r="E6" s="123">
        <v>1206945</v>
      </c>
      <c r="F6" s="349" t="s">
        <v>737</v>
      </c>
      <c r="G6" s="9"/>
      <c r="I6"/>
    </row>
    <row r="7" spans="2:9" x14ac:dyDescent="0.25">
      <c r="B7" s="9"/>
      <c r="C7" s="348">
        <v>1200</v>
      </c>
      <c r="D7" s="316">
        <v>3</v>
      </c>
      <c r="E7" s="123">
        <f>E6</f>
        <v>1206945</v>
      </c>
      <c r="F7" s="317"/>
      <c r="G7" s="9"/>
      <c r="I7"/>
    </row>
    <row r="8" spans="2:9" x14ac:dyDescent="0.25">
      <c r="B8" s="9"/>
      <c r="C8" s="295" t="s">
        <v>155</v>
      </c>
      <c r="D8" s="296">
        <f>'Pretty Picture'!X4</f>
        <v>3</v>
      </c>
      <c r="E8" s="118">
        <f>VLOOKUP(D8,D5:E7,2,TRUE)</f>
        <v>1206945</v>
      </c>
      <c r="F8" s="312"/>
      <c r="G8" s="9"/>
      <c r="I8"/>
    </row>
    <row r="9" spans="2:9" x14ac:dyDescent="0.25">
      <c r="B9" s="9"/>
      <c r="C9" s="290" t="s">
        <v>156</v>
      </c>
      <c r="D9" s="113" t="s">
        <v>157</v>
      </c>
      <c r="E9" s="113" t="s">
        <v>158</v>
      </c>
      <c r="F9" s="291" t="s">
        <v>3</v>
      </c>
      <c r="G9" s="9"/>
      <c r="I9"/>
    </row>
    <row r="10" spans="2:9" x14ac:dyDescent="0.25">
      <c r="B10" s="9"/>
      <c r="C10" s="311" t="s">
        <v>214</v>
      </c>
      <c r="D10" s="34" t="s">
        <v>145</v>
      </c>
      <c r="E10" s="120">
        <v>72019</v>
      </c>
      <c r="F10" s="317" t="s">
        <v>737</v>
      </c>
      <c r="G10" s="9"/>
      <c r="I10"/>
    </row>
    <row r="11" spans="2:9" x14ac:dyDescent="0.25">
      <c r="B11" s="9"/>
      <c r="C11" s="311"/>
      <c r="D11" s="34"/>
      <c r="E11" s="120"/>
      <c r="F11" s="317"/>
      <c r="G11" s="9"/>
      <c r="I11"/>
    </row>
    <row r="12" spans="2:9" x14ac:dyDescent="0.25">
      <c r="B12" s="9"/>
      <c r="C12" s="311"/>
      <c r="D12" s="34"/>
      <c r="E12" s="120"/>
      <c r="F12" s="317"/>
      <c r="G12" s="9"/>
      <c r="I12"/>
    </row>
    <row r="13" spans="2:9" ht="15.75" thickBot="1" x14ac:dyDescent="0.3">
      <c r="B13" s="9"/>
      <c r="C13" s="333" t="s">
        <v>105</v>
      </c>
      <c r="D13" s="334"/>
      <c r="E13" s="335">
        <f>IF('Pretty Picture'!X10=2,0,SUMIF(D10:D12,"yes",E10:E12)+E8)+H20</f>
        <v>1278964</v>
      </c>
      <c r="F13" s="337"/>
      <c r="G13" s="9"/>
      <c r="I13"/>
    </row>
    <row r="14" spans="2:9" ht="8.1" customHeight="1" x14ac:dyDescent="0.25">
      <c r="B14" s="9"/>
      <c r="C14" s="148"/>
      <c r="D14" s="148"/>
      <c r="E14" s="149"/>
      <c r="F14" s="9"/>
      <c r="G14" s="9"/>
      <c r="I14"/>
    </row>
    <row r="15" spans="2:9" ht="36" customHeight="1" thickBot="1" x14ac:dyDescent="0.3">
      <c r="B15" s="367"/>
      <c r="C15" s="367"/>
      <c r="D15" s="367"/>
      <c r="E15" s="368"/>
      <c r="I15"/>
    </row>
    <row r="16" spans="2:9" x14ac:dyDescent="0.25">
      <c r="C16" s="327" t="s">
        <v>215</v>
      </c>
      <c r="D16" s="328"/>
      <c r="E16" s="328"/>
      <c r="F16" s="328"/>
      <c r="G16" s="328"/>
      <c r="H16" s="329"/>
      <c r="I16"/>
    </row>
    <row r="17" spans="3:9" x14ac:dyDescent="0.25">
      <c r="C17" s="290" t="s">
        <v>208</v>
      </c>
      <c r="D17" s="113" t="s">
        <v>216</v>
      </c>
      <c r="E17" s="113" t="s">
        <v>217</v>
      </c>
      <c r="F17" s="117" t="s">
        <v>218</v>
      </c>
      <c r="G17" s="117"/>
      <c r="H17" s="291" t="s">
        <v>2</v>
      </c>
      <c r="I17"/>
    </row>
    <row r="18" spans="3:9" x14ac:dyDescent="0.25">
      <c r="C18" s="369">
        <f>'Pretty Picture'!V8</f>
        <v>0</v>
      </c>
      <c r="D18" s="151">
        <v>0.21</v>
      </c>
      <c r="E18" s="151">
        <v>0.36</v>
      </c>
      <c r="F18" s="157">
        <v>0.23</v>
      </c>
      <c r="G18" s="157"/>
      <c r="H18" s="317">
        <f>C18*F18</f>
        <v>0</v>
      </c>
      <c r="I18"/>
    </row>
    <row r="19" spans="3:9" x14ac:dyDescent="0.25">
      <c r="C19" s="369">
        <f>'Pretty Picture'!V9</f>
        <v>0</v>
      </c>
      <c r="D19" s="151">
        <v>0.21</v>
      </c>
      <c r="E19" s="151">
        <v>0.36</v>
      </c>
      <c r="F19" s="157">
        <v>0.23</v>
      </c>
      <c r="G19" s="157"/>
      <c r="H19" s="370">
        <f>C19*F19</f>
        <v>0</v>
      </c>
      <c r="I19"/>
    </row>
    <row r="20" spans="3:9" ht="15.75" thickBot="1" x14ac:dyDescent="0.3">
      <c r="C20" s="372" t="s">
        <v>105</v>
      </c>
      <c r="D20" s="336"/>
      <c r="E20" s="336"/>
      <c r="F20" s="334"/>
      <c r="G20" s="334"/>
      <c r="H20" s="371">
        <f>SUM(H18:H19)</f>
        <v>0</v>
      </c>
      <c r="I20"/>
    </row>
  </sheetData>
  <conditionalFormatting sqref="C5:F7">
    <cfRule type="expression" dxfId="21" priority="6">
      <formula>MOD(ROW(),2)=0</formula>
    </cfRule>
  </conditionalFormatting>
  <conditionalFormatting sqref="C10:F12">
    <cfRule type="expression" dxfId="20" priority="5">
      <formula>MOD(ROW(),2)=0</formula>
    </cfRule>
  </conditionalFormatting>
  <conditionalFormatting sqref="C18:H19">
    <cfRule type="expression" dxfId="19" priority="1">
      <formula>MOD(ROW(),2)=0</formula>
    </cfRule>
  </conditionalFormatting>
  <dataValidations count="1">
    <dataValidation type="list" allowBlank="1" showInputMessage="1" showErrorMessage="1" sqref="D10:D12 D26:D28 D37:D39" xr:uid="{4B172BA8-6224-4156-8FAE-D8CF15890068}">
      <formula1>$I$4:$I$5</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7812B-E9A2-4C8C-8F90-31C87432B9F6}">
  <sheetPr codeName="Sheet7"/>
  <dimension ref="B1:J20"/>
  <sheetViews>
    <sheetView workbookViewId="0">
      <selection activeCell="I4" sqref="I4"/>
    </sheetView>
  </sheetViews>
  <sheetFormatPr defaultColWidth="8.85546875" defaultRowHeight="15" x14ac:dyDescent="0.25"/>
  <cols>
    <col min="1" max="1" width="5.7109375" style="31" customWidth="1"/>
    <col min="2" max="2" width="1.85546875" style="31" customWidth="1"/>
    <col min="3" max="3" width="32.7109375" style="31" customWidth="1"/>
    <col min="4" max="4" width="25.140625" style="31" customWidth="1"/>
    <col min="5" max="7" width="11.85546875" style="31" bestFit="1" customWidth="1"/>
    <col min="8" max="8" width="8.85546875" style="31" customWidth="1"/>
    <col min="9" max="9" width="63.7109375" style="31" customWidth="1"/>
    <col min="10" max="10" width="1.85546875" style="31" customWidth="1"/>
    <col min="11" max="11" width="5.7109375" style="31" customWidth="1"/>
    <col min="12" max="16384" width="8.85546875" style="31"/>
  </cols>
  <sheetData>
    <row r="1" spans="2:10" ht="36" customHeight="1" x14ac:dyDescent="0.25"/>
    <row r="2" spans="2:10" ht="8.1" customHeight="1" thickBot="1" x14ac:dyDescent="0.3">
      <c r="B2" s="9"/>
      <c r="C2" s="9"/>
      <c r="D2" s="9"/>
      <c r="E2" s="9"/>
      <c r="F2" s="9"/>
      <c r="G2" s="9"/>
      <c r="H2" s="9"/>
      <c r="I2" s="9"/>
      <c r="J2" s="9"/>
    </row>
    <row r="3" spans="2:10" ht="16.149999999999999" customHeight="1" x14ac:dyDescent="0.25">
      <c r="B3" s="9"/>
      <c r="C3" s="287" t="s">
        <v>56</v>
      </c>
      <c r="D3" s="328"/>
      <c r="E3" s="360"/>
      <c r="F3" s="360"/>
      <c r="G3" s="360"/>
      <c r="H3" s="328"/>
      <c r="I3" s="359" t="s">
        <v>759</v>
      </c>
      <c r="J3" s="9"/>
    </row>
    <row r="4" spans="2:10" x14ac:dyDescent="0.25">
      <c r="B4" s="9"/>
      <c r="C4" s="290"/>
      <c r="D4" s="113" t="s">
        <v>197</v>
      </c>
      <c r="E4" s="113">
        <v>400</v>
      </c>
      <c r="F4" s="113">
        <v>800</v>
      </c>
      <c r="G4" s="113">
        <v>1200</v>
      </c>
      <c r="H4" s="113">
        <v>1754</v>
      </c>
      <c r="I4" s="361" t="s">
        <v>3</v>
      </c>
      <c r="J4" s="9"/>
    </row>
    <row r="5" spans="2:10" x14ac:dyDescent="0.25">
      <c r="B5" s="9"/>
      <c r="C5" s="362" t="s">
        <v>198</v>
      </c>
      <c r="D5" s="363" t="s">
        <v>199</v>
      </c>
      <c r="E5" s="112"/>
      <c r="F5" s="112"/>
      <c r="G5" s="112"/>
      <c r="H5" s="9"/>
      <c r="I5" s="364"/>
      <c r="J5" s="9"/>
    </row>
    <row r="6" spans="2:10" x14ac:dyDescent="0.25">
      <c r="B6" s="9"/>
      <c r="C6" s="362" t="s">
        <v>200</v>
      </c>
      <c r="D6" s="363" t="s">
        <v>199</v>
      </c>
      <c r="E6" s="112"/>
      <c r="F6" s="112"/>
      <c r="G6" s="112"/>
      <c r="H6" s="9"/>
      <c r="I6" s="364"/>
      <c r="J6" s="9"/>
    </row>
    <row r="7" spans="2:10" ht="30" x14ac:dyDescent="0.25">
      <c r="B7" s="9"/>
      <c r="C7" s="362" t="s">
        <v>201</v>
      </c>
      <c r="D7" s="365"/>
      <c r="E7" s="316">
        <f>367034</f>
        <v>367034</v>
      </c>
      <c r="F7" s="112">
        <f>452500</f>
        <v>452500</v>
      </c>
      <c r="G7" s="112">
        <v>593670</v>
      </c>
      <c r="H7" s="9"/>
      <c r="I7" s="364" t="s">
        <v>736</v>
      </c>
      <c r="J7" s="9"/>
    </row>
    <row r="8" spans="2:10" ht="30" x14ac:dyDescent="0.25">
      <c r="B8" s="9"/>
      <c r="C8" s="362" t="s">
        <v>202</v>
      </c>
      <c r="D8" s="363"/>
      <c r="E8" s="112">
        <v>193116</v>
      </c>
      <c r="F8" s="112">
        <v>193116</v>
      </c>
      <c r="G8" s="112">
        <v>193116</v>
      </c>
      <c r="H8" s="9"/>
      <c r="I8" s="364" t="s">
        <v>203</v>
      </c>
      <c r="J8" s="9"/>
    </row>
    <row r="9" spans="2:10" x14ac:dyDescent="0.25">
      <c r="B9" s="9"/>
      <c r="C9" s="362" t="s">
        <v>110</v>
      </c>
      <c r="D9" s="363"/>
      <c r="E9" s="112">
        <f>83500*1.025</f>
        <v>85587.499999999985</v>
      </c>
      <c r="F9" s="112">
        <f>E9*1.1</f>
        <v>94146.249999999985</v>
      </c>
      <c r="G9" s="112">
        <f>F9*1.1</f>
        <v>103560.87499999999</v>
      </c>
      <c r="H9" s="9"/>
      <c r="I9" s="364" t="s">
        <v>204</v>
      </c>
      <c r="J9" s="9"/>
    </row>
    <row r="10" spans="2:10" x14ac:dyDescent="0.25">
      <c r="B10" s="9"/>
      <c r="C10" s="362" t="s">
        <v>205</v>
      </c>
      <c r="D10" s="363"/>
      <c r="E10" s="112">
        <v>10000</v>
      </c>
      <c r="F10" s="112">
        <v>10000</v>
      </c>
      <c r="G10" s="112">
        <v>10000</v>
      </c>
      <c r="H10" s="9"/>
      <c r="I10" s="312"/>
      <c r="J10" s="9"/>
    </row>
    <row r="11" spans="2:10" x14ac:dyDescent="0.25">
      <c r="B11" s="9"/>
      <c r="C11" s="362" t="s">
        <v>206</v>
      </c>
      <c r="D11" s="363" t="s">
        <v>199</v>
      </c>
      <c r="E11" s="112"/>
      <c r="F11" s="112"/>
      <c r="G11" s="112"/>
      <c r="H11" s="9"/>
      <c r="I11" s="312"/>
      <c r="J11" s="9"/>
    </row>
    <row r="12" spans="2:10" ht="15.75" thickBot="1" x14ac:dyDescent="0.3">
      <c r="B12" s="9"/>
      <c r="C12" s="298" t="s">
        <v>105</v>
      </c>
      <c r="D12" s="336"/>
      <c r="E12" s="366">
        <f>SUM(E5:E11)+E19</f>
        <v>655737.5</v>
      </c>
      <c r="F12" s="366">
        <f>SUM(F5:F11)+E19</f>
        <v>749762.25</v>
      </c>
      <c r="G12" s="366">
        <f>SUM(G5:G11)+E19</f>
        <v>900346.875</v>
      </c>
      <c r="H12" s="336"/>
      <c r="I12" s="337"/>
      <c r="J12" s="9"/>
    </row>
    <row r="13" spans="2:10" ht="8.1" customHeight="1" x14ac:dyDescent="0.25">
      <c r="B13" s="9"/>
      <c r="C13" s="9"/>
      <c r="D13" s="9"/>
      <c r="E13" s="9"/>
      <c r="F13" s="9"/>
      <c r="G13" s="9"/>
      <c r="H13" s="9"/>
      <c r="I13" s="9"/>
      <c r="J13" s="9"/>
    </row>
    <row r="14" spans="2:10" ht="36" customHeight="1" thickBot="1" x14ac:dyDescent="0.3">
      <c r="B14" s="367"/>
      <c r="C14" s="367"/>
      <c r="D14" s="367"/>
      <c r="E14" s="368"/>
    </row>
    <row r="15" spans="2:10" x14ac:dyDescent="0.25">
      <c r="C15" s="327" t="s">
        <v>207</v>
      </c>
      <c r="D15" s="328"/>
      <c r="E15" s="329"/>
    </row>
    <row r="16" spans="2:10" x14ac:dyDescent="0.25">
      <c r="C16" s="290" t="s">
        <v>208</v>
      </c>
      <c r="D16" s="117" t="s">
        <v>209</v>
      </c>
      <c r="E16" s="291" t="s">
        <v>2</v>
      </c>
    </row>
    <row r="17" spans="3:5" x14ac:dyDescent="0.25">
      <c r="C17" s="369">
        <f>'Pretty Picture'!V8</f>
        <v>0</v>
      </c>
      <c r="D17" s="151">
        <v>0.08</v>
      </c>
      <c r="E17" s="317">
        <f>C17*D17</f>
        <v>0</v>
      </c>
    </row>
    <row r="18" spans="3:5" x14ac:dyDescent="0.25">
      <c r="C18" s="369">
        <f>'Pretty Picture'!V9</f>
        <v>0</v>
      </c>
      <c r="D18" s="151">
        <v>0.08</v>
      </c>
      <c r="E18" s="370">
        <f>C18*D18</f>
        <v>0</v>
      </c>
    </row>
    <row r="19" spans="3:5" ht="15.75" thickBot="1" x14ac:dyDescent="0.3">
      <c r="C19" s="333" t="s">
        <v>105</v>
      </c>
      <c r="D19" s="334"/>
      <c r="E19" s="371">
        <f>SUM(E17:E18)</f>
        <v>0</v>
      </c>
    </row>
    <row r="20" spans="3:5" x14ac:dyDescent="0.25">
      <c r="D20" s="352"/>
      <c r="E20" s="353"/>
    </row>
  </sheetData>
  <conditionalFormatting sqref="C17:E18">
    <cfRule type="expression" dxfId="18" priority="1">
      <formula>MOD(ROW(),2)=0</formula>
    </cfRule>
  </conditionalFormatting>
  <conditionalFormatting sqref="C5:I11">
    <cfRule type="expression" dxfId="17" priority="2">
      <formula>MOD(ROW(),2)=0</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5CB30-A3CD-43FF-BFC1-20D68D536EE5}">
  <sheetPr codeName="Sheet15"/>
  <dimension ref="B1:N44"/>
  <sheetViews>
    <sheetView topLeftCell="A15" zoomScaleNormal="100" workbookViewId="0">
      <selection activeCell="K36" sqref="K36"/>
    </sheetView>
  </sheetViews>
  <sheetFormatPr defaultColWidth="8.85546875" defaultRowHeight="15" x14ac:dyDescent="0.25"/>
  <cols>
    <col min="1" max="1" width="5.7109375" style="31" customWidth="1"/>
    <col min="2" max="2" width="1.85546875" style="31" customWidth="1"/>
    <col min="3" max="3" width="7.5703125" style="31" bestFit="1" customWidth="1"/>
    <col min="4" max="4" width="5.140625" style="31" bestFit="1" customWidth="1"/>
    <col min="5" max="5" width="35.5703125" style="31" bestFit="1" customWidth="1"/>
    <col min="6" max="6" width="18.42578125" style="31" bestFit="1" customWidth="1"/>
    <col min="7" max="7" width="21.140625" style="31" customWidth="1"/>
    <col min="8" max="9" width="11" style="31" customWidth="1"/>
    <col min="10" max="11" width="13.140625" style="31" customWidth="1"/>
    <col min="12" max="12" width="13.7109375" style="31" bestFit="1" customWidth="1"/>
    <col min="13" max="13" width="23.140625" style="31" customWidth="1"/>
    <col min="14" max="14" width="1.85546875" style="31" customWidth="1"/>
    <col min="15" max="15" width="5.7109375" style="31" customWidth="1"/>
    <col min="16" max="16" width="8.85546875" style="31" customWidth="1"/>
    <col min="17" max="16384" width="8.85546875" style="31"/>
  </cols>
  <sheetData>
    <row r="1" spans="2:14" ht="36" customHeight="1" x14ac:dyDescent="0.25"/>
    <row r="2" spans="2:14" ht="8.1" customHeight="1" thickBot="1" x14ac:dyDescent="0.3">
      <c r="B2" s="9"/>
      <c r="C2" s="9"/>
      <c r="D2" s="9"/>
      <c r="E2" s="9"/>
      <c r="F2" s="9"/>
      <c r="G2" s="9"/>
      <c r="H2" s="9"/>
      <c r="I2" s="9"/>
      <c r="J2" s="9"/>
      <c r="K2" s="9"/>
      <c r="L2" s="9"/>
      <c r="M2" s="9"/>
      <c r="N2" s="9"/>
    </row>
    <row r="3" spans="2:14" x14ac:dyDescent="0.25">
      <c r="B3" s="9"/>
      <c r="C3" s="287" t="s">
        <v>219</v>
      </c>
      <c r="D3" s="288"/>
      <c r="E3" s="288"/>
      <c r="F3" s="397"/>
      <c r="G3" s="398"/>
      <c r="H3" s="397"/>
      <c r="I3" s="397"/>
      <c r="J3" s="398"/>
      <c r="K3" s="397"/>
      <c r="L3" s="398"/>
      <c r="M3" s="373"/>
      <c r="N3" s="9"/>
    </row>
    <row r="4" spans="2:14" x14ac:dyDescent="0.25">
      <c r="B4" s="9"/>
      <c r="C4" s="290"/>
      <c r="D4" s="94" t="s">
        <v>220</v>
      </c>
      <c r="E4" s="94" t="s">
        <v>221</v>
      </c>
      <c r="F4" s="94" t="s">
        <v>222</v>
      </c>
      <c r="G4" s="94" t="s">
        <v>223</v>
      </c>
      <c r="H4" s="94" t="s">
        <v>224</v>
      </c>
      <c r="I4" s="113" t="s">
        <v>225</v>
      </c>
      <c r="J4" s="113" t="s">
        <v>226</v>
      </c>
      <c r="K4" s="113" t="s">
        <v>227</v>
      </c>
      <c r="L4" s="94"/>
      <c r="M4" s="374" t="s">
        <v>228</v>
      </c>
      <c r="N4" s="9"/>
    </row>
    <row r="5" spans="2:14" x14ac:dyDescent="0.25">
      <c r="B5" s="9"/>
      <c r="C5" s="375"/>
      <c r="D5" s="9" t="s">
        <v>229</v>
      </c>
      <c r="E5" s="9" t="s">
        <v>230</v>
      </c>
      <c r="F5" s="9" t="s">
        <v>231</v>
      </c>
      <c r="G5" s="9" t="s">
        <v>232</v>
      </c>
      <c r="H5" s="9">
        <v>1</v>
      </c>
      <c r="I5" s="34" t="s">
        <v>233</v>
      </c>
      <c r="J5" s="9">
        <v>8200</v>
      </c>
      <c r="K5" s="9">
        <v>8200</v>
      </c>
      <c r="L5" s="9"/>
      <c r="M5" s="312" t="s">
        <v>234</v>
      </c>
      <c r="N5" s="9"/>
    </row>
    <row r="6" spans="2:14" x14ac:dyDescent="0.25">
      <c r="B6" s="9"/>
      <c r="C6" s="375"/>
      <c r="D6" s="9" t="s">
        <v>235</v>
      </c>
      <c r="E6" s="9" t="s">
        <v>230</v>
      </c>
      <c r="F6" s="9" t="s">
        <v>231</v>
      </c>
      <c r="G6" s="9" t="s">
        <v>232</v>
      </c>
      <c r="H6" s="9">
        <v>1</v>
      </c>
      <c r="I6" s="34" t="s">
        <v>233</v>
      </c>
      <c r="J6" s="9">
        <v>8200</v>
      </c>
      <c r="K6" s="9">
        <v>8200</v>
      </c>
      <c r="L6" s="9"/>
      <c r="M6" s="312" t="s">
        <v>234</v>
      </c>
      <c r="N6" s="9"/>
    </row>
    <row r="7" spans="2:14" x14ac:dyDescent="0.25">
      <c r="B7" s="9"/>
      <c r="C7" s="375"/>
      <c r="D7" s="9" t="s">
        <v>229</v>
      </c>
      <c r="E7" s="9" t="s">
        <v>236</v>
      </c>
      <c r="F7" s="9" t="s">
        <v>237</v>
      </c>
      <c r="G7" s="9" t="s">
        <v>238</v>
      </c>
      <c r="H7" s="9">
        <v>1</v>
      </c>
      <c r="I7" s="34" t="s">
        <v>233</v>
      </c>
      <c r="J7" s="9">
        <v>2000</v>
      </c>
      <c r="K7" s="9">
        <v>2000</v>
      </c>
      <c r="L7" s="9"/>
      <c r="M7" s="312" t="s">
        <v>234</v>
      </c>
      <c r="N7" s="9"/>
    </row>
    <row r="8" spans="2:14" x14ac:dyDescent="0.25">
      <c r="B8" s="9"/>
      <c r="C8" s="375"/>
      <c r="D8" s="9" t="s">
        <v>229</v>
      </c>
      <c r="E8" s="9" t="s">
        <v>239</v>
      </c>
      <c r="F8" s="9" t="s">
        <v>240</v>
      </c>
      <c r="G8" s="9" t="s">
        <v>241</v>
      </c>
      <c r="H8" s="9">
        <v>4</v>
      </c>
      <c r="I8" s="34" t="s">
        <v>233</v>
      </c>
      <c r="J8" s="9">
        <v>400</v>
      </c>
      <c r="K8" s="9">
        <v>1600</v>
      </c>
      <c r="L8" s="9"/>
      <c r="M8" s="312" t="s">
        <v>234</v>
      </c>
      <c r="N8" s="9"/>
    </row>
    <row r="9" spans="2:14" x14ac:dyDescent="0.25">
      <c r="B9" s="9"/>
      <c r="C9" s="375"/>
      <c r="D9" s="9" t="s">
        <v>235</v>
      </c>
      <c r="E9" s="9" t="s">
        <v>242</v>
      </c>
      <c r="F9" s="9" t="s">
        <v>243</v>
      </c>
      <c r="G9" s="9" t="s">
        <v>244</v>
      </c>
      <c r="H9" s="9">
        <v>2</v>
      </c>
      <c r="I9" s="34" t="s">
        <v>233</v>
      </c>
      <c r="J9" s="9">
        <v>3500</v>
      </c>
      <c r="K9" s="9">
        <v>7000</v>
      </c>
      <c r="L9" s="9"/>
      <c r="M9" s="312" t="s">
        <v>234</v>
      </c>
      <c r="N9" s="9"/>
    </row>
    <row r="10" spans="2:14" x14ac:dyDescent="0.25">
      <c r="B10" s="9"/>
      <c r="C10" s="375"/>
      <c r="D10" s="9" t="s">
        <v>229</v>
      </c>
      <c r="E10" s="9" t="s">
        <v>245</v>
      </c>
      <c r="F10" s="9" t="s">
        <v>240</v>
      </c>
      <c r="G10" s="9" t="s">
        <v>246</v>
      </c>
      <c r="H10" s="9">
        <v>5</v>
      </c>
      <c r="I10" s="34" t="s">
        <v>233</v>
      </c>
      <c r="J10" s="9">
        <v>350</v>
      </c>
      <c r="K10" s="9">
        <v>1750</v>
      </c>
      <c r="L10" s="9"/>
      <c r="M10" s="312" t="s">
        <v>234</v>
      </c>
      <c r="N10" s="9"/>
    </row>
    <row r="11" spans="2:14" x14ac:dyDescent="0.25">
      <c r="B11" s="9"/>
      <c r="C11" s="375"/>
      <c r="D11" s="9" t="s">
        <v>235</v>
      </c>
      <c r="E11" s="9" t="s">
        <v>239</v>
      </c>
      <c r="F11" s="9" t="s">
        <v>247</v>
      </c>
      <c r="G11" s="9" t="s">
        <v>248</v>
      </c>
      <c r="H11" s="9">
        <v>6</v>
      </c>
      <c r="I11" s="34" t="s">
        <v>233</v>
      </c>
      <c r="J11" s="376">
        <v>10000</v>
      </c>
      <c r="K11" s="9">
        <v>60000</v>
      </c>
      <c r="L11" s="9"/>
      <c r="M11" s="312" t="s">
        <v>234</v>
      </c>
      <c r="N11" s="9"/>
    </row>
    <row r="12" spans="2:14" x14ac:dyDescent="0.25">
      <c r="B12" s="9"/>
      <c r="C12" s="375"/>
      <c r="D12" s="9" t="s">
        <v>235</v>
      </c>
      <c r="E12" s="9" t="s">
        <v>249</v>
      </c>
      <c r="F12" s="9" t="s">
        <v>247</v>
      </c>
      <c r="G12" s="9" t="s">
        <v>250</v>
      </c>
      <c r="H12" s="9">
        <v>12</v>
      </c>
      <c r="I12" s="34" t="s">
        <v>233</v>
      </c>
      <c r="J12" s="9">
        <v>450</v>
      </c>
      <c r="K12" s="9">
        <v>5400</v>
      </c>
      <c r="L12" s="9"/>
      <c r="M12" s="312" t="s">
        <v>234</v>
      </c>
      <c r="N12" s="9"/>
    </row>
    <row r="13" spans="2:14" x14ac:dyDescent="0.25">
      <c r="B13" s="9"/>
      <c r="C13" s="375"/>
      <c r="D13" s="9" t="s">
        <v>220</v>
      </c>
      <c r="E13" s="9" t="s">
        <v>251</v>
      </c>
      <c r="F13" s="9" t="s">
        <v>252</v>
      </c>
      <c r="G13" s="9" t="s">
        <v>252</v>
      </c>
      <c r="H13" s="9">
        <v>1</v>
      </c>
      <c r="I13" s="34" t="s">
        <v>233</v>
      </c>
      <c r="J13" s="9">
        <v>5000</v>
      </c>
      <c r="K13" s="9">
        <v>5000</v>
      </c>
      <c r="L13" s="9"/>
      <c r="M13" s="312" t="s">
        <v>234</v>
      </c>
      <c r="N13" s="9"/>
    </row>
    <row r="14" spans="2:14" x14ac:dyDescent="0.25">
      <c r="B14" s="9"/>
      <c r="C14" s="375"/>
      <c r="D14" s="9" t="s">
        <v>220</v>
      </c>
      <c r="E14" s="9" t="s">
        <v>253</v>
      </c>
      <c r="F14" s="9" t="s">
        <v>254</v>
      </c>
      <c r="G14" s="9" t="s">
        <v>255</v>
      </c>
      <c r="H14" s="9">
        <v>1</v>
      </c>
      <c r="I14" s="34" t="s">
        <v>233</v>
      </c>
      <c r="J14" s="9">
        <v>2000</v>
      </c>
      <c r="K14" s="9">
        <v>2000</v>
      </c>
      <c r="L14" s="9"/>
      <c r="M14" s="312" t="s">
        <v>234</v>
      </c>
      <c r="N14" s="9"/>
    </row>
    <row r="15" spans="2:14" x14ac:dyDescent="0.25">
      <c r="B15" s="9"/>
      <c r="C15" s="375"/>
      <c r="D15" s="9" t="s">
        <v>220</v>
      </c>
      <c r="E15" s="9" t="s">
        <v>256</v>
      </c>
      <c r="F15" s="9" t="s">
        <v>257</v>
      </c>
      <c r="G15" s="9" t="s">
        <v>258</v>
      </c>
      <c r="H15" s="9">
        <v>1</v>
      </c>
      <c r="I15" s="34" t="s">
        <v>233</v>
      </c>
      <c r="J15" s="9">
        <v>3000</v>
      </c>
      <c r="K15" s="9">
        <v>3000</v>
      </c>
      <c r="L15" s="9"/>
      <c r="M15" s="312" t="s">
        <v>234</v>
      </c>
      <c r="N15" s="9"/>
    </row>
    <row r="16" spans="2:14" x14ac:dyDescent="0.25">
      <c r="B16" s="9"/>
      <c r="C16" s="375"/>
      <c r="D16" s="9" t="s">
        <v>220</v>
      </c>
      <c r="E16" s="9" t="s">
        <v>259</v>
      </c>
      <c r="F16" s="9" t="s">
        <v>257</v>
      </c>
      <c r="G16" s="9" t="s">
        <v>260</v>
      </c>
      <c r="H16" s="9">
        <v>12</v>
      </c>
      <c r="I16" s="34" t="s">
        <v>233</v>
      </c>
      <c r="J16" s="9">
        <v>800</v>
      </c>
      <c r="K16" s="9">
        <v>9600</v>
      </c>
      <c r="L16" s="9"/>
      <c r="M16" s="312" t="s">
        <v>234</v>
      </c>
      <c r="N16" s="9"/>
    </row>
    <row r="17" spans="2:14" x14ac:dyDescent="0.25">
      <c r="B17" s="9"/>
      <c r="C17" s="375"/>
      <c r="D17" s="9" t="s">
        <v>235</v>
      </c>
      <c r="E17" s="9" t="s">
        <v>261</v>
      </c>
      <c r="F17" s="9" t="s">
        <v>247</v>
      </c>
      <c r="G17" s="9" t="s">
        <v>262</v>
      </c>
      <c r="H17" s="9">
        <v>1</v>
      </c>
      <c r="I17" s="34" t="s">
        <v>233</v>
      </c>
      <c r="J17" s="9">
        <v>30000</v>
      </c>
      <c r="K17" s="9">
        <v>30000</v>
      </c>
      <c r="L17" s="9"/>
      <c r="M17" s="312" t="s">
        <v>263</v>
      </c>
      <c r="N17" s="9"/>
    </row>
    <row r="18" spans="2:14" x14ac:dyDescent="0.25">
      <c r="B18" s="9"/>
      <c r="C18" s="375"/>
      <c r="D18" s="9" t="s">
        <v>235</v>
      </c>
      <c r="E18" s="9" t="s">
        <v>264</v>
      </c>
      <c r="F18" s="9" t="s">
        <v>265</v>
      </c>
      <c r="G18" s="9" t="s">
        <v>262</v>
      </c>
      <c r="H18" s="9">
        <v>4</v>
      </c>
      <c r="I18" s="34" t="s">
        <v>233</v>
      </c>
      <c r="J18" s="9">
        <v>1500</v>
      </c>
      <c r="K18" s="9">
        <v>6000</v>
      </c>
      <c r="L18" s="9"/>
      <c r="M18" s="312" t="s">
        <v>263</v>
      </c>
      <c r="N18" s="9"/>
    </row>
    <row r="19" spans="2:14" x14ac:dyDescent="0.25">
      <c r="B19" s="9"/>
      <c r="C19" s="375"/>
      <c r="D19" s="9" t="s">
        <v>235</v>
      </c>
      <c r="E19" s="9" t="s">
        <v>266</v>
      </c>
      <c r="F19" s="9" t="s">
        <v>267</v>
      </c>
      <c r="G19" s="9" t="s">
        <v>268</v>
      </c>
      <c r="H19" s="9">
        <v>1</v>
      </c>
      <c r="I19" s="34" t="s">
        <v>233</v>
      </c>
      <c r="J19" s="9">
        <v>20000</v>
      </c>
      <c r="K19" s="9">
        <v>20000</v>
      </c>
      <c r="L19" s="9"/>
      <c r="M19" s="312" t="s">
        <v>263</v>
      </c>
      <c r="N19" s="9"/>
    </row>
    <row r="20" spans="2:14" x14ac:dyDescent="0.25">
      <c r="B20" s="9"/>
      <c r="C20" s="375"/>
      <c r="D20" s="9" t="s">
        <v>269</v>
      </c>
      <c r="E20" s="9" t="s">
        <v>270</v>
      </c>
      <c r="F20" s="9" t="s">
        <v>271</v>
      </c>
      <c r="G20" s="9" t="s">
        <v>262</v>
      </c>
      <c r="H20" s="9">
        <v>1</v>
      </c>
      <c r="I20" s="34" t="s">
        <v>233</v>
      </c>
      <c r="J20" s="9">
        <v>4000</v>
      </c>
      <c r="K20" s="9">
        <v>4000</v>
      </c>
      <c r="L20" s="9"/>
      <c r="M20" s="312" t="s">
        <v>234</v>
      </c>
      <c r="N20" s="9"/>
    </row>
    <row r="21" spans="2:14" x14ac:dyDescent="0.25">
      <c r="B21" s="9"/>
      <c r="C21" s="375"/>
      <c r="D21" s="9" t="s">
        <v>235</v>
      </c>
      <c r="E21" s="9" t="s">
        <v>272</v>
      </c>
      <c r="F21" s="9" t="s">
        <v>273</v>
      </c>
      <c r="G21" s="9" t="s">
        <v>274</v>
      </c>
      <c r="H21" s="9">
        <v>2</v>
      </c>
      <c r="I21" s="34" t="s">
        <v>233</v>
      </c>
      <c r="J21" s="9">
        <v>5000</v>
      </c>
      <c r="K21" s="9">
        <v>10000</v>
      </c>
      <c r="L21" s="9"/>
      <c r="M21" s="312" t="s">
        <v>234</v>
      </c>
      <c r="N21" s="9"/>
    </row>
    <row r="22" spans="2:14" x14ac:dyDescent="0.25">
      <c r="B22" s="9"/>
      <c r="C22" s="375"/>
      <c r="D22" s="9" t="s">
        <v>235</v>
      </c>
      <c r="E22" s="9" t="s">
        <v>275</v>
      </c>
      <c r="F22" s="9" t="s">
        <v>276</v>
      </c>
      <c r="G22" s="9" t="s">
        <v>277</v>
      </c>
      <c r="H22" s="9">
        <v>240</v>
      </c>
      <c r="I22" s="34" t="s">
        <v>233</v>
      </c>
      <c r="J22" s="9">
        <v>40</v>
      </c>
      <c r="K22" s="9">
        <v>9600</v>
      </c>
      <c r="L22" s="9"/>
      <c r="M22" s="312" t="s">
        <v>263</v>
      </c>
      <c r="N22" s="9"/>
    </row>
    <row r="23" spans="2:14" x14ac:dyDescent="0.25">
      <c r="B23" s="9"/>
      <c r="C23" s="375"/>
      <c r="D23" s="9" t="s">
        <v>235</v>
      </c>
      <c r="E23" s="9" t="s">
        <v>278</v>
      </c>
      <c r="F23" s="9" t="s">
        <v>279</v>
      </c>
      <c r="G23" s="9" t="s">
        <v>280</v>
      </c>
      <c r="H23" s="9">
        <v>2</v>
      </c>
      <c r="I23" s="34" t="s">
        <v>233</v>
      </c>
      <c r="J23" s="9">
        <v>30000</v>
      </c>
      <c r="K23" s="9">
        <v>60000</v>
      </c>
      <c r="L23" s="9"/>
      <c r="M23" s="312" t="s">
        <v>234</v>
      </c>
      <c r="N23" s="9"/>
    </row>
    <row r="24" spans="2:14" x14ac:dyDescent="0.25">
      <c r="B24" s="9"/>
      <c r="C24" s="375"/>
      <c r="D24" s="9" t="s">
        <v>229</v>
      </c>
      <c r="E24" s="9" t="s">
        <v>281</v>
      </c>
      <c r="F24" s="9" t="s">
        <v>279</v>
      </c>
      <c r="G24" s="9" t="s">
        <v>280</v>
      </c>
      <c r="H24" s="9">
        <v>1</v>
      </c>
      <c r="I24" s="34" t="s">
        <v>233</v>
      </c>
      <c r="J24" s="9">
        <v>4000</v>
      </c>
      <c r="K24" s="9">
        <v>4000</v>
      </c>
      <c r="L24" s="9"/>
      <c r="M24" s="312" t="s">
        <v>234</v>
      </c>
      <c r="N24" s="9"/>
    </row>
    <row r="25" spans="2:14" x14ac:dyDescent="0.25">
      <c r="B25" s="9"/>
      <c r="C25" s="375"/>
      <c r="D25" s="9" t="s">
        <v>220</v>
      </c>
      <c r="E25" s="9" t="s">
        <v>282</v>
      </c>
      <c r="F25" s="9" t="s">
        <v>283</v>
      </c>
      <c r="G25" s="9" t="s">
        <v>284</v>
      </c>
      <c r="H25" s="9">
        <v>1</v>
      </c>
      <c r="I25" s="34" t="s">
        <v>233</v>
      </c>
      <c r="J25" s="9">
        <v>10000</v>
      </c>
      <c r="K25" s="9">
        <v>10000</v>
      </c>
      <c r="L25" s="9"/>
      <c r="M25" s="312" t="s">
        <v>234</v>
      </c>
      <c r="N25" s="9"/>
    </row>
    <row r="26" spans="2:14" x14ac:dyDescent="0.25">
      <c r="B26" s="9"/>
      <c r="C26" s="375"/>
      <c r="D26" s="9" t="s">
        <v>235</v>
      </c>
      <c r="E26" s="9" t="s">
        <v>285</v>
      </c>
      <c r="F26" s="9" t="s">
        <v>286</v>
      </c>
      <c r="G26" s="9" t="s">
        <v>287</v>
      </c>
      <c r="H26" s="9">
        <v>1</v>
      </c>
      <c r="I26" s="34" t="s">
        <v>233</v>
      </c>
      <c r="J26" s="9">
        <v>25000</v>
      </c>
      <c r="K26" s="9">
        <v>25000</v>
      </c>
      <c r="L26" s="9"/>
      <c r="M26" s="312" t="s">
        <v>234</v>
      </c>
      <c r="N26" s="9"/>
    </row>
    <row r="27" spans="2:14" x14ac:dyDescent="0.25">
      <c r="B27" s="9"/>
      <c r="C27" s="375"/>
      <c r="D27" s="9" t="s">
        <v>235</v>
      </c>
      <c r="E27" s="9" t="s">
        <v>288</v>
      </c>
      <c r="F27" s="9" t="s">
        <v>289</v>
      </c>
      <c r="G27" s="9" t="s">
        <v>290</v>
      </c>
      <c r="H27" s="9">
        <v>1</v>
      </c>
      <c r="I27" s="34" t="s">
        <v>233</v>
      </c>
      <c r="J27" s="9">
        <v>20000</v>
      </c>
      <c r="K27" s="9">
        <v>20000</v>
      </c>
      <c r="L27" s="9"/>
      <c r="M27" s="312" t="s">
        <v>234</v>
      </c>
      <c r="N27" s="9"/>
    </row>
    <row r="28" spans="2:14" x14ac:dyDescent="0.25">
      <c r="B28" s="9"/>
      <c r="C28" s="375"/>
      <c r="D28" s="9" t="s">
        <v>229</v>
      </c>
      <c r="E28" s="9" t="s">
        <v>291</v>
      </c>
      <c r="F28" s="9"/>
      <c r="G28" s="9"/>
      <c r="H28" s="9">
        <v>0.65</v>
      </c>
      <c r="I28" s="34" t="s">
        <v>233</v>
      </c>
      <c r="J28" s="9">
        <f>SUM(K5:K27)</f>
        <v>312350</v>
      </c>
      <c r="K28" s="9">
        <f>H28*J28</f>
        <v>203027.5</v>
      </c>
      <c r="L28" s="9"/>
      <c r="M28" s="312"/>
      <c r="N28" s="9"/>
    </row>
    <row r="29" spans="2:14" x14ac:dyDescent="0.25">
      <c r="B29" s="9"/>
      <c r="C29" s="375"/>
      <c r="D29" s="9"/>
      <c r="E29" s="9" t="s">
        <v>739</v>
      </c>
      <c r="F29" s="9"/>
      <c r="G29" s="9"/>
      <c r="H29" s="9"/>
      <c r="I29" s="34"/>
      <c r="J29" s="9"/>
      <c r="K29" s="9">
        <v>160000</v>
      </c>
      <c r="L29" s="9"/>
      <c r="M29" s="312"/>
      <c r="N29" s="9"/>
    </row>
    <row r="30" spans="2:14" x14ac:dyDescent="0.25">
      <c r="B30" s="9"/>
      <c r="C30" s="377" t="s">
        <v>292</v>
      </c>
      <c r="D30" s="399"/>
      <c r="E30" s="399"/>
      <c r="F30" s="399"/>
      <c r="G30" s="399"/>
      <c r="H30" s="378"/>
      <c r="I30" s="378"/>
      <c r="J30" s="378"/>
      <c r="K30" s="163">
        <f>SUM(K5:K29)</f>
        <v>675377.5</v>
      </c>
      <c r="L30" s="163"/>
      <c r="M30" s="379"/>
      <c r="N30" s="9"/>
    </row>
    <row r="31" spans="2:14" x14ac:dyDescent="0.25">
      <c r="B31" s="9"/>
      <c r="C31" s="380" t="s">
        <v>293</v>
      </c>
      <c r="D31" s="381"/>
      <c r="E31" s="382"/>
      <c r="F31" s="381"/>
      <c r="G31" s="382"/>
      <c r="H31" s="381"/>
      <c r="I31" s="381"/>
      <c r="J31" s="382"/>
      <c r="K31" s="381"/>
      <c r="L31" s="164"/>
      <c r="M31" s="383"/>
      <c r="N31" s="9"/>
    </row>
    <row r="32" spans="2:14" x14ac:dyDescent="0.25">
      <c r="B32" s="9"/>
      <c r="C32" s="375"/>
      <c r="D32" s="9"/>
      <c r="E32" s="9" t="s">
        <v>294</v>
      </c>
      <c r="F32" s="9"/>
      <c r="G32" s="9"/>
      <c r="H32" s="9">
        <f>2*40</f>
        <v>80</v>
      </c>
      <c r="I32" s="34" t="s">
        <v>295</v>
      </c>
      <c r="J32" s="9">
        <v>250</v>
      </c>
      <c r="K32" s="9">
        <f>H32*J32</f>
        <v>20000</v>
      </c>
      <c r="L32" s="9"/>
      <c r="M32" s="312"/>
      <c r="N32" s="9"/>
    </row>
    <row r="33" spans="2:14" x14ac:dyDescent="0.25">
      <c r="B33" s="9"/>
      <c r="C33" s="375"/>
      <c r="D33" s="9"/>
      <c r="E33" s="9" t="s">
        <v>296</v>
      </c>
      <c r="F33" s="9"/>
      <c r="G33" s="9"/>
      <c r="H33" s="9">
        <f>2*40</f>
        <v>80</v>
      </c>
      <c r="I33" s="34" t="s">
        <v>295</v>
      </c>
      <c r="J33" s="9">
        <v>250</v>
      </c>
      <c r="K33" s="9">
        <f>H33*J33</f>
        <v>20000</v>
      </c>
      <c r="L33" s="9"/>
      <c r="M33" s="312"/>
      <c r="N33" s="9"/>
    </row>
    <row r="34" spans="2:14" hidden="1" x14ac:dyDescent="0.25">
      <c r="B34" s="9"/>
      <c r="C34" s="292"/>
      <c r="D34"/>
      <c r="E34"/>
      <c r="F34"/>
      <c r="G34"/>
      <c r="H34"/>
      <c r="I34"/>
      <c r="J34"/>
      <c r="K34"/>
      <c r="L34"/>
      <c r="M34" s="297"/>
      <c r="N34" s="9"/>
    </row>
    <row r="35" spans="2:14" x14ac:dyDescent="0.25">
      <c r="B35" s="9"/>
      <c r="C35" s="384" t="s">
        <v>292</v>
      </c>
      <c r="D35" s="399"/>
      <c r="E35" s="399"/>
      <c r="F35" s="399"/>
      <c r="G35" s="399"/>
      <c r="H35" s="378"/>
      <c r="I35" s="378"/>
      <c r="J35" s="378"/>
      <c r="K35" s="163">
        <f>SUM(K32:K34)</f>
        <v>40000</v>
      </c>
      <c r="L35" s="378"/>
      <c r="M35" s="385"/>
      <c r="N35" s="9"/>
    </row>
    <row r="36" spans="2:14" ht="15.75" thickBot="1" x14ac:dyDescent="0.3">
      <c r="B36" s="9"/>
      <c r="C36" s="298" t="s">
        <v>297</v>
      </c>
      <c r="D36" s="299"/>
      <c r="E36" s="299"/>
      <c r="F36" s="299"/>
      <c r="G36" s="299"/>
      <c r="H36" s="299"/>
      <c r="I36" s="299"/>
      <c r="J36" s="299"/>
      <c r="K36" s="386">
        <f>K30+K35+H44</f>
        <v>715377.5</v>
      </c>
      <c r="L36" s="299"/>
      <c r="M36" s="301"/>
      <c r="N36" s="9"/>
    </row>
    <row r="37" spans="2:14" ht="8.1" customHeight="1" x14ac:dyDescent="0.25">
      <c r="B37" s="9"/>
      <c r="C37" s="388"/>
      <c r="D37" s="388"/>
      <c r="E37" s="388"/>
      <c r="F37" s="388"/>
      <c r="G37" s="388"/>
      <c r="H37" s="388"/>
      <c r="I37" s="388"/>
      <c r="J37" s="388"/>
      <c r="K37" s="389"/>
      <c r="L37" s="388"/>
      <c r="M37" s="388"/>
      <c r="N37" s="9"/>
    </row>
    <row r="38" spans="2:14" ht="36" customHeight="1" x14ac:dyDescent="0.25">
      <c r="C38" s="390"/>
      <c r="D38" s="391"/>
      <c r="E38" s="390"/>
      <c r="F38" s="391"/>
      <c r="G38" s="390"/>
      <c r="H38" s="391"/>
      <c r="I38" s="391"/>
      <c r="J38" s="390"/>
      <c r="K38" s="391"/>
    </row>
    <row r="39" spans="2:14" ht="15.75" thickBot="1" x14ac:dyDescent="0.3"/>
    <row r="40" spans="2:14" x14ac:dyDescent="0.25">
      <c r="C40" s="327" t="s">
        <v>298</v>
      </c>
      <c r="D40" s="328"/>
      <c r="E40" s="328"/>
      <c r="F40" s="328"/>
      <c r="G40" s="328"/>
      <c r="H40" s="402"/>
      <c r="I40" s="403"/>
    </row>
    <row r="41" spans="2:14" x14ac:dyDescent="0.25">
      <c r="C41" s="290" t="s">
        <v>208</v>
      </c>
      <c r="D41" s="113" t="s">
        <v>216</v>
      </c>
      <c r="E41" s="113" t="s">
        <v>217</v>
      </c>
      <c r="F41" s="117" t="s">
        <v>209</v>
      </c>
      <c r="G41" s="117"/>
      <c r="H41" s="404" t="s">
        <v>210</v>
      </c>
      <c r="I41" s="405"/>
    </row>
    <row r="42" spans="2:14" x14ac:dyDescent="0.25">
      <c r="C42" s="369">
        <f>'Pretty Picture'!V8</f>
        <v>0</v>
      </c>
      <c r="D42" s="151">
        <v>0.18</v>
      </c>
      <c r="E42" s="151">
        <v>0.36</v>
      </c>
      <c r="F42" s="157">
        <v>0.26</v>
      </c>
      <c r="G42" s="157"/>
      <c r="H42" s="406">
        <f>C42*F42</f>
        <v>0</v>
      </c>
      <c r="I42" s="407"/>
    </row>
    <row r="43" spans="2:14" x14ac:dyDescent="0.25">
      <c r="C43" s="369">
        <f>'Pretty Picture'!V9</f>
        <v>0</v>
      </c>
      <c r="D43" s="387">
        <v>0.18</v>
      </c>
      <c r="E43" s="387">
        <v>0.36</v>
      </c>
      <c r="F43" s="157">
        <v>0.26</v>
      </c>
      <c r="G43" s="157"/>
      <c r="H43" s="408">
        <f>C43*F43</f>
        <v>0</v>
      </c>
      <c r="I43" s="409"/>
    </row>
    <row r="44" spans="2:14" ht="15.75" thickBot="1" x14ac:dyDescent="0.3">
      <c r="C44" s="333" t="s">
        <v>105</v>
      </c>
      <c r="D44" s="336"/>
      <c r="E44" s="336"/>
      <c r="F44" s="334"/>
      <c r="G44" s="334"/>
      <c r="H44" s="400">
        <f>SUM(H42:H43)</f>
        <v>0</v>
      </c>
      <c r="I44" s="401"/>
    </row>
  </sheetData>
  <mergeCells count="12">
    <mergeCell ref="H44:I44"/>
    <mergeCell ref="H40:I40"/>
    <mergeCell ref="D35:E35"/>
    <mergeCell ref="F35:G35"/>
    <mergeCell ref="H41:I41"/>
    <mergeCell ref="H42:I42"/>
    <mergeCell ref="H43:I43"/>
    <mergeCell ref="K3:L3"/>
    <mergeCell ref="D30:E30"/>
    <mergeCell ref="F30:G30"/>
    <mergeCell ref="F3:G3"/>
    <mergeCell ref="H3:J3"/>
  </mergeCells>
  <conditionalFormatting sqref="C42:I43">
    <cfRule type="expression" dxfId="16" priority="4">
      <formula>MOD(ROW(),2)=0</formula>
    </cfRule>
  </conditionalFormatting>
  <conditionalFormatting sqref="C5:M29">
    <cfRule type="expression" dxfId="15" priority="5">
      <formula>MOD(ROW(),2)=0</formula>
    </cfRule>
  </conditionalFormatting>
  <conditionalFormatting sqref="C32:M33">
    <cfRule type="expression" dxfId="14" priority="1">
      <formula>MOD(ROW(),2)=0</formula>
    </cfRule>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C2824-D440-4065-9FD5-1C9F2223EC2B}">
  <sheetPr codeName="Sheet14"/>
  <dimension ref="B2:L44"/>
  <sheetViews>
    <sheetView zoomScale="90" zoomScaleNormal="90" workbookViewId="0">
      <selection activeCell="J38" sqref="J38"/>
    </sheetView>
  </sheetViews>
  <sheetFormatPr defaultColWidth="9.140625" defaultRowHeight="15" x14ac:dyDescent="0.25"/>
  <cols>
    <col min="1" max="1" width="9.140625" customWidth="1"/>
    <col min="2" max="2" width="3.42578125" customWidth="1"/>
    <col min="3" max="3" width="34.85546875" bestFit="1" customWidth="1"/>
    <col min="4" max="4" width="10.5703125" customWidth="1"/>
    <col min="5" max="5" width="11.42578125" customWidth="1"/>
    <col min="6" max="8" width="10.5703125" customWidth="1"/>
    <col min="9" max="11" width="14.140625" customWidth="1"/>
    <col min="12" max="12" width="80.5703125" customWidth="1"/>
    <col min="13" max="13" width="9.140625" customWidth="1"/>
  </cols>
  <sheetData>
    <row r="2" spans="2:12" ht="15.75" thickBot="1" x14ac:dyDescent="0.3"/>
    <row r="3" spans="2:12" x14ac:dyDescent="0.25">
      <c r="B3" s="43" t="s">
        <v>299</v>
      </c>
      <c r="C3" s="43"/>
      <c r="D3" s="43"/>
      <c r="E3" s="43"/>
      <c r="F3" s="43"/>
      <c r="G3" s="43"/>
      <c r="H3" s="43"/>
      <c r="I3" s="42" t="s">
        <v>300</v>
      </c>
      <c r="J3" s="43" t="s">
        <v>738</v>
      </c>
      <c r="K3" s="43"/>
      <c r="L3" s="78"/>
    </row>
    <row r="4" spans="2:12" x14ac:dyDescent="0.25">
      <c r="B4" s="115"/>
      <c r="C4" s="93" t="s">
        <v>112</v>
      </c>
      <c r="D4" s="103" t="s">
        <v>197</v>
      </c>
      <c r="E4" s="103" t="s">
        <v>225</v>
      </c>
      <c r="F4" s="103" t="s">
        <v>301</v>
      </c>
      <c r="G4" s="103" t="s">
        <v>302</v>
      </c>
      <c r="H4" s="103" t="s">
        <v>303</v>
      </c>
      <c r="I4" s="392" t="s">
        <v>105</v>
      </c>
      <c r="J4" s="103" t="s">
        <v>301</v>
      </c>
      <c r="K4" s="103" t="s">
        <v>302</v>
      </c>
      <c r="L4" s="103" t="s">
        <v>3</v>
      </c>
    </row>
    <row r="5" spans="2:12" x14ac:dyDescent="0.25">
      <c r="B5" s="115"/>
      <c r="C5" s="104" t="s">
        <v>304</v>
      </c>
      <c r="D5" s="34">
        <v>1</v>
      </c>
      <c r="E5" s="34" t="s">
        <v>305</v>
      </c>
      <c r="F5" s="34">
        <v>0.3</v>
      </c>
      <c r="G5" s="34">
        <v>0</v>
      </c>
      <c r="H5" s="34">
        <v>6000</v>
      </c>
      <c r="I5" s="393">
        <f t="shared" ref="I5:I13" si="0">D5*H5</f>
        <v>6000</v>
      </c>
      <c r="J5" s="108">
        <f t="shared" ref="J5:J13" si="1">F5*H5</f>
        <v>1800</v>
      </c>
      <c r="K5" s="108">
        <f>(G5)*H5</f>
        <v>0</v>
      </c>
      <c r="L5" t="s">
        <v>696</v>
      </c>
    </row>
    <row r="6" spans="2:12" x14ac:dyDescent="0.25">
      <c r="B6" s="115"/>
      <c r="C6" s="104" t="s">
        <v>740</v>
      </c>
      <c r="D6" s="34">
        <v>1</v>
      </c>
      <c r="E6" s="34" t="s">
        <v>313</v>
      </c>
      <c r="F6" s="34"/>
      <c r="G6" s="34"/>
      <c r="H6" s="34">
        <v>15000</v>
      </c>
      <c r="I6" s="393">
        <f t="shared" si="0"/>
        <v>15000</v>
      </c>
      <c r="J6" s="108"/>
      <c r="K6" s="108"/>
    </row>
    <row r="7" spans="2:12" x14ac:dyDescent="0.25">
      <c r="B7" s="115"/>
      <c r="C7" s="104" t="s">
        <v>306</v>
      </c>
      <c r="D7" s="34">
        <v>1</v>
      </c>
      <c r="E7" s="34" t="s">
        <v>305</v>
      </c>
      <c r="F7" s="34">
        <v>0.3</v>
      </c>
      <c r="G7" s="34">
        <v>0</v>
      </c>
      <c r="H7" s="106">
        <f>(43650*1*5)/27</f>
        <v>8083.333333333333</v>
      </c>
      <c r="I7" s="394">
        <f t="shared" si="0"/>
        <v>8083.333333333333</v>
      </c>
      <c r="J7" s="108">
        <f t="shared" si="1"/>
        <v>2425</v>
      </c>
      <c r="K7" s="108">
        <f t="shared" ref="K7:K13" si="2">(G7)*H7</f>
        <v>0</v>
      </c>
    </row>
    <row r="8" spans="2:12" x14ac:dyDescent="0.25">
      <c r="B8" s="115"/>
      <c r="C8" s="104" t="s">
        <v>307</v>
      </c>
      <c r="D8" s="106">
        <v>2000</v>
      </c>
      <c r="E8" s="34" t="s">
        <v>308</v>
      </c>
      <c r="F8" s="34">
        <v>640</v>
      </c>
      <c r="G8" s="34">
        <v>0</v>
      </c>
      <c r="H8" s="34">
        <v>70</v>
      </c>
      <c r="I8" s="393">
        <f t="shared" si="0"/>
        <v>140000</v>
      </c>
      <c r="J8" s="9">
        <f t="shared" si="1"/>
        <v>44800</v>
      </c>
      <c r="K8" s="9">
        <f t="shared" si="2"/>
        <v>0</v>
      </c>
    </row>
    <row r="9" spans="2:12" x14ac:dyDescent="0.25">
      <c r="B9" s="115"/>
      <c r="C9" s="104" t="s">
        <v>309</v>
      </c>
      <c r="D9" s="34">
        <v>15000</v>
      </c>
      <c r="E9" s="34" t="s">
        <v>308</v>
      </c>
      <c r="F9" s="34">
        <v>3000</v>
      </c>
      <c r="G9" s="34">
        <v>0</v>
      </c>
      <c r="H9" s="34">
        <v>12</v>
      </c>
      <c r="I9" s="393">
        <f t="shared" si="0"/>
        <v>180000</v>
      </c>
      <c r="J9" s="9">
        <f t="shared" si="1"/>
        <v>36000</v>
      </c>
      <c r="K9" s="9">
        <f t="shared" si="2"/>
        <v>0</v>
      </c>
    </row>
    <row r="10" spans="2:12" x14ac:dyDescent="0.25">
      <c r="B10" s="115"/>
      <c r="C10" s="104" t="s">
        <v>310</v>
      </c>
      <c r="D10" s="34">
        <v>40000</v>
      </c>
      <c r="E10" s="34" t="s">
        <v>311</v>
      </c>
      <c r="F10" s="34">
        <v>1500</v>
      </c>
      <c r="G10" s="34">
        <v>0</v>
      </c>
      <c r="H10" s="34">
        <v>0.5</v>
      </c>
      <c r="I10" s="393">
        <f t="shared" si="0"/>
        <v>20000</v>
      </c>
      <c r="J10" s="9">
        <f t="shared" si="1"/>
        <v>750</v>
      </c>
      <c r="K10" s="9">
        <f t="shared" si="2"/>
        <v>0</v>
      </c>
    </row>
    <row r="11" spans="2:12" x14ac:dyDescent="0.25">
      <c r="B11" s="115"/>
      <c r="C11" s="104" t="s">
        <v>312</v>
      </c>
      <c r="D11" s="34">
        <v>1</v>
      </c>
      <c r="E11" s="34" t="s">
        <v>313</v>
      </c>
      <c r="F11" s="34">
        <v>0.2</v>
      </c>
      <c r="G11" s="34">
        <v>0</v>
      </c>
      <c r="H11" s="34">
        <v>5000</v>
      </c>
      <c r="I11" s="393">
        <f t="shared" si="0"/>
        <v>5000</v>
      </c>
      <c r="J11" s="9">
        <f t="shared" si="1"/>
        <v>1000</v>
      </c>
      <c r="K11" s="9">
        <f t="shared" si="2"/>
        <v>0</v>
      </c>
    </row>
    <row r="12" spans="2:12" x14ac:dyDescent="0.25">
      <c r="B12" s="115"/>
      <c r="C12" s="104" t="s">
        <v>314</v>
      </c>
      <c r="D12" s="34">
        <v>1</v>
      </c>
      <c r="E12" s="34" t="s">
        <v>313</v>
      </c>
      <c r="F12" s="34">
        <v>0.2</v>
      </c>
      <c r="G12" s="34">
        <v>0</v>
      </c>
      <c r="H12" s="34">
        <v>1500</v>
      </c>
      <c r="I12" s="393">
        <f t="shared" si="0"/>
        <v>1500</v>
      </c>
      <c r="J12" s="9">
        <f t="shared" si="1"/>
        <v>300</v>
      </c>
      <c r="K12" s="9">
        <f t="shared" si="2"/>
        <v>0</v>
      </c>
    </row>
    <row r="13" spans="2:12" x14ac:dyDescent="0.25">
      <c r="B13" s="115"/>
      <c r="C13" s="104" t="s">
        <v>315</v>
      </c>
      <c r="D13" s="106">
        <f>D5*43650/27</f>
        <v>1616.6666666666667</v>
      </c>
      <c r="E13" s="34" t="s">
        <v>311</v>
      </c>
      <c r="F13" s="34">
        <v>320</v>
      </c>
      <c r="G13" s="34">
        <v>0</v>
      </c>
      <c r="H13" s="34">
        <v>2.35</v>
      </c>
      <c r="I13" s="394">
        <f t="shared" si="0"/>
        <v>3799.166666666667</v>
      </c>
      <c r="J13" s="9">
        <f t="shared" si="1"/>
        <v>752</v>
      </c>
      <c r="K13" s="9">
        <f t="shared" si="2"/>
        <v>0</v>
      </c>
    </row>
    <row r="14" spans="2:12" x14ac:dyDescent="0.25">
      <c r="B14" s="115"/>
      <c r="C14" s="104" t="s">
        <v>316</v>
      </c>
      <c r="D14" s="34"/>
      <c r="E14" s="34"/>
      <c r="F14" s="34"/>
      <c r="G14" s="34"/>
      <c r="H14" s="9"/>
      <c r="I14" s="393">
        <v>51900</v>
      </c>
      <c r="J14" s="9">
        <f>62280-I14</f>
        <v>10380</v>
      </c>
      <c r="K14" s="9"/>
      <c r="L14" s="136"/>
    </row>
    <row r="15" spans="2:12" hidden="1" x14ac:dyDescent="0.25">
      <c r="I15" s="88"/>
    </row>
    <row r="16" spans="2:12" hidden="1" x14ac:dyDescent="0.25">
      <c r="I16" s="88"/>
    </row>
    <row r="17" spans="3:12" hidden="1" x14ac:dyDescent="0.25">
      <c r="I17" s="88"/>
    </row>
    <row r="18" spans="3:12" hidden="1" x14ac:dyDescent="0.25">
      <c r="I18" s="88"/>
    </row>
    <row r="19" spans="3:12" x14ac:dyDescent="0.25">
      <c r="I19" s="88"/>
    </row>
    <row r="20" spans="3:12" x14ac:dyDescent="0.25">
      <c r="C20" s="104" t="s">
        <v>317</v>
      </c>
      <c r="D20" s="34">
        <v>1</v>
      </c>
      <c r="E20" s="34" t="s">
        <v>313</v>
      </c>
      <c r="F20" s="34">
        <v>0.2</v>
      </c>
      <c r="G20" s="34">
        <v>0</v>
      </c>
      <c r="H20" s="34">
        <v>150000</v>
      </c>
      <c r="I20" s="393">
        <f>D20*H20</f>
        <v>150000</v>
      </c>
      <c r="J20" s="9">
        <f>F20*H20</f>
        <v>30000</v>
      </c>
      <c r="K20" s="9"/>
    </row>
    <row r="21" spans="3:12" x14ac:dyDescent="0.25">
      <c r="C21" s="104"/>
      <c r="D21" s="34"/>
      <c r="E21" s="34"/>
      <c r="F21" s="34"/>
      <c r="G21" s="34"/>
      <c r="H21" s="9"/>
      <c r="I21" s="393"/>
      <c r="J21" s="9"/>
      <c r="K21" s="9"/>
    </row>
    <row r="22" spans="3:12" x14ac:dyDescent="0.25">
      <c r="C22" s="109"/>
      <c r="D22" s="34"/>
      <c r="E22" s="34"/>
      <c r="F22" s="34"/>
      <c r="G22" s="34"/>
      <c r="H22" s="9"/>
      <c r="I22" s="393"/>
      <c r="J22" s="9"/>
      <c r="K22" s="9"/>
    </row>
    <row r="23" spans="3:12" x14ac:dyDescent="0.25">
      <c r="C23" s="35" t="s">
        <v>292</v>
      </c>
      <c r="D23" s="36"/>
      <c r="E23" s="162"/>
      <c r="F23" s="36"/>
      <c r="G23" s="36"/>
      <c r="H23" s="35"/>
      <c r="I23" s="395">
        <f>SUM(I5:I22)</f>
        <v>581282.5</v>
      </c>
      <c r="J23" s="37">
        <f>SUM(J5:J22)</f>
        <v>128207</v>
      </c>
      <c r="K23" s="37">
        <f>SUM(K5:K22)</f>
        <v>0</v>
      </c>
    </row>
    <row r="24" spans="3:12" x14ac:dyDescent="0.25">
      <c r="C24" s="161" t="s">
        <v>113</v>
      </c>
      <c r="D24" s="103" t="s">
        <v>197</v>
      </c>
      <c r="E24" s="103" t="s">
        <v>225</v>
      </c>
      <c r="F24" s="103" t="s">
        <v>301</v>
      </c>
      <c r="G24" s="103" t="s">
        <v>302</v>
      </c>
      <c r="H24" s="103" t="s">
        <v>2</v>
      </c>
      <c r="I24" s="392" t="s">
        <v>105</v>
      </c>
      <c r="J24" s="103" t="s">
        <v>301</v>
      </c>
      <c r="K24" s="103" t="s">
        <v>302</v>
      </c>
      <c r="L24" s="103" t="s">
        <v>3</v>
      </c>
    </row>
    <row r="25" spans="3:12" x14ac:dyDescent="0.25">
      <c r="C25" s="104" t="s">
        <v>318</v>
      </c>
      <c r="D25" s="34">
        <v>53.33</v>
      </c>
      <c r="E25" s="34" t="s">
        <v>308</v>
      </c>
      <c r="F25" s="34">
        <v>35.47</v>
      </c>
      <c r="G25" s="34"/>
      <c r="H25" s="9">
        <v>2000</v>
      </c>
      <c r="I25" s="393">
        <f>D25*H25</f>
        <v>106660</v>
      </c>
      <c r="J25" s="9">
        <f>H25*F25</f>
        <v>70940</v>
      </c>
      <c r="K25" s="9"/>
      <c r="L25" s="9"/>
    </row>
    <row r="26" spans="3:12" x14ac:dyDescent="0.25">
      <c r="C26" s="104" t="s">
        <v>319</v>
      </c>
      <c r="D26" s="34">
        <v>1</v>
      </c>
      <c r="E26" s="34" t="s">
        <v>320</v>
      </c>
      <c r="F26" s="34">
        <v>0</v>
      </c>
      <c r="G26" s="34"/>
      <c r="H26" s="9">
        <v>1900</v>
      </c>
      <c r="I26" s="393">
        <f>D26*H26</f>
        <v>1900</v>
      </c>
      <c r="J26" s="9"/>
      <c r="K26" s="9"/>
      <c r="L26" s="9"/>
    </row>
    <row r="27" spans="3:12" x14ac:dyDescent="0.25">
      <c r="C27" s="104" t="s">
        <v>321</v>
      </c>
      <c r="D27" s="34">
        <v>2</v>
      </c>
      <c r="E27" s="34" t="s">
        <v>320</v>
      </c>
      <c r="F27" s="34">
        <v>0</v>
      </c>
      <c r="G27" s="34"/>
      <c r="H27" s="9">
        <v>1900</v>
      </c>
      <c r="I27" s="393">
        <f>D27*H27</f>
        <v>3800</v>
      </c>
      <c r="J27" s="9"/>
      <c r="K27" s="9"/>
      <c r="L27" s="9"/>
    </row>
    <row r="28" spans="3:12" x14ac:dyDescent="0.25">
      <c r="C28" s="104" t="s">
        <v>322</v>
      </c>
      <c r="D28" s="34">
        <v>4.4000000000000004</v>
      </c>
      <c r="E28" s="34" t="s">
        <v>308</v>
      </c>
      <c r="F28" s="34"/>
      <c r="G28" s="34"/>
      <c r="H28" s="9">
        <v>2000</v>
      </c>
      <c r="I28" s="394">
        <f>D28*H28</f>
        <v>8800</v>
      </c>
      <c r="J28" s="9"/>
      <c r="K28" s="9"/>
      <c r="L28" s="9"/>
    </row>
    <row r="29" spans="3:12" x14ac:dyDescent="0.25">
      <c r="C29" s="104" t="s">
        <v>744</v>
      </c>
      <c r="D29" s="99"/>
      <c r="E29" s="9"/>
      <c r="F29" s="9"/>
      <c r="G29" s="9"/>
      <c r="H29" s="9"/>
      <c r="I29" s="393">
        <v>50000</v>
      </c>
      <c r="J29" s="9">
        <v>50000</v>
      </c>
      <c r="K29" s="9"/>
      <c r="L29" s="9"/>
    </row>
    <row r="30" spans="3:12" x14ac:dyDescent="0.25">
      <c r="C30" s="96"/>
      <c r="D30" s="99"/>
      <c r="E30" s="34"/>
      <c r="F30" s="34"/>
      <c r="G30" s="34"/>
      <c r="H30" s="9"/>
      <c r="I30" s="393"/>
      <c r="J30" s="9"/>
      <c r="K30" s="9"/>
      <c r="L30" s="9"/>
    </row>
    <row r="31" spans="3:12" x14ac:dyDescent="0.25">
      <c r="C31" s="35" t="s">
        <v>292</v>
      </c>
      <c r="D31" s="36"/>
      <c r="E31" s="36"/>
      <c r="F31" s="36"/>
      <c r="G31" s="36"/>
      <c r="H31" s="35"/>
      <c r="I31" s="395">
        <f>SUM(I25:I30)</f>
        <v>171160</v>
      </c>
      <c r="J31" s="37">
        <f>SUM(J25:J30)</f>
        <v>120940</v>
      </c>
      <c r="K31" s="37">
        <f>SUM(K25:K30)</f>
        <v>0</v>
      </c>
    </row>
    <row r="32" spans="3:12" x14ac:dyDescent="0.25">
      <c r="C32" s="161" t="s">
        <v>114</v>
      </c>
      <c r="D32" s="103"/>
      <c r="E32" s="103"/>
      <c r="F32" s="103" t="s">
        <v>301</v>
      </c>
      <c r="G32" s="103" t="s">
        <v>302</v>
      </c>
      <c r="H32" s="93"/>
      <c r="I32" s="396"/>
      <c r="J32" s="103" t="s">
        <v>301</v>
      </c>
      <c r="K32" s="103" t="s">
        <v>302</v>
      </c>
      <c r="L32" s="103" t="s">
        <v>3</v>
      </c>
    </row>
    <row r="33" spans="2:12" x14ac:dyDescent="0.25">
      <c r="C33" s="104" t="s">
        <v>323</v>
      </c>
      <c r="D33" s="34">
        <v>12</v>
      </c>
      <c r="E33" s="34" t="s">
        <v>742</v>
      </c>
      <c r="F33" s="34">
        <v>6</v>
      </c>
      <c r="G33" s="34">
        <v>0</v>
      </c>
      <c r="H33" s="108">
        <v>2000</v>
      </c>
      <c r="I33" s="394">
        <f>D33*H33</f>
        <v>24000</v>
      </c>
      <c r="J33" s="108">
        <f>F33*H33</f>
        <v>12000</v>
      </c>
      <c r="K33" s="108"/>
      <c r="L33" s="9"/>
    </row>
    <row r="34" spans="2:12" x14ac:dyDescent="0.25">
      <c r="C34" s="104" t="s">
        <v>324</v>
      </c>
      <c r="D34" s="34">
        <v>12</v>
      </c>
      <c r="E34" s="34" t="s">
        <v>325</v>
      </c>
      <c r="F34" s="34">
        <v>6</v>
      </c>
      <c r="G34" s="34"/>
      <c r="H34" s="9">
        <v>2050</v>
      </c>
      <c r="I34" s="393">
        <f>H34*D34</f>
        <v>24600</v>
      </c>
      <c r="J34" s="9">
        <f>H34*F34</f>
        <v>12300</v>
      </c>
      <c r="K34" s="9"/>
      <c r="L34" s="9"/>
    </row>
    <row r="35" spans="2:12" x14ac:dyDescent="0.25">
      <c r="C35" s="104"/>
      <c r="I35" s="88"/>
    </row>
    <row r="36" spans="2:12" x14ac:dyDescent="0.25">
      <c r="C36" s="104"/>
      <c r="D36" s="34"/>
      <c r="E36" s="34"/>
      <c r="F36" s="34"/>
      <c r="G36" s="34"/>
      <c r="H36" s="9"/>
      <c r="I36" s="393"/>
      <c r="J36" s="9"/>
      <c r="K36" s="9"/>
      <c r="L36" s="9"/>
    </row>
    <row r="37" spans="2:12" x14ac:dyDescent="0.25">
      <c r="B37" s="115"/>
      <c r="C37" s="35" t="s">
        <v>292</v>
      </c>
      <c r="D37" s="36"/>
      <c r="E37" s="36"/>
      <c r="F37" s="36"/>
      <c r="G37" s="36"/>
      <c r="H37" s="35"/>
      <c r="I37" s="395">
        <f>SUM(I33:I36)</f>
        <v>48600</v>
      </c>
      <c r="J37" s="37">
        <f>SUM(J33:J36)</f>
        <v>24300</v>
      </c>
      <c r="K37" s="37">
        <f>SUM(K33:K36)</f>
        <v>0</v>
      </c>
      <c r="L37" s="36"/>
    </row>
    <row r="38" spans="2:12" ht="15.75" thickBot="1" x14ac:dyDescent="0.3">
      <c r="B38" s="43" t="s">
        <v>299</v>
      </c>
      <c r="C38" s="43"/>
      <c r="D38" s="43"/>
      <c r="E38" s="43"/>
      <c r="F38" s="43"/>
      <c r="G38" s="43"/>
      <c r="H38" s="43" t="s">
        <v>292</v>
      </c>
      <c r="I38" s="90">
        <f>I37+I31+I23+G44</f>
        <v>801042.5</v>
      </c>
      <c r="J38" s="47">
        <f>J23+J31+J37+I38</f>
        <v>1074489.5</v>
      </c>
      <c r="K38" s="47">
        <f>K23+K31+K37+J38</f>
        <v>1074489.5</v>
      </c>
      <c r="L38" s="43"/>
    </row>
    <row r="39" spans="2:12" x14ac:dyDescent="0.25">
      <c r="B39" s="148"/>
      <c r="C39" s="148"/>
      <c r="D39" s="148"/>
      <c r="E39" s="149"/>
      <c r="F39" s="9"/>
      <c r="G39" s="9"/>
      <c r="H39" s="9"/>
      <c r="I39" s="9"/>
    </row>
    <row r="40" spans="2:12" x14ac:dyDescent="0.25">
      <c r="B40" s="437" t="s">
        <v>326</v>
      </c>
      <c r="C40" s="465"/>
      <c r="D40" s="78"/>
      <c r="E40" s="78"/>
      <c r="F40" s="78"/>
      <c r="G40" s="468"/>
      <c r="H40" s="468"/>
      <c r="I40" s="9"/>
    </row>
    <row r="41" spans="2:12" x14ac:dyDescent="0.25">
      <c r="B41" s="115"/>
      <c r="C41" s="94" t="s">
        <v>208</v>
      </c>
      <c r="D41" s="113" t="s">
        <v>216</v>
      </c>
      <c r="E41" s="113" t="s">
        <v>217</v>
      </c>
      <c r="F41" s="117" t="s">
        <v>209</v>
      </c>
      <c r="G41" s="404" t="s">
        <v>210</v>
      </c>
      <c r="H41" s="404"/>
      <c r="I41" s="9"/>
    </row>
    <row r="42" spans="2:12" x14ac:dyDescent="0.25">
      <c r="B42" s="115"/>
      <c r="C42" s="150">
        <f>'Pretty Picture'!V8</f>
        <v>0</v>
      </c>
      <c r="D42" s="99">
        <v>0.12</v>
      </c>
      <c r="E42" s="99">
        <v>0.48</v>
      </c>
      <c r="F42" s="157">
        <v>0.18</v>
      </c>
      <c r="G42" s="466">
        <f>C42*F42</f>
        <v>0</v>
      </c>
      <c r="H42" s="466"/>
      <c r="I42" s="9"/>
    </row>
    <row r="43" spans="2:12" x14ac:dyDescent="0.25">
      <c r="B43" s="115"/>
      <c r="C43" s="150">
        <f>'Pretty Picture'!V9</f>
        <v>0</v>
      </c>
      <c r="D43" s="156">
        <v>0.12</v>
      </c>
      <c r="E43" s="156">
        <v>0.48</v>
      </c>
      <c r="F43" s="157">
        <v>0.18</v>
      </c>
      <c r="G43" s="467">
        <f>C43*F43</f>
        <v>0</v>
      </c>
      <c r="H43" s="467"/>
      <c r="I43" s="9"/>
    </row>
    <row r="44" spans="2:12" x14ac:dyDescent="0.25">
      <c r="B44" s="44" t="s">
        <v>105</v>
      </c>
      <c r="C44" s="44"/>
      <c r="D44" s="78"/>
      <c r="E44" s="78"/>
      <c r="F44" s="44"/>
      <c r="G44" s="464">
        <f>SUM(G42:G43)</f>
        <v>0</v>
      </c>
      <c r="H44" s="464"/>
      <c r="I44" s="9"/>
    </row>
  </sheetData>
  <mergeCells count="6">
    <mergeCell ref="G44:H44"/>
    <mergeCell ref="B40:C40"/>
    <mergeCell ref="G41:H41"/>
    <mergeCell ref="G42:H42"/>
    <mergeCell ref="G43:H43"/>
    <mergeCell ref="G40:H40"/>
  </mergeCells>
  <conditionalFormatting sqref="C5:L22 C42:H43">
    <cfRule type="expression" dxfId="13" priority="6">
      <formula>MOD(ROW(),2)=0</formula>
    </cfRule>
  </conditionalFormatting>
  <conditionalFormatting sqref="C25:L30">
    <cfRule type="expression" dxfId="12" priority="2">
      <formula>MOD(ROW(),2)=0</formula>
    </cfRule>
  </conditionalFormatting>
  <conditionalFormatting sqref="C33:L36">
    <cfRule type="expression" dxfId="11" priority="1">
      <formula>MOD(ROW(),2)=0</formula>
    </cfRule>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96B726-C7DB-48A4-A587-6978B05D8EE3}">
  <sheetPr codeName="Sheet16"/>
  <dimension ref="A2:U132"/>
  <sheetViews>
    <sheetView topLeftCell="A83" zoomScale="70" zoomScaleNormal="70" workbookViewId="0">
      <selection activeCell="T123" sqref="T123"/>
    </sheetView>
  </sheetViews>
  <sheetFormatPr defaultColWidth="0" defaultRowHeight="15" zeroHeight="1" x14ac:dyDescent="0.25"/>
  <cols>
    <col min="1" max="1" width="6" customWidth="1"/>
    <col min="2" max="2" width="3.42578125" customWidth="1"/>
    <col min="3" max="3" width="41" customWidth="1"/>
    <col min="4" max="4" width="6.7109375" customWidth="1"/>
    <col min="5" max="5" width="13.140625" customWidth="1"/>
    <col min="6" max="6" width="8.7109375" customWidth="1"/>
    <col min="7" max="8" width="7.140625" customWidth="1"/>
    <col min="9" max="9" width="8.140625" customWidth="1"/>
    <col min="10" max="10" width="9.140625" customWidth="1"/>
    <col min="11" max="11" width="11.140625" customWidth="1"/>
    <col min="12" max="12" width="9.5703125" customWidth="1"/>
    <col min="13" max="13" width="13" customWidth="1"/>
    <col min="14" max="15" width="12.7109375" customWidth="1"/>
    <col min="16" max="16" width="10.85546875" customWidth="1"/>
    <col min="17" max="17" width="11.5703125" customWidth="1"/>
    <col min="18" max="18" width="16.42578125" customWidth="1"/>
    <col min="19" max="19" width="19.42578125" customWidth="1"/>
    <col min="20" max="20" width="25" customWidth="1"/>
    <col min="21" max="21" width="9.140625" customWidth="1"/>
    <col min="22" max="16384" width="9.140625" hidden="1"/>
  </cols>
  <sheetData>
    <row r="2" spans="2:20" x14ac:dyDescent="0.25">
      <c r="B2" s="43" t="s">
        <v>79</v>
      </c>
      <c r="C2" s="43"/>
      <c r="D2" s="43"/>
      <c r="E2" s="43"/>
      <c r="F2" s="43"/>
      <c r="G2" s="78"/>
      <c r="H2" s="78"/>
      <c r="I2" s="78"/>
      <c r="J2" s="78"/>
      <c r="K2" s="78"/>
      <c r="L2" s="78"/>
      <c r="M2" s="78"/>
      <c r="N2" s="78"/>
      <c r="O2" s="78"/>
      <c r="P2" s="78"/>
      <c r="Q2" s="78"/>
      <c r="R2" s="42" t="s">
        <v>300</v>
      </c>
      <c r="S2" s="43"/>
      <c r="T2" s="43"/>
    </row>
    <row r="3" spans="2:20" x14ac:dyDescent="0.25">
      <c r="B3" s="124"/>
      <c r="C3" s="94" t="s">
        <v>327</v>
      </c>
      <c r="D3" s="94" t="s">
        <v>328</v>
      </c>
      <c r="E3" s="94" t="s">
        <v>329</v>
      </c>
      <c r="F3" s="94" t="s">
        <v>330</v>
      </c>
      <c r="G3" s="126" t="s">
        <v>331</v>
      </c>
      <c r="H3" s="94" t="s">
        <v>332</v>
      </c>
      <c r="I3" s="94" t="s">
        <v>333</v>
      </c>
      <c r="J3" s="94" t="s">
        <v>334</v>
      </c>
      <c r="K3" s="94" t="s">
        <v>335</v>
      </c>
      <c r="L3" s="94" t="s">
        <v>336</v>
      </c>
      <c r="M3" s="94" t="s">
        <v>337</v>
      </c>
      <c r="N3" s="94" t="s">
        <v>338</v>
      </c>
      <c r="O3" s="94" t="s">
        <v>339</v>
      </c>
      <c r="P3" s="94" t="s">
        <v>340</v>
      </c>
      <c r="Q3" s="94" t="s">
        <v>341</v>
      </c>
      <c r="R3" s="127" t="s">
        <v>105</v>
      </c>
      <c r="S3" s="113" t="s">
        <v>301</v>
      </c>
      <c r="T3" s="113" t="s">
        <v>302</v>
      </c>
    </row>
    <row r="4" spans="2:20" x14ac:dyDescent="0.25">
      <c r="B4" s="124"/>
      <c r="C4" s="50" t="s">
        <v>342</v>
      </c>
      <c r="D4" s="38">
        <f>(50*6*4.5)/27</f>
        <v>50</v>
      </c>
      <c r="E4" t="s">
        <v>343</v>
      </c>
      <c r="F4">
        <v>4</v>
      </c>
      <c r="G4" s="38">
        <f t="shared" ref="G4:G7" si="0">F4*D4</f>
        <v>200</v>
      </c>
      <c r="H4" s="48">
        <v>0</v>
      </c>
      <c r="I4" s="38">
        <f t="shared" ref="I4:I7" si="1">G4*(H4+1)</f>
        <v>200</v>
      </c>
      <c r="J4" s="53">
        <v>75.290000000000006</v>
      </c>
      <c r="K4" s="51">
        <v>18</v>
      </c>
      <c r="L4" s="52">
        <v>0</v>
      </c>
      <c r="M4" s="51">
        <v>0</v>
      </c>
      <c r="N4" s="52">
        <f t="shared" ref="N4:N7" si="2">J4*I4</f>
        <v>15058.000000000002</v>
      </c>
      <c r="O4" s="53">
        <f>K4*D4</f>
        <v>900</v>
      </c>
      <c r="P4" s="53">
        <f t="shared" ref="P4:P7" si="3">L4*D4</f>
        <v>0</v>
      </c>
      <c r="Q4" s="53">
        <f t="shared" ref="Q4:Q7" si="4">M4*D4</f>
        <v>0</v>
      </c>
      <c r="R4" s="81">
        <f>SUM(N4:Q4)</f>
        <v>15958.000000000002</v>
      </c>
      <c r="S4" s="270"/>
      <c r="T4" s="270"/>
    </row>
    <row r="5" spans="2:20" x14ac:dyDescent="0.25">
      <c r="B5" s="124"/>
      <c r="C5" s="50" t="s">
        <v>344</v>
      </c>
      <c r="D5" s="38">
        <f>(50*0.333*4)/27</f>
        <v>2.4666666666666668</v>
      </c>
      <c r="F5">
        <v>2</v>
      </c>
      <c r="G5" s="38">
        <f t="shared" si="0"/>
        <v>4.9333333333333336</v>
      </c>
      <c r="H5" s="48">
        <v>0</v>
      </c>
      <c r="I5" s="38">
        <f t="shared" si="1"/>
        <v>4.9333333333333336</v>
      </c>
      <c r="J5" s="53">
        <f>$J$4</f>
        <v>75.290000000000006</v>
      </c>
      <c r="K5" s="51">
        <v>30</v>
      </c>
      <c r="L5" s="52">
        <v>0</v>
      </c>
      <c r="M5" s="51">
        <v>0</v>
      </c>
      <c r="N5" s="52">
        <f t="shared" si="2"/>
        <v>371.4306666666667</v>
      </c>
      <c r="O5" s="53">
        <f t="shared" ref="O5:O7" si="5">K5*D5</f>
        <v>74</v>
      </c>
      <c r="P5" s="53">
        <f t="shared" si="3"/>
        <v>0</v>
      </c>
      <c r="Q5" s="53">
        <f t="shared" si="4"/>
        <v>0</v>
      </c>
      <c r="R5" s="81">
        <f>SUM(N5:Q5)</f>
        <v>445.4306666666667</v>
      </c>
      <c r="S5" s="270"/>
      <c r="T5" s="270"/>
    </row>
    <row r="6" spans="2:20" x14ac:dyDescent="0.25">
      <c r="B6" s="124"/>
      <c r="C6" s="50" t="s">
        <v>345</v>
      </c>
      <c r="D6">
        <f>(50*4*4)/27</f>
        <v>29.62962962962963</v>
      </c>
      <c r="E6" t="s">
        <v>343</v>
      </c>
      <c r="F6">
        <v>5</v>
      </c>
      <c r="G6" s="38">
        <f t="shared" si="0"/>
        <v>148.14814814814815</v>
      </c>
      <c r="H6" s="48">
        <v>0</v>
      </c>
      <c r="I6" s="38">
        <f t="shared" si="1"/>
        <v>148.14814814814815</v>
      </c>
      <c r="J6" s="53">
        <f>$J$4</f>
        <v>75.290000000000006</v>
      </c>
      <c r="K6" s="51">
        <v>125</v>
      </c>
      <c r="L6" s="52">
        <v>1100</v>
      </c>
      <c r="M6" s="51">
        <v>0</v>
      </c>
      <c r="N6" s="52">
        <f t="shared" si="2"/>
        <v>11154.074074074075</v>
      </c>
      <c r="O6" s="53">
        <f t="shared" si="5"/>
        <v>3703.7037037037039</v>
      </c>
      <c r="P6" s="53">
        <f t="shared" si="3"/>
        <v>32592.592592592591</v>
      </c>
      <c r="Q6" s="53">
        <f t="shared" si="4"/>
        <v>0</v>
      </c>
      <c r="R6" s="81">
        <f>SUM(N6:Q6)</f>
        <v>47450.370370370372</v>
      </c>
      <c r="S6" s="270"/>
      <c r="T6" s="270"/>
    </row>
    <row r="7" spans="2:20" x14ac:dyDescent="0.25">
      <c r="B7" s="124"/>
      <c r="C7" s="56" t="s">
        <v>346</v>
      </c>
      <c r="D7">
        <v>25</v>
      </c>
      <c r="E7" t="s">
        <v>347</v>
      </c>
      <c r="F7">
        <v>0.5</v>
      </c>
      <c r="G7" s="38">
        <f t="shared" si="0"/>
        <v>12.5</v>
      </c>
      <c r="H7" s="48">
        <v>0</v>
      </c>
      <c r="I7" s="38">
        <f t="shared" si="1"/>
        <v>12.5</v>
      </c>
      <c r="J7" s="53">
        <f>$J$4</f>
        <v>75.290000000000006</v>
      </c>
      <c r="K7" s="51">
        <v>2.5</v>
      </c>
      <c r="L7" s="52">
        <v>0</v>
      </c>
      <c r="M7" s="51">
        <v>0</v>
      </c>
      <c r="N7" s="52">
        <f t="shared" si="2"/>
        <v>941.12500000000011</v>
      </c>
      <c r="O7" s="53">
        <f t="shared" si="5"/>
        <v>62.5</v>
      </c>
      <c r="P7" s="53">
        <f t="shared" si="3"/>
        <v>0</v>
      </c>
      <c r="Q7" s="53">
        <f t="shared" si="4"/>
        <v>0</v>
      </c>
      <c r="R7" s="81">
        <f>SUM(N7:Q7)</f>
        <v>1003.6250000000001</v>
      </c>
      <c r="S7" s="270"/>
      <c r="T7" s="270"/>
    </row>
    <row r="8" spans="2:20" x14ac:dyDescent="0.25">
      <c r="B8" s="124"/>
      <c r="C8" s="49"/>
      <c r="D8" s="49"/>
      <c r="E8" s="49"/>
      <c r="F8" s="49"/>
      <c r="J8" s="53"/>
      <c r="L8" s="52"/>
      <c r="N8" s="52"/>
      <c r="R8" s="82"/>
      <c r="S8" s="271"/>
      <c r="T8" s="271"/>
    </row>
    <row r="9" spans="2:20" x14ac:dyDescent="0.25">
      <c r="B9" s="124"/>
      <c r="C9" s="35" t="s">
        <v>292</v>
      </c>
      <c r="D9" s="35"/>
      <c r="E9" s="35"/>
      <c r="F9" s="35"/>
      <c r="G9" s="35"/>
      <c r="H9" s="35"/>
      <c r="I9" s="71">
        <f>SUM(I4:I8)</f>
        <v>365.58148148148149</v>
      </c>
      <c r="J9" s="73"/>
      <c r="K9" s="35"/>
      <c r="L9" s="70"/>
      <c r="M9" s="35"/>
      <c r="N9" s="70"/>
      <c r="O9" s="35"/>
      <c r="P9" s="35"/>
      <c r="Q9" s="72"/>
      <c r="R9" s="83">
        <f>SUM(R4:R8)</f>
        <v>64857.426037037039</v>
      </c>
      <c r="S9" s="272"/>
      <c r="T9" s="272"/>
    </row>
    <row r="10" spans="2:20" x14ac:dyDescent="0.25">
      <c r="B10" s="115"/>
      <c r="C10" s="94" t="s">
        <v>116</v>
      </c>
      <c r="D10" s="94" t="s">
        <v>328</v>
      </c>
      <c r="E10" s="94" t="s">
        <v>329</v>
      </c>
      <c r="F10" s="94" t="s">
        <v>330</v>
      </c>
      <c r="G10" s="94" t="s">
        <v>331</v>
      </c>
      <c r="H10" s="94" t="s">
        <v>332</v>
      </c>
      <c r="I10" s="94" t="s">
        <v>333</v>
      </c>
      <c r="J10" s="94" t="s">
        <v>334</v>
      </c>
      <c r="K10" s="94" t="s">
        <v>335</v>
      </c>
      <c r="L10" s="94" t="s">
        <v>336</v>
      </c>
      <c r="M10" s="94" t="s">
        <v>337</v>
      </c>
      <c r="N10" s="94" t="s">
        <v>338</v>
      </c>
      <c r="O10" s="94" t="s">
        <v>339</v>
      </c>
      <c r="P10" s="94" t="s">
        <v>340</v>
      </c>
      <c r="Q10" s="94" t="s">
        <v>341</v>
      </c>
      <c r="R10" s="127" t="s">
        <v>105</v>
      </c>
      <c r="S10" s="94"/>
      <c r="T10" s="94"/>
    </row>
    <row r="11" spans="2:20" ht="12.4" customHeight="1" x14ac:dyDescent="0.25">
      <c r="B11" s="115"/>
      <c r="C11" s="54" t="s">
        <v>348</v>
      </c>
      <c r="D11">
        <v>1</v>
      </c>
      <c r="E11" t="s">
        <v>347</v>
      </c>
      <c r="F11" s="28">
        <v>200</v>
      </c>
      <c r="G11">
        <f t="shared" ref="G11:G25" si="6">F11*D11</f>
        <v>200</v>
      </c>
      <c r="H11" s="48">
        <v>0</v>
      </c>
      <c r="I11">
        <f t="shared" ref="I11:I25" si="7">G11*(H11+1)</f>
        <v>200</v>
      </c>
      <c r="J11" s="53">
        <f t="shared" ref="J11:J25" si="8">$J$4</f>
        <v>75.290000000000006</v>
      </c>
      <c r="K11" s="51">
        <v>0</v>
      </c>
      <c r="L11" s="52">
        <v>0</v>
      </c>
      <c r="M11" s="51">
        <v>150000</v>
      </c>
      <c r="N11" s="52">
        <f t="shared" ref="N11:N25" si="9">J11*I11</f>
        <v>15058.000000000002</v>
      </c>
      <c r="O11" s="53">
        <f t="shared" ref="O11:O25" si="10">K11*D11</f>
        <v>0</v>
      </c>
      <c r="P11" s="53">
        <f t="shared" ref="P11:P25" si="11">L11*D11</f>
        <v>0</v>
      </c>
      <c r="Q11" s="53">
        <f t="shared" ref="Q11:Q25" si="12">M11*D11</f>
        <v>150000</v>
      </c>
      <c r="R11" s="84">
        <f t="shared" ref="R11:R25" si="13">SUM(N11:Q11)</f>
        <v>165058</v>
      </c>
      <c r="S11" s="53"/>
      <c r="T11" s="53"/>
    </row>
    <row r="12" spans="2:20" x14ac:dyDescent="0.25">
      <c r="B12" s="115"/>
      <c r="C12" s="54" t="s">
        <v>349</v>
      </c>
      <c r="D12">
        <v>1</v>
      </c>
      <c r="E12" t="s">
        <v>347</v>
      </c>
      <c r="F12" s="28">
        <v>20</v>
      </c>
      <c r="G12">
        <f t="shared" si="6"/>
        <v>20</v>
      </c>
      <c r="H12" s="48">
        <v>0</v>
      </c>
      <c r="I12">
        <f t="shared" si="7"/>
        <v>20</v>
      </c>
      <c r="J12" s="53">
        <f t="shared" si="8"/>
        <v>75.290000000000006</v>
      </c>
      <c r="K12" s="51">
        <v>0</v>
      </c>
      <c r="L12" s="52">
        <v>0</v>
      </c>
      <c r="M12" s="51">
        <v>25000</v>
      </c>
      <c r="N12" s="52">
        <f t="shared" si="9"/>
        <v>1505.8000000000002</v>
      </c>
      <c r="O12" s="53">
        <f t="shared" si="10"/>
        <v>0</v>
      </c>
      <c r="P12" s="53">
        <f t="shared" si="11"/>
        <v>0</v>
      </c>
      <c r="Q12" s="53">
        <f t="shared" si="12"/>
        <v>25000</v>
      </c>
      <c r="R12" s="84">
        <f t="shared" si="13"/>
        <v>26505.8</v>
      </c>
      <c r="S12" s="53">
        <f>R12*2</f>
        <v>53011.6</v>
      </c>
      <c r="T12" s="53"/>
    </row>
    <row r="13" spans="2:20" x14ac:dyDescent="0.25">
      <c r="B13" s="115"/>
      <c r="C13" s="54" t="s">
        <v>350</v>
      </c>
      <c r="D13">
        <v>1</v>
      </c>
      <c r="E13" t="s">
        <v>347</v>
      </c>
      <c r="F13" s="28">
        <v>20</v>
      </c>
      <c r="G13">
        <f t="shared" si="6"/>
        <v>20</v>
      </c>
      <c r="H13" s="48">
        <v>0</v>
      </c>
      <c r="I13">
        <f t="shared" si="7"/>
        <v>20</v>
      </c>
      <c r="J13" s="53">
        <f t="shared" si="8"/>
        <v>75.290000000000006</v>
      </c>
      <c r="K13" s="51">
        <v>0</v>
      </c>
      <c r="L13" s="52">
        <v>0</v>
      </c>
      <c r="M13" s="51">
        <v>20000</v>
      </c>
      <c r="N13" s="52">
        <f t="shared" si="9"/>
        <v>1505.8000000000002</v>
      </c>
      <c r="O13" s="53">
        <f t="shared" si="10"/>
        <v>0</v>
      </c>
      <c r="P13" s="53">
        <f t="shared" si="11"/>
        <v>0</v>
      </c>
      <c r="Q13" s="53">
        <f t="shared" si="12"/>
        <v>20000</v>
      </c>
      <c r="R13" s="84">
        <f t="shared" si="13"/>
        <v>21505.8</v>
      </c>
      <c r="S13" s="53"/>
      <c r="T13" s="53"/>
    </row>
    <row r="14" spans="2:20" x14ac:dyDescent="0.25">
      <c r="B14" s="115"/>
      <c r="C14" s="54" t="s">
        <v>351</v>
      </c>
      <c r="D14">
        <v>1</v>
      </c>
      <c r="E14" t="s">
        <v>347</v>
      </c>
      <c r="F14" s="28">
        <v>20</v>
      </c>
      <c r="G14">
        <f t="shared" si="6"/>
        <v>20</v>
      </c>
      <c r="H14" s="48">
        <v>0</v>
      </c>
      <c r="I14">
        <f t="shared" si="7"/>
        <v>20</v>
      </c>
      <c r="J14" s="53">
        <f t="shared" si="8"/>
        <v>75.290000000000006</v>
      </c>
      <c r="K14" s="51">
        <v>0</v>
      </c>
      <c r="L14" s="52">
        <v>0</v>
      </c>
      <c r="M14" s="51">
        <v>10000</v>
      </c>
      <c r="N14" s="52">
        <f t="shared" si="9"/>
        <v>1505.8000000000002</v>
      </c>
      <c r="O14" s="53">
        <f t="shared" si="10"/>
        <v>0</v>
      </c>
      <c r="P14" s="53">
        <f t="shared" si="11"/>
        <v>0</v>
      </c>
      <c r="Q14" s="53">
        <f t="shared" si="12"/>
        <v>10000</v>
      </c>
      <c r="R14" s="84">
        <f t="shared" si="13"/>
        <v>11505.8</v>
      </c>
      <c r="S14" s="53"/>
      <c r="T14" s="53"/>
    </row>
    <row r="15" spans="2:20" x14ac:dyDescent="0.25">
      <c r="B15" s="115"/>
      <c r="C15" s="54" t="s">
        <v>352</v>
      </c>
      <c r="D15">
        <v>2</v>
      </c>
      <c r="E15" t="s">
        <v>347</v>
      </c>
      <c r="F15" s="28">
        <v>20</v>
      </c>
      <c r="G15">
        <f t="shared" si="6"/>
        <v>40</v>
      </c>
      <c r="H15" s="48">
        <v>0</v>
      </c>
      <c r="I15">
        <f t="shared" si="7"/>
        <v>40</v>
      </c>
      <c r="J15" s="53">
        <f t="shared" si="8"/>
        <v>75.290000000000006</v>
      </c>
      <c r="K15" s="51">
        <v>0</v>
      </c>
      <c r="L15" s="52">
        <v>0</v>
      </c>
      <c r="M15" s="51">
        <v>5000</v>
      </c>
      <c r="N15" s="52">
        <f t="shared" si="9"/>
        <v>3011.6000000000004</v>
      </c>
      <c r="O15" s="53">
        <f t="shared" si="10"/>
        <v>0</v>
      </c>
      <c r="P15" s="53">
        <f t="shared" si="11"/>
        <v>0</v>
      </c>
      <c r="Q15" s="53">
        <f t="shared" si="12"/>
        <v>10000</v>
      </c>
      <c r="R15" s="84">
        <f t="shared" si="13"/>
        <v>13011.6</v>
      </c>
      <c r="S15" s="53"/>
      <c r="T15" s="53"/>
    </row>
    <row r="16" spans="2:20" x14ac:dyDescent="0.25">
      <c r="B16" s="115"/>
      <c r="C16" s="54" t="s">
        <v>353</v>
      </c>
      <c r="D16">
        <v>1</v>
      </c>
      <c r="E16" t="s">
        <v>347</v>
      </c>
      <c r="F16" s="28">
        <v>200</v>
      </c>
      <c r="G16">
        <f t="shared" si="6"/>
        <v>200</v>
      </c>
      <c r="H16" s="48">
        <v>0</v>
      </c>
      <c r="I16">
        <f t="shared" ref="I16" si="14">G16*(H16+1)</f>
        <v>200</v>
      </c>
      <c r="J16" s="53">
        <f t="shared" si="8"/>
        <v>75.290000000000006</v>
      </c>
      <c r="K16" s="51">
        <v>0</v>
      </c>
      <c r="L16" s="52">
        <v>0</v>
      </c>
      <c r="M16" s="51">
        <v>0</v>
      </c>
      <c r="N16" s="52">
        <f t="shared" ref="N16" si="15">J16*I16</f>
        <v>15058.000000000002</v>
      </c>
      <c r="O16" s="53">
        <f t="shared" ref="O16" si="16">K16*D16</f>
        <v>0</v>
      </c>
      <c r="P16" s="53">
        <f t="shared" ref="P16" si="17">L16*D16</f>
        <v>0</v>
      </c>
      <c r="Q16" s="53">
        <f t="shared" ref="Q16" si="18">M16*D16</f>
        <v>0</v>
      </c>
      <c r="R16" s="84">
        <f t="shared" si="13"/>
        <v>15058.000000000002</v>
      </c>
      <c r="S16" s="53"/>
      <c r="T16" s="53"/>
    </row>
    <row r="17" spans="3:20" x14ac:dyDescent="0.25">
      <c r="C17" s="55" t="s">
        <v>354</v>
      </c>
      <c r="D17">
        <v>2</v>
      </c>
      <c r="E17" t="s">
        <v>347</v>
      </c>
      <c r="F17" s="28">
        <v>20</v>
      </c>
      <c r="G17">
        <f t="shared" si="6"/>
        <v>40</v>
      </c>
      <c r="H17" s="48">
        <v>0</v>
      </c>
      <c r="I17">
        <f t="shared" si="7"/>
        <v>40</v>
      </c>
      <c r="J17" s="53">
        <f t="shared" si="8"/>
        <v>75.290000000000006</v>
      </c>
      <c r="K17" s="51">
        <v>1500</v>
      </c>
      <c r="L17" s="52">
        <v>0</v>
      </c>
      <c r="M17" s="51">
        <v>12000</v>
      </c>
      <c r="N17" s="52">
        <f t="shared" si="9"/>
        <v>3011.6000000000004</v>
      </c>
      <c r="O17" s="53">
        <f t="shared" si="10"/>
        <v>3000</v>
      </c>
      <c r="P17" s="53">
        <f t="shared" si="11"/>
        <v>0</v>
      </c>
      <c r="Q17" s="53">
        <f t="shared" si="12"/>
        <v>24000</v>
      </c>
      <c r="R17" s="84">
        <f t="shared" si="13"/>
        <v>30011.599999999999</v>
      </c>
      <c r="S17" s="53"/>
      <c r="T17" s="53"/>
    </row>
    <row r="18" spans="3:20" x14ac:dyDescent="0.25">
      <c r="C18" s="54" t="s">
        <v>355</v>
      </c>
      <c r="D18">
        <v>1</v>
      </c>
      <c r="E18" t="s">
        <v>347</v>
      </c>
      <c r="F18" s="28">
        <v>20</v>
      </c>
      <c r="G18">
        <f t="shared" si="6"/>
        <v>20</v>
      </c>
      <c r="H18" s="48">
        <v>0</v>
      </c>
      <c r="I18">
        <f t="shared" si="7"/>
        <v>20</v>
      </c>
      <c r="J18" s="53">
        <f t="shared" si="8"/>
        <v>75.290000000000006</v>
      </c>
      <c r="K18" s="51">
        <v>0</v>
      </c>
      <c r="L18" s="52">
        <v>0</v>
      </c>
      <c r="M18" s="51">
        <v>7500</v>
      </c>
      <c r="N18" s="52">
        <f t="shared" si="9"/>
        <v>1505.8000000000002</v>
      </c>
      <c r="O18" s="53">
        <f t="shared" si="10"/>
        <v>0</v>
      </c>
      <c r="P18" s="53">
        <f t="shared" si="11"/>
        <v>0</v>
      </c>
      <c r="Q18" s="53">
        <f t="shared" si="12"/>
        <v>7500</v>
      </c>
      <c r="R18" s="84">
        <f t="shared" si="13"/>
        <v>9005.7999999999993</v>
      </c>
      <c r="S18" s="53">
        <f>R18*2</f>
        <v>18011.599999999999</v>
      </c>
      <c r="T18" s="53"/>
    </row>
    <row r="19" spans="3:20" x14ac:dyDescent="0.25">
      <c r="C19" s="54" t="s">
        <v>356</v>
      </c>
      <c r="D19">
        <v>1</v>
      </c>
      <c r="E19" t="s">
        <v>347</v>
      </c>
      <c r="F19" s="28">
        <v>20</v>
      </c>
      <c r="G19">
        <f t="shared" si="6"/>
        <v>20</v>
      </c>
      <c r="H19" s="48">
        <v>0</v>
      </c>
      <c r="I19">
        <f t="shared" si="7"/>
        <v>20</v>
      </c>
      <c r="J19" s="53">
        <f t="shared" si="8"/>
        <v>75.290000000000006</v>
      </c>
      <c r="K19" s="51">
        <v>0</v>
      </c>
      <c r="L19" s="52">
        <v>0</v>
      </c>
      <c r="M19" s="51">
        <v>2000</v>
      </c>
      <c r="N19" s="52">
        <f t="shared" si="9"/>
        <v>1505.8000000000002</v>
      </c>
      <c r="O19" s="53">
        <f t="shared" si="10"/>
        <v>0</v>
      </c>
      <c r="P19" s="53">
        <f t="shared" si="11"/>
        <v>0</v>
      </c>
      <c r="Q19" s="53">
        <f t="shared" si="12"/>
        <v>2000</v>
      </c>
      <c r="R19" s="84">
        <f t="shared" si="13"/>
        <v>3505.8</v>
      </c>
      <c r="S19" s="53"/>
      <c r="T19" s="53"/>
    </row>
    <row r="20" spans="3:20" x14ac:dyDescent="0.25">
      <c r="C20" s="54" t="s">
        <v>357</v>
      </c>
      <c r="D20">
        <v>1</v>
      </c>
      <c r="E20" t="s">
        <v>347</v>
      </c>
      <c r="F20" s="28">
        <v>20</v>
      </c>
      <c r="G20">
        <f t="shared" si="6"/>
        <v>20</v>
      </c>
      <c r="H20" s="48">
        <v>0</v>
      </c>
      <c r="I20">
        <f t="shared" si="7"/>
        <v>20</v>
      </c>
      <c r="J20" s="53">
        <f t="shared" si="8"/>
        <v>75.290000000000006</v>
      </c>
      <c r="K20" s="51">
        <v>0</v>
      </c>
      <c r="L20" s="52">
        <v>0</v>
      </c>
      <c r="M20" s="51">
        <v>1200</v>
      </c>
      <c r="N20" s="52">
        <f t="shared" si="9"/>
        <v>1505.8000000000002</v>
      </c>
      <c r="O20" s="53">
        <f t="shared" si="10"/>
        <v>0</v>
      </c>
      <c r="P20" s="53">
        <f t="shared" si="11"/>
        <v>0</v>
      </c>
      <c r="Q20" s="53">
        <f t="shared" si="12"/>
        <v>1200</v>
      </c>
      <c r="R20" s="84">
        <f t="shared" si="13"/>
        <v>2705.8</v>
      </c>
      <c r="S20" s="53"/>
      <c r="T20" s="53"/>
    </row>
    <row r="21" spans="3:20" x14ac:dyDescent="0.25">
      <c r="C21" s="54" t="s">
        <v>358</v>
      </c>
      <c r="D21">
        <v>4</v>
      </c>
      <c r="E21" t="s">
        <v>347</v>
      </c>
      <c r="F21" s="28">
        <v>5</v>
      </c>
      <c r="G21">
        <f t="shared" si="6"/>
        <v>20</v>
      </c>
      <c r="H21" s="48">
        <v>0</v>
      </c>
      <c r="I21">
        <f t="shared" si="7"/>
        <v>20</v>
      </c>
      <c r="J21" s="53">
        <f t="shared" si="8"/>
        <v>75.290000000000006</v>
      </c>
      <c r="K21" s="51">
        <v>0</v>
      </c>
      <c r="L21" s="52">
        <v>0</v>
      </c>
      <c r="M21" s="51">
        <v>75</v>
      </c>
      <c r="N21" s="52">
        <f t="shared" si="9"/>
        <v>1505.8000000000002</v>
      </c>
      <c r="O21" s="53">
        <f t="shared" si="10"/>
        <v>0</v>
      </c>
      <c r="P21" s="53">
        <f t="shared" si="11"/>
        <v>0</v>
      </c>
      <c r="Q21" s="53">
        <f t="shared" si="12"/>
        <v>300</v>
      </c>
      <c r="R21" s="84">
        <f t="shared" si="13"/>
        <v>1805.8000000000002</v>
      </c>
      <c r="S21" s="53"/>
      <c r="T21" s="53"/>
    </row>
    <row r="22" spans="3:20" x14ac:dyDescent="0.25">
      <c r="C22" s="54" t="s">
        <v>359</v>
      </c>
      <c r="D22">
        <v>1</v>
      </c>
      <c r="E22" t="s">
        <v>347</v>
      </c>
      <c r="F22" s="28">
        <v>5</v>
      </c>
      <c r="G22">
        <f t="shared" si="6"/>
        <v>5</v>
      </c>
      <c r="H22" s="48">
        <v>0</v>
      </c>
      <c r="I22">
        <f t="shared" si="7"/>
        <v>5</v>
      </c>
      <c r="J22" s="53">
        <f t="shared" si="8"/>
        <v>75.290000000000006</v>
      </c>
      <c r="K22" s="51">
        <v>0</v>
      </c>
      <c r="L22" s="52">
        <v>0</v>
      </c>
      <c r="M22" s="51">
        <v>125</v>
      </c>
      <c r="N22" s="52">
        <f t="shared" si="9"/>
        <v>376.45000000000005</v>
      </c>
      <c r="O22" s="53">
        <f t="shared" si="10"/>
        <v>0</v>
      </c>
      <c r="P22" s="53">
        <f t="shared" si="11"/>
        <v>0</v>
      </c>
      <c r="Q22" s="53">
        <f t="shared" si="12"/>
        <v>125</v>
      </c>
      <c r="R22" s="84">
        <f t="shared" si="13"/>
        <v>501.45000000000005</v>
      </c>
      <c r="S22" s="53"/>
      <c r="T22" s="53"/>
    </row>
    <row r="23" spans="3:20" x14ac:dyDescent="0.25">
      <c r="C23" s="55" t="s">
        <v>360</v>
      </c>
      <c r="D23">
        <v>11</v>
      </c>
      <c r="E23" t="s">
        <v>347</v>
      </c>
      <c r="F23" s="28">
        <v>1</v>
      </c>
      <c r="G23">
        <f t="shared" si="6"/>
        <v>11</v>
      </c>
      <c r="H23" s="48">
        <v>0</v>
      </c>
      <c r="I23">
        <f t="shared" si="7"/>
        <v>11</v>
      </c>
      <c r="J23" s="53">
        <f t="shared" si="8"/>
        <v>75.290000000000006</v>
      </c>
      <c r="K23" s="51">
        <v>0</v>
      </c>
      <c r="L23" s="52">
        <v>0</v>
      </c>
      <c r="M23" s="51">
        <v>50</v>
      </c>
      <c r="N23" s="52">
        <f t="shared" si="9"/>
        <v>828.19</v>
      </c>
      <c r="O23" s="53">
        <f t="shared" si="10"/>
        <v>0</v>
      </c>
      <c r="P23" s="53">
        <f t="shared" si="11"/>
        <v>0</v>
      </c>
      <c r="Q23" s="53">
        <f t="shared" si="12"/>
        <v>550</v>
      </c>
      <c r="R23" s="84">
        <f t="shared" si="13"/>
        <v>1378.19</v>
      </c>
      <c r="S23" s="53"/>
      <c r="T23" s="53"/>
    </row>
    <row r="24" spans="3:20" x14ac:dyDescent="0.25">
      <c r="C24" s="54" t="s">
        <v>361</v>
      </c>
      <c r="D24">
        <v>1</v>
      </c>
      <c r="E24" t="s">
        <v>347</v>
      </c>
      <c r="F24" s="28">
        <v>5</v>
      </c>
      <c r="G24">
        <f t="shared" si="6"/>
        <v>5</v>
      </c>
      <c r="H24" s="48">
        <v>0</v>
      </c>
      <c r="I24">
        <f t="shared" si="7"/>
        <v>5</v>
      </c>
      <c r="J24" s="53">
        <f t="shared" si="8"/>
        <v>75.290000000000006</v>
      </c>
      <c r="K24" s="51">
        <v>50</v>
      </c>
      <c r="L24" s="52">
        <v>0</v>
      </c>
      <c r="M24" s="51">
        <v>250</v>
      </c>
      <c r="N24" s="52">
        <f t="shared" si="9"/>
        <v>376.45000000000005</v>
      </c>
      <c r="O24" s="53">
        <f t="shared" si="10"/>
        <v>50</v>
      </c>
      <c r="P24" s="53">
        <f t="shared" si="11"/>
        <v>0</v>
      </c>
      <c r="Q24" s="53">
        <f t="shared" si="12"/>
        <v>250</v>
      </c>
      <c r="R24" s="84">
        <f t="shared" si="13"/>
        <v>676.45</v>
      </c>
      <c r="S24" s="53"/>
      <c r="T24" s="53"/>
    </row>
    <row r="25" spans="3:20" x14ac:dyDescent="0.25">
      <c r="C25" s="54" t="s">
        <v>362</v>
      </c>
      <c r="D25">
        <v>1</v>
      </c>
      <c r="E25" t="s">
        <v>347</v>
      </c>
      <c r="F25" s="28">
        <v>20</v>
      </c>
      <c r="G25">
        <f t="shared" si="6"/>
        <v>20</v>
      </c>
      <c r="H25" s="48">
        <v>0</v>
      </c>
      <c r="I25">
        <f t="shared" si="7"/>
        <v>20</v>
      </c>
      <c r="J25" s="53">
        <f t="shared" si="8"/>
        <v>75.290000000000006</v>
      </c>
      <c r="K25" s="51">
        <v>1200</v>
      </c>
      <c r="L25" s="52">
        <v>0</v>
      </c>
      <c r="M25" s="51">
        <v>2500</v>
      </c>
      <c r="N25" s="52">
        <f t="shared" si="9"/>
        <v>1505.8000000000002</v>
      </c>
      <c r="O25" s="53">
        <f t="shared" si="10"/>
        <v>1200</v>
      </c>
      <c r="P25" s="53">
        <f t="shared" si="11"/>
        <v>0</v>
      </c>
      <c r="Q25" s="53">
        <f t="shared" si="12"/>
        <v>2500</v>
      </c>
      <c r="R25" s="84">
        <f t="shared" si="13"/>
        <v>5205.8</v>
      </c>
      <c r="S25" s="53"/>
      <c r="T25" s="53"/>
    </row>
    <row r="26" spans="3:20" x14ac:dyDescent="0.25">
      <c r="C26" s="54"/>
      <c r="F26" s="28"/>
      <c r="H26" s="48"/>
      <c r="J26" s="53"/>
      <c r="K26" s="51"/>
      <c r="L26" s="52"/>
      <c r="M26" s="51"/>
      <c r="N26" s="52"/>
      <c r="O26" s="53"/>
      <c r="P26" s="53"/>
      <c r="Q26" s="53"/>
      <c r="R26" s="84"/>
      <c r="S26" s="53"/>
      <c r="T26" s="53"/>
    </row>
    <row r="27" spans="3:20" x14ac:dyDescent="0.25">
      <c r="C27" s="35" t="s">
        <v>292</v>
      </c>
      <c r="D27" s="35"/>
      <c r="E27" s="35"/>
      <c r="F27" s="35"/>
      <c r="G27" s="35"/>
      <c r="H27" s="35"/>
      <c r="I27" s="71">
        <f>SUM(I11:I26)</f>
        <v>661</v>
      </c>
      <c r="J27" s="73"/>
      <c r="K27" s="35"/>
      <c r="L27" s="70"/>
      <c r="M27" s="35"/>
      <c r="N27" s="70"/>
      <c r="O27" s="35"/>
      <c r="P27" s="35"/>
      <c r="Q27" s="72"/>
      <c r="R27" s="83">
        <f>SUM(R11:R26)</f>
        <v>307441.68999999994</v>
      </c>
      <c r="S27" s="272">
        <f>SUM(S11:S26)</f>
        <v>71023.199999999997</v>
      </c>
      <c r="T27" s="272">
        <f>SUM(T11:T26)</f>
        <v>0</v>
      </c>
    </row>
    <row r="28" spans="3:20" x14ac:dyDescent="0.25">
      <c r="C28" s="94" t="s">
        <v>118</v>
      </c>
      <c r="D28" s="94" t="s">
        <v>328</v>
      </c>
      <c r="E28" s="94" t="s">
        <v>329</v>
      </c>
      <c r="F28" s="94" t="s">
        <v>330</v>
      </c>
      <c r="G28" s="94" t="s">
        <v>331</v>
      </c>
      <c r="H28" s="94" t="s">
        <v>332</v>
      </c>
      <c r="I28" s="94" t="s">
        <v>333</v>
      </c>
      <c r="J28" s="94" t="s">
        <v>334</v>
      </c>
      <c r="K28" s="94" t="s">
        <v>335</v>
      </c>
      <c r="L28" s="94" t="s">
        <v>336</v>
      </c>
      <c r="M28" s="94" t="s">
        <v>337</v>
      </c>
      <c r="N28" s="94" t="s">
        <v>338</v>
      </c>
      <c r="O28" s="94" t="s">
        <v>339</v>
      </c>
      <c r="P28" s="94" t="s">
        <v>340</v>
      </c>
      <c r="Q28" s="94" t="s">
        <v>341</v>
      </c>
      <c r="R28" s="127" t="s">
        <v>105</v>
      </c>
      <c r="S28" s="94"/>
      <c r="T28" s="94"/>
    </row>
    <row r="29" spans="3:20" x14ac:dyDescent="0.25">
      <c r="C29" s="59" t="s">
        <v>363</v>
      </c>
      <c r="D29" s="31"/>
      <c r="E29" s="31"/>
      <c r="F29" s="31"/>
      <c r="G29" s="31"/>
      <c r="H29" s="58"/>
      <c r="I29" s="31"/>
      <c r="J29" s="61"/>
      <c r="K29" s="74"/>
      <c r="L29" s="74"/>
      <c r="M29" s="74"/>
      <c r="N29" s="74"/>
      <c r="O29" s="74"/>
      <c r="P29" s="74"/>
      <c r="Q29" s="74"/>
      <c r="R29" s="85"/>
      <c r="S29" s="74"/>
      <c r="T29" s="74"/>
    </row>
    <row r="30" spans="3:20" x14ac:dyDescent="0.25">
      <c r="C30" s="55" t="s">
        <v>364</v>
      </c>
      <c r="D30">
        <f>3*4*75</f>
        <v>900</v>
      </c>
      <c r="E30" t="s">
        <v>365</v>
      </c>
      <c r="F30">
        <v>1</v>
      </c>
      <c r="G30">
        <f t="shared" ref="G30:G69" si="19">F30*D30</f>
        <v>900</v>
      </c>
      <c r="H30" s="57">
        <v>0</v>
      </c>
      <c r="I30">
        <f t="shared" ref="I30:I69" si="20">G30*(H30+1)</f>
        <v>900</v>
      </c>
      <c r="J30" s="53">
        <f t="shared" ref="J30:J36" si="21">$J$4</f>
        <v>75.290000000000006</v>
      </c>
      <c r="K30" s="53">
        <v>15</v>
      </c>
      <c r="L30" s="53">
        <v>0</v>
      </c>
      <c r="M30" s="53">
        <v>0</v>
      </c>
      <c r="N30" s="53">
        <f t="shared" ref="N30:N69" si="22">J30*I30</f>
        <v>67761</v>
      </c>
      <c r="O30" s="53">
        <f t="shared" ref="O30:O69" si="23">K30*D30</f>
        <v>13500</v>
      </c>
      <c r="P30" s="53">
        <f t="shared" ref="P30:P69" si="24">L30*D30</f>
        <v>0</v>
      </c>
      <c r="Q30" s="53">
        <f t="shared" ref="Q30:Q69" si="25">M30*D30</f>
        <v>0</v>
      </c>
      <c r="R30" s="84">
        <f t="shared" ref="R30:R69" si="26">SUM(N30:Q30)</f>
        <v>81261</v>
      </c>
      <c r="S30" s="53"/>
      <c r="T30" s="53"/>
    </row>
    <row r="31" spans="3:20" x14ac:dyDescent="0.25">
      <c r="C31" s="55" t="s">
        <v>366</v>
      </c>
      <c r="D31">
        <f>4*75</f>
        <v>300</v>
      </c>
      <c r="E31" t="s">
        <v>365</v>
      </c>
      <c r="F31">
        <v>0.75</v>
      </c>
      <c r="G31">
        <f t="shared" si="19"/>
        <v>225</v>
      </c>
      <c r="H31" s="57">
        <v>0</v>
      </c>
      <c r="I31">
        <f t="shared" si="20"/>
        <v>225</v>
      </c>
      <c r="J31" s="53">
        <f t="shared" si="21"/>
        <v>75.290000000000006</v>
      </c>
      <c r="K31" s="53">
        <v>7</v>
      </c>
      <c r="L31" s="53">
        <v>0</v>
      </c>
      <c r="M31" s="53">
        <v>0</v>
      </c>
      <c r="N31" s="53">
        <f t="shared" si="22"/>
        <v>16940.25</v>
      </c>
      <c r="O31" s="53">
        <f t="shared" si="23"/>
        <v>2100</v>
      </c>
      <c r="P31" s="53">
        <f t="shared" si="24"/>
        <v>0</v>
      </c>
      <c r="Q31" s="53">
        <f t="shared" si="25"/>
        <v>0</v>
      </c>
      <c r="R31" s="84">
        <f t="shared" si="26"/>
        <v>19040.25</v>
      </c>
      <c r="S31" s="53"/>
      <c r="T31" s="53"/>
    </row>
    <row r="32" spans="3:20" x14ac:dyDescent="0.25">
      <c r="C32" s="55" t="s">
        <v>367</v>
      </c>
      <c r="D32">
        <v>24</v>
      </c>
      <c r="E32" t="s">
        <v>347</v>
      </c>
      <c r="F32">
        <v>4</v>
      </c>
      <c r="G32">
        <f t="shared" si="19"/>
        <v>96</v>
      </c>
      <c r="H32" s="57">
        <v>0</v>
      </c>
      <c r="I32">
        <f t="shared" si="20"/>
        <v>96</v>
      </c>
      <c r="J32" s="53">
        <f t="shared" si="21"/>
        <v>75.290000000000006</v>
      </c>
      <c r="K32" s="53">
        <v>25</v>
      </c>
      <c r="L32" s="53">
        <v>0</v>
      </c>
      <c r="M32" s="53">
        <v>0</v>
      </c>
      <c r="N32" s="53">
        <f t="shared" si="22"/>
        <v>7227.84</v>
      </c>
      <c r="O32" s="53">
        <f t="shared" si="23"/>
        <v>600</v>
      </c>
      <c r="P32" s="53">
        <f t="shared" si="24"/>
        <v>0</v>
      </c>
      <c r="Q32" s="53">
        <f t="shared" si="25"/>
        <v>0</v>
      </c>
      <c r="R32" s="84">
        <f t="shared" si="26"/>
        <v>7827.84</v>
      </c>
      <c r="S32" s="53"/>
      <c r="T32" s="53"/>
    </row>
    <row r="33" spans="3:20" x14ac:dyDescent="0.25">
      <c r="C33" s="55" t="s">
        <v>368</v>
      </c>
      <c r="D33">
        <v>200</v>
      </c>
      <c r="E33" t="s">
        <v>365</v>
      </c>
      <c r="F33">
        <v>0.75</v>
      </c>
      <c r="G33">
        <f t="shared" si="19"/>
        <v>150</v>
      </c>
      <c r="H33" s="57">
        <v>0</v>
      </c>
      <c r="I33">
        <f t="shared" si="20"/>
        <v>150</v>
      </c>
      <c r="J33" s="53">
        <f t="shared" si="21"/>
        <v>75.290000000000006</v>
      </c>
      <c r="K33" s="53">
        <v>35</v>
      </c>
      <c r="L33" s="53">
        <v>0</v>
      </c>
      <c r="M33" s="53">
        <v>0</v>
      </c>
      <c r="N33" s="53">
        <f t="shared" si="22"/>
        <v>11293.500000000002</v>
      </c>
      <c r="O33" s="53">
        <f t="shared" si="23"/>
        <v>7000</v>
      </c>
      <c r="P33" s="53">
        <f t="shared" si="24"/>
        <v>0</v>
      </c>
      <c r="Q33" s="53">
        <f t="shared" si="25"/>
        <v>0</v>
      </c>
      <c r="R33" s="84">
        <f t="shared" si="26"/>
        <v>18293.5</v>
      </c>
      <c r="S33" s="53"/>
      <c r="T33" s="53"/>
    </row>
    <row r="34" spans="3:20" x14ac:dyDescent="0.25">
      <c r="C34" s="55" t="s">
        <v>369</v>
      </c>
      <c r="D34">
        <v>8</v>
      </c>
      <c r="E34" t="s">
        <v>347</v>
      </c>
      <c r="F34">
        <v>1</v>
      </c>
      <c r="G34">
        <f t="shared" si="19"/>
        <v>8</v>
      </c>
      <c r="H34" s="57">
        <v>0</v>
      </c>
      <c r="I34">
        <f t="shared" si="20"/>
        <v>8</v>
      </c>
      <c r="J34" s="53">
        <f t="shared" si="21"/>
        <v>75.290000000000006</v>
      </c>
      <c r="K34" s="53">
        <v>200</v>
      </c>
      <c r="L34" s="53">
        <v>0</v>
      </c>
      <c r="M34" s="53">
        <v>0</v>
      </c>
      <c r="N34" s="53">
        <f t="shared" si="22"/>
        <v>602.32000000000005</v>
      </c>
      <c r="O34" s="53">
        <f t="shared" si="23"/>
        <v>1600</v>
      </c>
      <c r="P34" s="53">
        <f t="shared" si="24"/>
        <v>0</v>
      </c>
      <c r="Q34" s="53">
        <f t="shared" si="25"/>
        <v>0</v>
      </c>
      <c r="R34" s="84">
        <f t="shared" si="26"/>
        <v>2202.3200000000002</v>
      </c>
      <c r="S34" s="53"/>
      <c r="T34" s="53"/>
    </row>
    <row r="35" spans="3:20" x14ac:dyDescent="0.25">
      <c r="C35" s="55" t="s">
        <v>370</v>
      </c>
      <c r="D35">
        <v>8</v>
      </c>
      <c r="E35" t="s">
        <v>347</v>
      </c>
      <c r="F35">
        <v>0.5</v>
      </c>
      <c r="G35">
        <f t="shared" si="19"/>
        <v>4</v>
      </c>
      <c r="H35" s="57">
        <v>0</v>
      </c>
      <c r="I35">
        <f t="shared" si="20"/>
        <v>4</v>
      </c>
      <c r="J35" s="53">
        <f t="shared" si="21"/>
        <v>75.290000000000006</v>
      </c>
      <c r="K35" s="53">
        <v>75</v>
      </c>
      <c r="L35" s="53">
        <v>0</v>
      </c>
      <c r="M35" s="53">
        <v>0</v>
      </c>
      <c r="N35" s="53">
        <f t="shared" si="22"/>
        <v>301.16000000000003</v>
      </c>
      <c r="O35" s="53">
        <f t="shared" si="23"/>
        <v>600</v>
      </c>
      <c r="P35" s="53">
        <f t="shared" si="24"/>
        <v>0</v>
      </c>
      <c r="Q35" s="53">
        <f t="shared" si="25"/>
        <v>0</v>
      </c>
      <c r="R35" s="84">
        <f t="shared" si="26"/>
        <v>901.16000000000008</v>
      </c>
      <c r="S35" s="53"/>
      <c r="T35" s="53"/>
    </row>
    <row r="36" spans="3:20" x14ac:dyDescent="0.25">
      <c r="C36" s="55" t="s">
        <v>371</v>
      </c>
      <c r="D36">
        <v>2</v>
      </c>
      <c r="E36" t="s">
        <v>347</v>
      </c>
      <c r="F36">
        <v>0.5</v>
      </c>
      <c r="G36">
        <f t="shared" si="19"/>
        <v>1</v>
      </c>
      <c r="H36" s="57">
        <v>0</v>
      </c>
      <c r="I36">
        <f t="shared" si="20"/>
        <v>1</v>
      </c>
      <c r="J36" s="53">
        <f t="shared" si="21"/>
        <v>75.290000000000006</v>
      </c>
      <c r="K36" s="53">
        <v>2.5</v>
      </c>
      <c r="L36" s="53">
        <v>0</v>
      </c>
      <c r="M36" s="53">
        <v>0</v>
      </c>
      <c r="N36" s="53">
        <f t="shared" si="22"/>
        <v>75.290000000000006</v>
      </c>
      <c r="O36" s="53">
        <f t="shared" si="23"/>
        <v>5</v>
      </c>
      <c r="P36" s="53">
        <f t="shared" si="24"/>
        <v>0</v>
      </c>
      <c r="Q36" s="53">
        <f t="shared" si="25"/>
        <v>0</v>
      </c>
      <c r="R36" s="84">
        <f t="shared" si="26"/>
        <v>80.290000000000006</v>
      </c>
      <c r="S36" s="53"/>
      <c r="T36" s="53"/>
    </row>
    <row r="37" spans="3:20" ht="13.5" customHeight="1" x14ac:dyDescent="0.25">
      <c r="C37" s="59" t="s">
        <v>372</v>
      </c>
      <c r="D37" s="31"/>
      <c r="E37" s="31"/>
      <c r="F37" s="31"/>
      <c r="G37" s="31"/>
      <c r="H37" s="58"/>
      <c r="I37" s="31"/>
      <c r="J37" s="61"/>
      <c r="K37" s="61"/>
      <c r="L37" s="61"/>
      <c r="M37" s="61"/>
      <c r="N37" s="61"/>
      <c r="O37" s="61"/>
      <c r="P37" s="61"/>
      <c r="Q37" s="61"/>
      <c r="R37" s="86"/>
      <c r="S37" s="61"/>
      <c r="T37" s="61"/>
    </row>
    <row r="38" spans="3:20" x14ac:dyDescent="0.25">
      <c r="C38" s="55" t="s">
        <v>373</v>
      </c>
      <c r="D38">
        <v>865</v>
      </c>
      <c r="E38" t="s">
        <v>365</v>
      </c>
      <c r="F38">
        <v>0</v>
      </c>
      <c r="G38">
        <f t="shared" si="19"/>
        <v>0</v>
      </c>
      <c r="H38" s="57">
        <v>0</v>
      </c>
      <c r="I38">
        <f t="shared" si="20"/>
        <v>0</v>
      </c>
      <c r="J38" s="53">
        <f t="shared" ref="J38:J45" si="27">$J$4</f>
        <v>75.290000000000006</v>
      </c>
      <c r="K38" s="53">
        <v>12</v>
      </c>
      <c r="L38" s="53">
        <v>0</v>
      </c>
      <c r="M38" s="53">
        <v>0</v>
      </c>
      <c r="N38" s="53">
        <f t="shared" si="22"/>
        <v>0</v>
      </c>
      <c r="O38" s="53">
        <f t="shared" si="23"/>
        <v>10380</v>
      </c>
      <c r="P38" s="53">
        <f t="shared" si="24"/>
        <v>0</v>
      </c>
      <c r="Q38" s="53">
        <f t="shared" si="25"/>
        <v>0</v>
      </c>
      <c r="R38" s="84">
        <f t="shared" si="26"/>
        <v>10380</v>
      </c>
      <c r="S38" s="53"/>
      <c r="T38" s="53"/>
    </row>
    <row r="39" spans="3:20" x14ac:dyDescent="0.25">
      <c r="C39" s="55" t="s">
        <v>374</v>
      </c>
      <c r="D39">
        <v>250</v>
      </c>
      <c r="E39" t="s">
        <v>365</v>
      </c>
      <c r="F39">
        <v>0.75</v>
      </c>
      <c r="G39">
        <f t="shared" si="19"/>
        <v>187.5</v>
      </c>
      <c r="H39" s="57">
        <v>0</v>
      </c>
      <c r="I39">
        <f t="shared" si="20"/>
        <v>187.5</v>
      </c>
      <c r="J39" s="53">
        <f t="shared" si="27"/>
        <v>75.290000000000006</v>
      </c>
      <c r="K39" s="53">
        <v>35</v>
      </c>
      <c r="L39" s="53">
        <v>0</v>
      </c>
      <c r="M39" s="53">
        <v>0</v>
      </c>
      <c r="N39" s="53">
        <f t="shared" si="22"/>
        <v>14116.875000000002</v>
      </c>
      <c r="O39" s="53">
        <f t="shared" si="23"/>
        <v>8750</v>
      </c>
      <c r="P39" s="53">
        <f t="shared" si="24"/>
        <v>0</v>
      </c>
      <c r="Q39" s="53">
        <f t="shared" si="25"/>
        <v>0</v>
      </c>
      <c r="R39" s="84">
        <f t="shared" si="26"/>
        <v>22866.875</v>
      </c>
      <c r="S39" s="53"/>
      <c r="T39" s="53"/>
    </row>
    <row r="40" spans="3:20" x14ac:dyDescent="0.25">
      <c r="C40" s="55" t="s">
        <v>369</v>
      </c>
      <c r="D40">
        <v>2</v>
      </c>
      <c r="E40" t="s">
        <v>347</v>
      </c>
      <c r="F40">
        <v>1</v>
      </c>
      <c r="G40">
        <f t="shared" si="19"/>
        <v>2</v>
      </c>
      <c r="H40" s="57">
        <v>0</v>
      </c>
      <c r="I40">
        <f t="shared" si="20"/>
        <v>2</v>
      </c>
      <c r="J40" s="53">
        <f t="shared" si="27"/>
        <v>75.290000000000006</v>
      </c>
      <c r="K40" s="53">
        <v>75</v>
      </c>
      <c r="L40" s="53">
        <v>0</v>
      </c>
      <c r="M40" s="53">
        <v>0</v>
      </c>
      <c r="N40" s="53">
        <f t="shared" si="22"/>
        <v>150.58000000000001</v>
      </c>
      <c r="O40" s="53">
        <f t="shared" si="23"/>
        <v>150</v>
      </c>
      <c r="P40" s="53">
        <f t="shared" si="24"/>
        <v>0</v>
      </c>
      <c r="Q40" s="53">
        <f t="shared" si="25"/>
        <v>0</v>
      </c>
      <c r="R40" s="84">
        <f t="shared" si="26"/>
        <v>300.58000000000004</v>
      </c>
      <c r="S40" s="53"/>
      <c r="T40" s="53"/>
    </row>
    <row r="41" spans="3:20" x14ac:dyDescent="0.25">
      <c r="C41" s="55" t="s">
        <v>375</v>
      </c>
      <c r="D41">
        <v>275</v>
      </c>
      <c r="E41" t="s">
        <v>365</v>
      </c>
      <c r="F41">
        <v>0.75</v>
      </c>
      <c r="G41">
        <f t="shared" si="19"/>
        <v>206.25</v>
      </c>
      <c r="H41" s="57">
        <v>0</v>
      </c>
      <c r="I41">
        <f t="shared" si="20"/>
        <v>206.25</v>
      </c>
      <c r="J41" s="53">
        <f t="shared" si="27"/>
        <v>75.290000000000006</v>
      </c>
      <c r="K41" s="53">
        <v>7</v>
      </c>
      <c r="L41" s="53">
        <v>0</v>
      </c>
      <c r="M41" s="53">
        <v>0</v>
      </c>
      <c r="N41" s="53">
        <f t="shared" si="22"/>
        <v>15528.562500000002</v>
      </c>
      <c r="O41" s="53">
        <f t="shared" si="23"/>
        <v>1925</v>
      </c>
      <c r="P41" s="53">
        <f t="shared" si="24"/>
        <v>0</v>
      </c>
      <c r="Q41" s="53">
        <f t="shared" si="25"/>
        <v>0</v>
      </c>
      <c r="R41" s="84">
        <f t="shared" si="26"/>
        <v>17453.5625</v>
      </c>
      <c r="S41" s="53"/>
      <c r="T41" s="53"/>
    </row>
    <row r="42" spans="3:20" x14ac:dyDescent="0.25">
      <c r="C42" s="55" t="s">
        <v>376</v>
      </c>
      <c r="D42">
        <v>35</v>
      </c>
      <c r="E42" t="s">
        <v>347</v>
      </c>
      <c r="F42">
        <v>2.5</v>
      </c>
      <c r="G42">
        <f t="shared" si="19"/>
        <v>87.5</v>
      </c>
      <c r="H42" s="57">
        <v>0</v>
      </c>
      <c r="I42">
        <f t="shared" si="20"/>
        <v>87.5</v>
      </c>
      <c r="J42" s="53">
        <f t="shared" si="27"/>
        <v>75.290000000000006</v>
      </c>
      <c r="K42" s="53">
        <v>30</v>
      </c>
      <c r="L42" s="53">
        <v>0</v>
      </c>
      <c r="M42" s="53">
        <v>0</v>
      </c>
      <c r="N42" s="53">
        <f t="shared" si="22"/>
        <v>6587.8750000000009</v>
      </c>
      <c r="O42" s="53">
        <f t="shared" si="23"/>
        <v>1050</v>
      </c>
      <c r="P42" s="53">
        <f t="shared" si="24"/>
        <v>0</v>
      </c>
      <c r="Q42" s="53">
        <f t="shared" si="25"/>
        <v>0</v>
      </c>
      <c r="R42" s="84">
        <f t="shared" si="26"/>
        <v>7637.8750000000009</v>
      </c>
      <c r="S42" s="53"/>
      <c r="T42" s="53"/>
    </row>
    <row r="43" spans="3:20" x14ac:dyDescent="0.25">
      <c r="C43" s="55" t="s">
        <v>377</v>
      </c>
      <c r="D43">
        <v>6</v>
      </c>
      <c r="E43" t="s">
        <v>347</v>
      </c>
      <c r="F43">
        <v>2</v>
      </c>
      <c r="G43">
        <f t="shared" si="19"/>
        <v>12</v>
      </c>
      <c r="H43" s="57">
        <v>0</v>
      </c>
      <c r="I43">
        <f t="shared" si="20"/>
        <v>12</v>
      </c>
      <c r="J43" s="53">
        <f t="shared" si="27"/>
        <v>75.290000000000006</v>
      </c>
      <c r="K43" s="53">
        <v>5</v>
      </c>
      <c r="L43" s="53">
        <v>0</v>
      </c>
      <c r="M43" s="53">
        <v>0</v>
      </c>
      <c r="N43" s="53">
        <f t="shared" si="22"/>
        <v>903.48</v>
      </c>
      <c r="O43" s="53">
        <f t="shared" si="23"/>
        <v>30</v>
      </c>
      <c r="P43" s="53">
        <f t="shared" si="24"/>
        <v>0</v>
      </c>
      <c r="Q43" s="53">
        <f t="shared" si="25"/>
        <v>0</v>
      </c>
      <c r="R43" s="84">
        <f t="shared" si="26"/>
        <v>933.48</v>
      </c>
      <c r="S43" s="53"/>
      <c r="T43" s="53"/>
    </row>
    <row r="44" spans="3:20" x14ac:dyDescent="0.25">
      <c r="C44" s="55" t="s">
        <v>371</v>
      </c>
      <c r="D44">
        <v>2</v>
      </c>
      <c r="E44" t="s">
        <v>347</v>
      </c>
      <c r="F44">
        <v>0.5</v>
      </c>
      <c r="G44">
        <f t="shared" si="19"/>
        <v>1</v>
      </c>
      <c r="H44" s="57">
        <v>0</v>
      </c>
      <c r="I44">
        <f t="shared" si="20"/>
        <v>1</v>
      </c>
      <c r="J44" s="53">
        <f t="shared" si="27"/>
        <v>75.290000000000006</v>
      </c>
      <c r="K44" s="53">
        <v>2.5</v>
      </c>
      <c r="L44" s="53">
        <v>0</v>
      </c>
      <c r="M44" s="53">
        <v>0</v>
      </c>
      <c r="N44" s="53">
        <f t="shared" si="22"/>
        <v>75.290000000000006</v>
      </c>
      <c r="O44" s="53">
        <f t="shared" si="23"/>
        <v>5</v>
      </c>
      <c r="P44" s="53">
        <f t="shared" si="24"/>
        <v>0</v>
      </c>
      <c r="Q44" s="53">
        <f t="shared" si="25"/>
        <v>0</v>
      </c>
      <c r="R44" s="84">
        <f t="shared" si="26"/>
        <v>80.290000000000006</v>
      </c>
      <c r="S44" s="53"/>
      <c r="T44" s="53"/>
    </row>
    <row r="45" spans="3:20" x14ac:dyDescent="0.25">
      <c r="C45" s="55" t="s">
        <v>378</v>
      </c>
      <c r="D45">
        <v>2</v>
      </c>
      <c r="E45" t="s">
        <v>347</v>
      </c>
      <c r="F45">
        <v>2</v>
      </c>
      <c r="G45">
        <f t="shared" si="19"/>
        <v>4</v>
      </c>
      <c r="H45" s="57">
        <v>0</v>
      </c>
      <c r="I45">
        <f t="shared" si="20"/>
        <v>4</v>
      </c>
      <c r="J45" s="53">
        <f t="shared" si="27"/>
        <v>75.290000000000006</v>
      </c>
      <c r="K45" s="53">
        <v>200</v>
      </c>
      <c r="L45" s="53">
        <v>0</v>
      </c>
      <c r="M45" s="53">
        <v>0</v>
      </c>
      <c r="N45" s="53">
        <f t="shared" si="22"/>
        <v>301.16000000000003</v>
      </c>
      <c r="O45" s="53">
        <f t="shared" si="23"/>
        <v>400</v>
      </c>
      <c r="P45" s="53">
        <f t="shared" si="24"/>
        <v>0</v>
      </c>
      <c r="Q45" s="53">
        <f t="shared" si="25"/>
        <v>0</v>
      </c>
      <c r="R45" s="84">
        <f t="shared" si="26"/>
        <v>701.16000000000008</v>
      </c>
      <c r="S45" s="53"/>
      <c r="T45" s="53"/>
    </row>
    <row r="46" spans="3:20" x14ac:dyDescent="0.25">
      <c r="C46" s="59" t="s">
        <v>379</v>
      </c>
      <c r="D46" s="31"/>
      <c r="E46" s="31"/>
      <c r="F46" s="31"/>
      <c r="G46" s="31"/>
      <c r="H46" s="58"/>
      <c r="I46" s="31"/>
      <c r="J46" s="61"/>
      <c r="K46" s="61"/>
      <c r="L46" s="61"/>
      <c r="M46" s="61"/>
      <c r="N46" s="61"/>
      <c r="O46" s="61"/>
      <c r="P46" s="61"/>
      <c r="Q46" s="61"/>
      <c r="R46" s="86"/>
      <c r="S46" s="61"/>
      <c r="T46" s="61"/>
    </row>
    <row r="47" spans="3:20" x14ac:dyDescent="0.25">
      <c r="C47" s="55" t="s">
        <v>380</v>
      </c>
      <c r="D47">
        <v>865</v>
      </c>
      <c r="E47" t="s">
        <v>365</v>
      </c>
      <c r="F47">
        <v>7.4999999999999997E-2</v>
      </c>
      <c r="G47" s="38">
        <f t="shared" si="19"/>
        <v>64.875</v>
      </c>
      <c r="H47" s="57">
        <v>0</v>
      </c>
      <c r="I47" s="38">
        <f t="shared" si="20"/>
        <v>64.875</v>
      </c>
      <c r="J47" s="53">
        <f t="shared" ref="J47:J51" si="28">$J$4</f>
        <v>75.290000000000006</v>
      </c>
      <c r="K47" s="53">
        <v>2.5</v>
      </c>
      <c r="L47" s="53">
        <v>0</v>
      </c>
      <c r="M47" s="53">
        <v>0</v>
      </c>
      <c r="N47" s="53">
        <f t="shared" si="22"/>
        <v>4884.4387500000003</v>
      </c>
      <c r="O47" s="53">
        <f t="shared" si="23"/>
        <v>2162.5</v>
      </c>
      <c r="P47" s="53">
        <f t="shared" si="24"/>
        <v>0</v>
      </c>
      <c r="Q47" s="53">
        <f t="shared" si="25"/>
        <v>0</v>
      </c>
      <c r="R47" s="84">
        <f t="shared" si="26"/>
        <v>7046.9387500000003</v>
      </c>
      <c r="S47" s="53"/>
      <c r="T47" s="53"/>
    </row>
    <row r="48" spans="3:20" x14ac:dyDescent="0.25">
      <c r="C48" s="55" t="s">
        <v>381</v>
      </c>
      <c r="D48">
        <v>250</v>
      </c>
      <c r="E48" t="s">
        <v>365</v>
      </c>
      <c r="F48">
        <v>0.25</v>
      </c>
      <c r="G48" s="38">
        <f t="shared" si="19"/>
        <v>62.5</v>
      </c>
      <c r="H48" s="57">
        <v>0</v>
      </c>
      <c r="I48" s="38">
        <f t="shared" si="20"/>
        <v>62.5</v>
      </c>
      <c r="J48" s="53">
        <f t="shared" si="28"/>
        <v>75.290000000000006</v>
      </c>
      <c r="K48" s="53">
        <v>8.5</v>
      </c>
      <c r="L48" s="53">
        <v>0</v>
      </c>
      <c r="M48" s="53">
        <v>0</v>
      </c>
      <c r="N48" s="53">
        <f t="shared" si="22"/>
        <v>4705.625</v>
      </c>
      <c r="O48" s="53">
        <f t="shared" si="23"/>
        <v>2125</v>
      </c>
      <c r="P48" s="53">
        <f t="shared" si="24"/>
        <v>0</v>
      </c>
      <c r="Q48" s="53">
        <f t="shared" si="25"/>
        <v>0</v>
      </c>
      <c r="R48" s="84">
        <f t="shared" si="26"/>
        <v>6830.625</v>
      </c>
      <c r="S48" s="53"/>
      <c r="T48" s="53"/>
    </row>
    <row r="49" spans="3:20" x14ac:dyDescent="0.25">
      <c r="C49" s="55" t="s">
        <v>382</v>
      </c>
      <c r="D49">
        <v>2</v>
      </c>
      <c r="E49" t="s">
        <v>347</v>
      </c>
      <c r="F49">
        <v>0.25</v>
      </c>
      <c r="G49" s="38">
        <f t="shared" si="19"/>
        <v>0.5</v>
      </c>
      <c r="H49" s="57">
        <v>0</v>
      </c>
      <c r="I49" s="38">
        <f t="shared" si="20"/>
        <v>0.5</v>
      </c>
      <c r="J49" s="53">
        <f t="shared" si="28"/>
        <v>75.290000000000006</v>
      </c>
      <c r="K49" s="53">
        <v>0</v>
      </c>
      <c r="L49" s="53">
        <v>0</v>
      </c>
      <c r="M49" s="53">
        <v>0</v>
      </c>
      <c r="N49" s="53">
        <f t="shared" si="22"/>
        <v>37.645000000000003</v>
      </c>
      <c r="O49" s="53">
        <f t="shared" si="23"/>
        <v>0</v>
      </c>
      <c r="P49" s="53">
        <f t="shared" si="24"/>
        <v>0</v>
      </c>
      <c r="Q49" s="53">
        <f t="shared" si="25"/>
        <v>0</v>
      </c>
      <c r="R49" s="84">
        <f t="shared" si="26"/>
        <v>37.645000000000003</v>
      </c>
      <c r="S49" s="53"/>
      <c r="T49" s="53"/>
    </row>
    <row r="50" spans="3:20" x14ac:dyDescent="0.25">
      <c r="C50" s="55" t="s">
        <v>383</v>
      </c>
      <c r="D50">
        <v>6</v>
      </c>
      <c r="E50" t="s">
        <v>347</v>
      </c>
      <c r="F50">
        <v>0.15</v>
      </c>
      <c r="G50" s="38">
        <f t="shared" si="19"/>
        <v>0.89999999999999991</v>
      </c>
      <c r="H50" s="57">
        <v>0</v>
      </c>
      <c r="I50" s="38">
        <f t="shared" si="20"/>
        <v>0.89999999999999991</v>
      </c>
      <c r="J50" s="53">
        <f t="shared" si="28"/>
        <v>75.290000000000006</v>
      </c>
      <c r="K50" s="53">
        <v>0</v>
      </c>
      <c r="L50" s="53">
        <v>0</v>
      </c>
      <c r="M50" s="53">
        <v>0</v>
      </c>
      <c r="N50" s="53">
        <f t="shared" si="22"/>
        <v>67.760999999999996</v>
      </c>
      <c r="O50" s="53">
        <f t="shared" si="23"/>
        <v>0</v>
      </c>
      <c r="P50" s="53">
        <f t="shared" si="24"/>
        <v>0</v>
      </c>
      <c r="Q50" s="53">
        <f t="shared" si="25"/>
        <v>0</v>
      </c>
      <c r="R50" s="84">
        <f t="shared" si="26"/>
        <v>67.760999999999996</v>
      </c>
      <c r="S50" s="53"/>
      <c r="T50" s="53"/>
    </row>
    <row r="51" spans="3:20" x14ac:dyDescent="0.25">
      <c r="C51" s="55" t="s">
        <v>384</v>
      </c>
      <c r="D51">
        <v>275</v>
      </c>
      <c r="E51" t="s">
        <v>365</v>
      </c>
      <c r="F51">
        <v>7.4999999999999997E-2</v>
      </c>
      <c r="G51" s="38">
        <f t="shared" si="19"/>
        <v>20.625</v>
      </c>
      <c r="H51" s="57">
        <v>0</v>
      </c>
      <c r="I51" s="38">
        <f t="shared" si="20"/>
        <v>20.625</v>
      </c>
      <c r="J51" s="53">
        <f t="shared" si="28"/>
        <v>75.290000000000006</v>
      </c>
      <c r="K51" s="53">
        <v>0.75</v>
      </c>
      <c r="L51" s="53">
        <v>0</v>
      </c>
      <c r="M51" s="53">
        <v>0</v>
      </c>
      <c r="N51" s="53">
        <f t="shared" si="22"/>
        <v>1552.85625</v>
      </c>
      <c r="O51" s="53">
        <f t="shared" si="23"/>
        <v>206.25</v>
      </c>
      <c r="P51" s="53">
        <f t="shared" si="24"/>
        <v>0</v>
      </c>
      <c r="Q51" s="53">
        <f t="shared" si="25"/>
        <v>0</v>
      </c>
      <c r="R51" s="84">
        <f t="shared" si="26"/>
        <v>1759.10625</v>
      </c>
      <c r="S51" s="53"/>
      <c r="T51" s="53"/>
    </row>
    <row r="52" spans="3:20" x14ac:dyDescent="0.25">
      <c r="C52" s="59" t="s">
        <v>385</v>
      </c>
      <c r="D52" s="31"/>
      <c r="E52" s="31"/>
      <c r="F52" s="31"/>
      <c r="G52" s="60"/>
      <c r="H52" s="58"/>
      <c r="I52" s="60"/>
      <c r="J52" s="61"/>
      <c r="K52" s="61"/>
      <c r="L52" s="61"/>
      <c r="M52" s="61"/>
      <c r="N52" s="61"/>
      <c r="O52" s="61"/>
      <c r="P52" s="61"/>
      <c r="Q52" s="61"/>
      <c r="R52" s="86"/>
      <c r="S52" s="61"/>
      <c r="T52" s="61"/>
    </row>
    <row r="53" spans="3:20" x14ac:dyDescent="0.25">
      <c r="C53" s="55" t="s">
        <v>380</v>
      </c>
      <c r="D53">
        <v>865</v>
      </c>
      <c r="E53" t="s">
        <v>365</v>
      </c>
      <c r="F53">
        <v>7.4999999999999997E-2</v>
      </c>
      <c r="G53" s="38">
        <f t="shared" si="19"/>
        <v>64.875</v>
      </c>
      <c r="H53" s="57">
        <v>0</v>
      </c>
      <c r="I53" s="38">
        <f t="shared" si="20"/>
        <v>64.875</v>
      </c>
      <c r="J53" s="53">
        <f t="shared" ref="J53:J57" si="29">$J$4</f>
        <v>75.290000000000006</v>
      </c>
      <c r="K53" s="53">
        <v>1.5</v>
      </c>
      <c r="L53" s="53">
        <v>0</v>
      </c>
      <c r="M53" s="53">
        <v>0</v>
      </c>
      <c r="N53" s="53">
        <f t="shared" si="22"/>
        <v>4884.4387500000003</v>
      </c>
      <c r="O53" s="53">
        <f t="shared" si="23"/>
        <v>1297.5</v>
      </c>
      <c r="P53" s="53">
        <f t="shared" si="24"/>
        <v>0</v>
      </c>
      <c r="Q53" s="53">
        <f t="shared" si="25"/>
        <v>0</v>
      </c>
      <c r="R53" s="84">
        <f t="shared" si="26"/>
        <v>6181.9387500000003</v>
      </c>
      <c r="S53" s="53"/>
      <c r="T53" s="53"/>
    </row>
    <row r="54" spans="3:20" x14ac:dyDescent="0.25">
      <c r="C54" s="55" t="s">
        <v>381</v>
      </c>
      <c r="D54">
        <v>250</v>
      </c>
      <c r="E54" t="s">
        <v>365</v>
      </c>
      <c r="F54">
        <v>0.25</v>
      </c>
      <c r="G54" s="38">
        <f t="shared" si="19"/>
        <v>62.5</v>
      </c>
      <c r="H54" s="57">
        <v>0</v>
      </c>
      <c r="I54" s="38">
        <f t="shared" si="20"/>
        <v>62.5</v>
      </c>
      <c r="J54" s="53">
        <f t="shared" si="29"/>
        <v>75.290000000000006</v>
      </c>
      <c r="K54" s="53">
        <v>8.5</v>
      </c>
      <c r="L54" s="53">
        <v>0</v>
      </c>
      <c r="M54" s="53">
        <v>0</v>
      </c>
      <c r="N54" s="53">
        <f t="shared" si="22"/>
        <v>4705.625</v>
      </c>
      <c r="O54" s="53">
        <f t="shared" si="23"/>
        <v>2125</v>
      </c>
      <c r="P54" s="53">
        <f t="shared" si="24"/>
        <v>0</v>
      </c>
      <c r="Q54" s="53">
        <f t="shared" si="25"/>
        <v>0</v>
      </c>
      <c r="R54" s="84">
        <f t="shared" si="26"/>
        <v>6830.625</v>
      </c>
      <c r="S54" s="53"/>
      <c r="T54" s="53"/>
    </row>
    <row r="55" spans="3:20" x14ac:dyDescent="0.25">
      <c r="C55" s="55" t="s">
        <v>382</v>
      </c>
      <c r="D55">
        <v>2</v>
      </c>
      <c r="E55" t="s">
        <v>347</v>
      </c>
      <c r="F55">
        <v>0.25</v>
      </c>
      <c r="G55" s="38">
        <f t="shared" si="19"/>
        <v>0.5</v>
      </c>
      <c r="H55" s="57">
        <v>0</v>
      </c>
      <c r="I55" s="38">
        <f t="shared" si="20"/>
        <v>0.5</v>
      </c>
      <c r="J55" s="53">
        <f t="shared" si="29"/>
        <v>75.290000000000006</v>
      </c>
      <c r="K55" s="53">
        <v>0</v>
      </c>
      <c r="L55" s="53">
        <v>0</v>
      </c>
      <c r="M55" s="53">
        <v>0</v>
      </c>
      <c r="N55" s="53">
        <f t="shared" si="22"/>
        <v>37.645000000000003</v>
      </c>
      <c r="O55" s="53">
        <f t="shared" si="23"/>
        <v>0</v>
      </c>
      <c r="P55" s="53">
        <f t="shared" si="24"/>
        <v>0</v>
      </c>
      <c r="Q55" s="53">
        <f t="shared" si="25"/>
        <v>0</v>
      </c>
      <c r="R55" s="84">
        <f t="shared" si="26"/>
        <v>37.645000000000003</v>
      </c>
      <c r="S55" s="53"/>
      <c r="T55" s="53"/>
    </row>
    <row r="56" spans="3:20" x14ac:dyDescent="0.25">
      <c r="C56" s="55" t="s">
        <v>383</v>
      </c>
      <c r="D56">
        <v>6</v>
      </c>
      <c r="E56" t="s">
        <v>347</v>
      </c>
      <c r="F56">
        <v>0.15</v>
      </c>
      <c r="G56" s="38">
        <f t="shared" si="19"/>
        <v>0.89999999999999991</v>
      </c>
      <c r="H56" s="57">
        <v>0</v>
      </c>
      <c r="I56" s="38">
        <f t="shared" si="20"/>
        <v>0.89999999999999991</v>
      </c>
      <c r="J56" s="53">
        <f t="shared" si="29"/>
        <v>75.290000000000006</v>
      </c>
      <c r="K56" s="53">
        <v>0</v>
      </c>
      <c r="L56" s="53">
        <v>0</v>
      </c>
      <c r="M56" s="53">
        <v>0</v>
      </c>
      <c r="N56" s="53">
        <f t="shared" si="22"/>
        <v>67.760999999999996</v>
      </c>
      <c r="O56" s="53">
        <f t="shared" si="23"/>
        <v>0</v>
      </c>
      <c r="P56" s="53">
        <f t="shared" si="24"/>
        <v>0</v>
      </c>
      <c r="Q56" s="53">
        <f t="shared" si="25"/>
        <v>0</v>
      </c>
      <c r="R56" s="84">
        <f t="shared" si="26"/>
        <v>67.760999999999996</v>
      </c>
      <c r="S56" s="53"/>
      <c r="T56" s="53"/>
    </row>
    <row r="57" spans="3:20" x14ac:dyDescent="0.25">
      <c r="C57" s="55" t="s">
        <v>384</v>
      </c>
      <c r="D57">
        <v>275</v>
      </c>
      <c r="E57" t="s">
        <v>365</v>
      </c>
      <c r="F57">
        <v>7.4999999999999997E-2</v>
      </c>
      <c r="G57" s="38">
        <f t="shared" si="19"/>
        <v>20.625</v>
      </c>
      <c r="H57" s="57">
        <v>0</v>
      </c>
      <c r="I57" s="38">
        <f t="shared" si="20"/>
        <v>20.625</v>
      </c>
      <c r="J57" s="53">
        <f t="shared" si="29"/>
        <v>75.290000000000006</v>
      </c>
      <c r="K57" s="53">
        <v>0.75</v>
      </c>
      <c r="L57" s="53">
        <v>0</v>
      </c>
      <c r="M57" s="53">
        <v>0</v>
      </c>
      <c r="N57" s="53">
        <f t="shared" si="22"/>
        <v>1552.85625</v>
      </c>
      <c r="O57" s="53">
        <f t="shared" si="23"/>
        <v>206.25</v>
      </c>
      <c r="P57" s="53">
        <f t="shared" si="24"/>
        <v>0</v>
      </c>
      <c r="Q57" s="53">
        <f t="shared" si="25"/>
        <v>0</v>
      </c>
      <c r="R57" s="84">
        <f t="shared" si="26"/>
        <v>1759.10625</v>
      </c>
      <c r="S57" s="53"/>
      <c r="T57" s="53"/>
    </row>
    <row r="58" spans="3:20" x14ac:dyDescent="0.25">
      <c r="C58" s="59" t="s">
        <v>386</v>
      </c>
      <c r="D58" s="31"/>
      <c r="E58" s="31"/>
      <c r="F58" s="31"/>
      <c r="G58" s="31"/>
      <c r="H58" s="58"/>
      <c r="I58" s="31"/>
      <c r="J58" s="61"/>
      <c r="K58" s="61"/>
      <c r="L58" s="61"/>
      <c r="M58" s="61"/>
      <c r="N58" s="61"/>
      <c r="O58" s="61"/>
      <c r="P58" s="61"/>
      <c r="Q58" s="61"/>
      <c r="R58" s="86"/>
      <c r="S58" s="61"/>
      <c r="T58" s="61"/>
    </row>
    <row r="59" spans="3:20" x14ac:dyDescent="0.25">
      <c r="C59" s="55" t="s">
        <v>387</v>
      </c>
      <c r="D59">
        <v>85</v>
      </c>
      <c r="E59" t="s">
        <v>365</v>
      </c>
      <c r="F59">
        <v>7.4999999999999997E-2</v>
      </c>
      <c r="G59">
        <f t="shared" si="19"/>
        <v>6.375</v>
      </c>
      <c r="H59" s="57">
        <v>0</v>
      </c>
      <c r="I59">
        <f t="shared" si="20"/>
        <v>6.375</v>
      </c>
      <c r="J59" s="53">
        <f t="shared" ref="J59:J63" si="30">$J$4</f>
        <v>75.290000000000006</v>
      </c>
      <c r="K59" s="53">
        <v>2.5</v>
      </c>
      <c r="L59" s="53">
        <v>0</v>
      </c>
      <c r="M59" s="53">
        <v>0</v>
      </c>
      <c r="N59" s="53">
        <f t="shared" si="22"/>
        <v>479.97375000000005</v>
      </c>
      <c r="O59" s="53">
        <f t="shared" si="23"/>
        <v>212.5</v>
      </c>
      <c r="P59" s="53">
        <f t="shared" si="24"/>
        <v>0</v>
      </c>
      <c r="Q59" s="53">
        <f t="shared" si="25"/>
        <v>0</v>
      </c>
      <c r="R59" s="84">
        <f t="shared" si="26"/>
        <v>692.47375000000011</v>
      </c>
      <c r="S59" s="53"/>
      <c r="T59" s="53"/>
    </row>
    <row r="60" spans="3:20" x14ac:dyDescent="0.25">
      <c r="C60" s="55" t="s">
        <v>381</v>
      </c>
      <c r="D60">
        <v>20</v>
      </c>
      <c r="E60" t="s">
        <v>365</v>
      </c>
      <c r="F60">
        <v>0.25</v>
      </c>
      <c r="G60">
        <f t="shared" si="19"/>
        <v>5</v>
      </c>
      <c r="H60" s="57">
        <v>0</v>
      </c>
      <c r="I60">
        <f t="shared" si="20"/>
        <v>5</v>
      </c>
      <c r="J60" s="53">
        <f t="shared" si="30"/>
        <v>75.290000000000006</v>
      </c>
      <c r="K60" s="53">
        <v>8.5</v>
      </c>
      <c r="L60" s="53">
        <v>0</v>
      </c>
      <c r="M60" s="53">
        <v>0</v>
      </c>
      <c r="N60" s="53">
        <f t="shared" si="22"/>
        <v>376.45000000000005</v>
      </c>
      <c r="O60" s="53">
        <f t="shared" si="23"/>
        <v>170</v>
      </c>
      <c r="P60" s="53">
        <f t="shared" si="24"/>
        <v>0</v>
      </c>
      <c r="Q60" s="53">
        <f t="shared" si="25"/>
        <v>0</v>
      </c>
      <c r="R60" s="84">
        <f t="shared" si="26"/>
        <v>546.45000000000005</v>
      </c>
      <c r="S60" s="53"/>
      <c r="T60" s="53"/>
    </row>
    <row r="61" spans="3:20" x14ac:dyDescent="0.25">
      <c r="C61" s="55" t="s">
        <v>382</v>
      </c>
      <c r="D61">
        <v>1</v>
      </c>
      <c r="E61" t="s">
        <v>347</v>
      </c>
      <c r="F61">
        <v>0.25</v>
      </c>
      <c r="G61">
        <f t="shared" si="19"/>
        <v>0.25</v>
      </c>
      <c r="H61" s="57">
        <v>0</v>
      </c>
      <c r="I61">
        <f t="shared" si="20"/>
        <v>0.25</v>
      </c>
      <c r="J61" s="53">
        <f t="shared" si="30"/>
        <v>75.290000000000006</v>
      </c>
      <c r="K61" s="53">
        <v>10</v>
      </c>
      <c r="L61" s="53">
        <v>0</v>
      </c>
      <c r="M61" s="53">
        <v>0</v>
      </c>
      <c r="N61" s="53">
        <f t="shared" si="22"/>
        <v>18.822500000000002</v>
      </c>
      <c r="O61" s="53">
        <f t="shared" si="23"/>
        <v>10</v>
      </c>
      <c r="P61" s="53">
        <f t="shared" si="24"/>
        <v>0</v>
      </c>
      <c r="Q61" s="53">
        <f t="shared" si="25"/>
        <v>0</v>
      </c>
      <c r="R61" s="84">
        <f t="shared" si="26"/>
        <v>28.822500000000002</v>
      </c>
      <c r="S61" s="53"/>
      <c r="T61" s="53"/>
    </row>
    <row r="62" spans="3:20" x14ac:dyDescent="0.25">
      <c r="C62" s="55" t="s">
        <v>383</v>
      </c>
      <c r="D62">
        <v>6</v>
      </c>
      <c r="E62" t="s">
        <v>347</v>
      </c>
      <c r="F62">
        <v>0.15</v>
      </c>
      <c r="G62">
        <f t="shared" si="19"/>
        <v>0.89999999999999991</v>
      </c>
      <c r="H62" s="57">
        <v>0</v>
      </c>
      <c r="I62">
        <f t="shared" si="20"/>
        <v>0.89999999999999991</v>
      </c>
      <c r="J62" s="53">
        <f t="shared" si="30"/>
        <v>75.290000000000006</v>
      </c>
      <c r="K62" s="53">
        <v>0</v>
      </c>
      <c r="L62" s="53">
        <v>0</v>
      </c>
      <c r="M62" s="53">
        <v>0</v>
      </c>
      <c r="N62" s="53">
        <f t="shared" si="22"/>
        <v>67.760999999999996</v>
      </c>
      <c r="O62" s="53">
        <f t="shared" si="23"/>
        <v>0</v>
      </c>
      <c r="P62" s="53">
        <f t="shared" si="24"/>
        <v>0</v>
      </c>
      <c r="Q62" s="53">
        <f t="shared" si="25"/>
        <v>0</v>
      </c>
      <c r="R62" s="84">
        <f t="shared" si="26"/>
        <v>67.760999999999996</v>
      </c>
      <c r="S62" s="53"/>
      <c r="T62" s="53"/>
    </row>
    <row r="63" spans="3:20" x14ac:dyDescent="0.25">
      <c r="C63" s="55" t="s">
        <v>384</v>
      </c>
      <c r="D63">
        <v>25</v>
      </c>
      <c r="E63" t="s">
        <v>365</v>
      </c>
      <c r="F63">
        <v>0.15</v>
      </c>
      <c r="G63">
        <f t="shared" si="19"/>
        <v>3.75</v>
      </c>
      <c r="H63" s="57">
        <v>0</v>
      </c>
      <c r="I63">
        <f t="shared" si="20"/>
        <v>3.75</v>
      </c>
      <c r="J63" s="53">
        <f t="shared" si="30"/>
        <v>75.290000000000006</v>
      </c>
      <c r="K63" s="53">
        <v>0</v>
      </c>
      <c r="L63" s="53">
        <v>0</v>
      </c>
      <c r="M63" s="53">
        <v>0</v>
      </c>
      <c r="N63" s="53">
        <f t="shared" si="22"/>
        <v>282.33750000000003</v>
      </c>
      <c r="O63" s="53">
        <f t="shared" si="23"/>
        <v>0</v>
      </c>
      <c r="P63" s="53">
        <f t="shared" si="24"/>
        <v>0</v>
      </c>
      <c r="Q63" s="53">
        <f t="shared" si="25"/>
        <v>0</v>
      </c>
      <c r="R63" s="84">
        <f t="shared" si="26"/>
        <v>282.33750000000003</v>
      </c>
      <c r="S63" s="53"/>
      <c r="T63" s="53"/>
    </row>
    <row r="64" spans="3:20" x14ac:dyDescent="0.25">
      <c r="C64" s="59" t="s">
        <v>388</v>
      </c>
      <c r="D64" s="31"/>
      <c r="E64" s="31"/>
      <c r="F64" s="31"/>
      <c r="G64" s="31"/>
      <c r="H64" s="58"/>
      <c r="I64" s="31"/>
      <c r="J64" s="61"/>
      <c r="K64" s="61"/>
      <c r="L64" s="61"/>
      <c r="M64" s="61"/>
      <c r="N64" s="61"/>
      <c r="O64" s="61"/>
      <c r="P64" s="61"/>
      <c r="Q64" s="61"/>
      <c r="R64" s="86"/>
      <c r="S64" s="61"/>
      <c r="T64" s="61"/>
    </row>
    <row r="65" spans="3:20" x14ac:dyDescent="0.25">
      <c r="C65" s="55" t="s">
        <v>380</v>
      </c>
      <c r="D65">
        <v>85</v>
      </c>
      <c r="F65">
        <v>7.4999999999999997E-2</v>
      </c>
      <c r="G65">
        <f t="shared" si="19"/>
        <v>6.375</v>
      </c>
      <c r="H65" s="57">
        <v>0</v>
      </c>
      <c r="I65">
        <f t="shared" si="20"/>
        <v>6.375</v>
      </c>
      <c r="J65" s="53">
        <f t="shared" ref="J65:J69" si="31">$J$4</f>
        <v>75.290000000000006</v>
      </c>
      <c r="K65" s="53">
        <v>1.5</v>
      </c>
      <c r="L65" s="53">
        <v>0</v>
      </c>
      <c r="M65" s="53">
        <v>0</v>
      </c>
      <c r="N65" s="53">
        <f t="shared" si="22"/>
        <v>479.97375000000005</v>
      </c>
      <c r="O65" s="53">
        <f t="shared" si="23"/>
        <v>127.5</v>
      </c>
      <c r="P65" s="53">
        <f t="shared" si="24"/>
        <v>0</v>
      </c>
      <c r="Q65" s="53">
        <f t="shared" si="25"/>
        <v>0</v>
      </c>
      <c r="R65" s="84">
        <f t="shared" si="26"/>
        <v>607.47375000000011</v>
      </c>
      <c r="S65" s="53"/>
      <c r="T65" s="53"/>
    </row>
    <row r="66" spans="3:20" x14ac:dyDescent="0.25">
      <c r="C66" s="55" t="s">
        <v>381</v>
      </c>
      <c r="D66">
        <v>20</v>
      </c>
      <c r="E66" t="s">
        <v>365</v>
      </c>
      <c r="F66">
        <v>0.25</v>
      </c>
      <c r="G66">
        <f t="shared" si="19"/>
        <v>5</v>
      </c>
      <c r="H66" s="48">
        <v>0</v>
      </c>
      <c r="I66">
        <f t="shared" si="20"/>
        <v>5</v>
      </c>
      <c r="J66" s="53">
        <f t="shared" si="31"/>
        <v>75.290000000000006</v>
      </c>
      <c r="K66" s="53">
        <v>8.5</v>
      </c>
      <c r="L66" s="53">
        <v>0</v>
      </c>
      <c r="M66" s="53">
        <v>0</v>
      </c>
      <c r="N66" s="53">
        <f t="shared" si="22"/>
        <v>376.45000000000005</v>
      </c>
      <c r="O66" s="53">
        <f t="shared" si="23"/>
        <v>170</v>
      </c>
      <c r="P66" s="53">
        <f t="shared" si="24"/>
        <v>0</v>
      </c>
      <c r="Q66" s="53">
        <f t="shared" si="25"/>
        <v>0</v>
      </c>
      <c r="R66" s="84">
        <f t="shared" si="26"/>
        <v>546.45000000000005</v>
      </c>
      <c r="S66" s="53"/>
      <c r="T66" s="53"/>
    </row>
    <row r="67" spans="3:20" x14ac:dyDescent="0.25">
      <c r="C67" s="55" t="s">
        <v>382</v>
      </c>
      <c r="D67">
        <v>1</v>
      </c>
      <c r="E67" t="s">
        <v>347</v>
      </c>
      <c r="F67">
        <v>0.25</v>
      </c>
      <c r="G67">
        <f t="shared" si="19"/>
        <v>0.25</v>
      </c>
      <c r="H67" s="48">
        <v>0</v>
      </c>
      <c r="I67">
        <f t="shared" si="20"/>
        <v>0.25</v>
      </c>
      <c r="J67" s="53">
        <f t="shared" si="31"/>
        <v>75.290000000000006</v>
      </c>
      <c r="K67" s="53">
        <v>10</v>
      </c>
      <c r="L67" s="53">
        <v>0</v>
      </c>
      <c r="M67" s="53">
        <v>0</v>
      </c>
      <c r="N67" s="53">
        <f t="shared" si="22"/>
        <v>18.822500000000002</v>
      </c>
      <c r="O67" s="53">
        <f t="shared" si="23"/>
        <v>10</v>
      </c>
      <c r="P67" s="53">
        <f t="shared" si="24"/>
        <v>0</v>
      </c>
      <c r="Q67" s="53">
        <f t="shared" si="25"/>
        <v>0</v>
      </c>
      <c r="R67" s="84">
        <f t="shared" si="26"/>
        <v>28.822500000000002</v>
      </c>
      <c r="S67" s="53"/>
      <c r="T67" s="53"/>
    </row>
    <row r="68" spans="3:20" x14ac:dyDescent="0.25">
      <c r="C68" s="55" t="s">
        <v>383</v>
      </c>
      <c r="D68">
        <v>6</v>
      </c>
      <c r="E68" t="s">
        <v>347</v>
      </c>
      <c r="F68">
        <v>0.15</v>
      </c>
      <c r="G68">
        <f t="shared" si="19"/>
        <v>0.89999999999999991</v>
      </c>
      <c r="H68" s="48">
        <v>0</v>
      </c>
      <c r="I68">
        <f t="shared" si="20"/>
        <v>0.89999999999999991</v>
      </c>
      <c r="J68" s="53">
        <f t="shared" si="31"/>
        <v>75.290000000000006</v>
      </c>
      <c r="K68" s="53">
        <v>2.5</v>
      </c>
      <c r="L68" s="53">
        <v>0</v>
      </c>
      <c r="M68" s="53">
        <v>0</v>
      </c>
      <c r="N68" s="53">
        <f t="shared" si="22"/>
        <v>67.760999999999996</v>
      </c>
      <c r="O68" s="53">
        <f t="shared" si="23"/>
        <v>15</v>
      </c>
      <c r="P68" s="53">
        <f t="shared" si="24"/>
        <v>0</v>
      </c>
      <c r="Q68" s="53">
        <f t="shared" si="25"/>
        <v>0</v>
      </c>
      <c r="R68" s="84">
        <f t="shared" si="26"/>
        <v>82.760999999999996</v>
      </c>
      <c r="S68" s="53"/>
      <c r="T68" s="53"/>
    </row>
    <row r="69" spans="3:20" x14ac:dyDescent="0.25">
      <c r="C69" s="55" t="s">
        <v>384</v>
      </c>
      <c r="D69">
        <v>25</v>
      </c>
      <c r="E69" t="s">
        <v>365</v>
      </c>
      <c r="F69">
        <v>7.4999999999999997E-2</v>
      </c>
      <c r="G69">
        <f t="shared" si="19"/>
        <v>1.875</v>
      </c>
      <c r="H69" s="48">
        <v>0</v>
      </c>
      <c r="I69">
        <f t="shared" si="20"/>
        <v>1.875</v>
      </c>
      <c r="J69" s="53">
        <f t="shared" si="31"/>
        <v>75.290000000000006</v>
      </c>
      <c r="K69" s="53">
        <v>2.5</v>
      </c>
      <c r="L69" s="53">
        <v>0</v>
      </c>
      <c r="M69" s="53">
        <v>0</v>
      </c>
      <c r="N69" s="53">
        <f t="shared" si="22"/>
        <v>141.16875000000002</v>
      </c>
      <c r="O69" s="53">
        <f t="shared" si="23"/>
        <v>62.5</v>
      </c>
      <c r="P69" s="53">
        <f t="shared" si="24"/>
        <v>0</v>
      </c>
      <c r="Q69" s="53">
        <f t="shared" si="25"/>
        <v>0</v>
      </c>
      <c r="R69" s="84">
        <f t="shared" si="26"/>
        <v>203.66875000000002</v>
      </c>
      <c r="S69" s="53"/>
      <c r="T69" s="53"/>
    </row>
    <row r="70" spans="3:20" x14ac:dyDescent="0.25">
      <c r="C70" s="62" t="s">
        <v>389</v>
      </c>
      <c r="D70" s="31"/>
      <c r="E70" s="31"/>
      <c r="F70" s="31"/>
      <c r="G70" s="31"/>
      <c r="H70" s="63"/>
      <c r="I70" s="31"/>
      <c r="J70" s="61"/>
      <c r="K70" s="61"/>
      <c r="L70" s="61"/>
      <c r="M70" s="61"/>
      <c r="N70" s="61"/>
      <c r="O70" s="61"/>
      <c r="P70" s="61"/>
      <c r="Q70" s="61"/>
      <c r="R70" s="86"/>
      <c r="S70" s="61"/>
      <c r="T70" s="61"/>
    </row>
    <row r="71" spans="3:20" x14ac:dyDescent="0.25">
      <c r="C71" s="55" t="s">
        <v>390</v>
      </c>
      <c r="D71">
        <v>865</v>
      </c>
      <c r="E71" t="s">
        <v>365</v>
      </c>
      <c r="F71">
        <v>1</v>
      </c>
      <c r="G71">
        <f t="shared" ref="G71:G110" si="32">F71*D71</f>
        <v>865</v>
      </c>
      <c r="H71" s="48">
        <v>0</v>
      </c>
      <c r="I71">
        <f t="shared" ref="I71:I110" si="33">G71*(H71+1)</f>
        <v>865</v>
      </c>
      <c r="J71" s="53">
        <f t="shared" ref="J71:J78" si="34">$J$4</f>
        <v>75.290000000000006</v>
      </c>
      <c r="K71" s="53">
        <v>15</v>
      </c>
      <c r="L71" s="53">
        <v>0</v>
      </c>
      <c r="M71" s="53">
        <v>0</v>
      </c>
      <c r="N71" s="53">
        <f t="shared" ref="N71:N110" si="35">J71*I71</f>
        <v>65125.850000000006</v>
      </c>
      <c r="O71" s="53">
        <f t="shared" ref="O71:O110" si="36">K71*D71</f>
        <v>12975</v>
      </c>
      <c r="P71" s="53">
        <f t="shared" ref="P71:P110" si="37">L71*D71</f>
        <v>0</v>
      </c>
      <c r="Q71" s="53">
        <f t="shared" ref="Q71:Q110" si="38">M71*D71</f>
        <v>0</v>
      </c>
      <c r="R71" s="84">
        <f t="shared" ref="R71:R84" si="39">SUM(N71:Q71)</f>
        <v>78100.850000000006</v>
      </c>
      <c r="S71" s="53">
        <f>R71*2</f>
        <v>156201.70000000001</v>
      </c>
      <c r="T71" s="53"/>
    </row>
    <row r="72" spans="3:20" x14ac:dyDescent="0.25">
      <c r="C72" s="55" t="s">
        <v>366</v>
      </c>
      <c r="D72">
        <v>275</v>
      </c>
      <c r="E72" t="s">
        <v>365</v>
      </c>
      <c r="F72">
        <v>0.75</v>
      </c>
      <c r="G72">
        <f t="shared" si="32"/>
        <v>206.25</v>
      </c>
      <c r="H72" s="48">
        <v>0</v>
      </c>
      <c r="I72">
        <f t="shared" si="33"/>
        <v>206.25</v>
      </c>
      <c r="J72" s="53">
        <f t="shared" si="34"/>
        <v>75.290000000000006</v>
      </c>
      <c r="K72" s="53">
        <v>7</v>
      </c>
      <c r="L72" s="53">
        <v>0</v>
      </c>
      <c r="M72" s="53">
        <v>0</v>
      </c>
      <c r="N72" s="53">
        <f t="shared" si="35"/>
        <v>15528.562500000002</v>
      </c>
      <c r="O72" s="53">
        <f t="shared" si="36"/>
        <v>1925</v>
      </c>
      <c r="P72" s="53">
        <f t="shared" si="37"/>
        <v>0</v>
      </c>
      <c r="Q72" s="53">
        <f t="shared" si="38"/>
        <v>0</v>
      </c>
      <c r="R72" s="84">
        <f t="shared" si="39"/>
        <v>17453.5625</v>
      </c>
      <c r="S72" s="53">
        <f t="shared" ref="S72:S73" si="40">R72*2</f>
        <v>34907.125</v>
      </c>
      <c r="T72" s="53"/>
    </row>
    <row r="73" spans="3:20" x14ac:dyDescent="0.25">
      <c r="C73" s="55" t="s">
        <v>367</v>
      </c>
      <c r="D73">
        <v>6</v>
      </c>
      <c r="E73" t="s">
        <v>347</v>
      </c>
      <c r="F73">
        <v>4</v>
      </c>
      <c r="G73">
        <f t="shared" si="32"/>
        <v>24</v>
      </c>
      <c r="H73" s="48">
        <v>0</v>
      </c>
      <c r="I73">
        <f t="shared" si="33"/>
        <v>24</v>
      </c>
      <c r="J73" s="53">
        <f t="shared" si="34"/>
        <v>75.290000000000006</v>
      </c>
      <c r="K73" s="53">
        <v>25</v>
      </c>
      <c r="L73" s="53">
        <v>0</v>
      </c>
      <c r="M73" s="53">
        <v>0</v>
      </c>
      <c r="N73" s="53">
        <f t="shared" si="35"/>
        <v>1806.96</v>
      </c>
      <c r="O73" s="53">
        <f t="shared" si="36"/>
        <v>150</v>
      </c>
      <c r="P73" s="53">
        <f t="shared" si="37"/>
        <v>0</v>
      </c>
      <c r="Q73" s="53">
        <f t="shared" si="38"/>
        <v>0</v>
      </c>
      <c r="R73" s="84">
        <f t="shared" si="39"/>
        <v>1956.96</v>
      </c>
      <c r="S73" s="53">
        <f t="shared" si="40"/>
        <v>3913.92</v>
      </c>
      <c r="T73" s="53"/>
    </row>
    <row r="74" spans="3:20" x14ac:dyDescent="0.25">
      <c r="C74" s="55" t="s">
        <v>368</v>
      </c>
      <c r="D74">
        <f>2*250</f>
        <v>500</v>
      </c>
      <c r="E74" t="s">
        <v>365</v>
      </c>
      <c r="F74">
        <v>0.75</v>
      </c>
      <c r="G74">
        <f t="shared" si="32"/>
        <v>375</v>
      </c>
      <c r="H74" s="48">
        <v>0</v>
      </c>
      <c r="I74">
        <f t="shared" si="33"/>
        <v>375</v>
      </c>
      <c r="J74" s="53">
        <f t="shared" si="34"/>
        <v>75.290000000000006</v>
      </c>
      <c r="K74" s="53">
        <v>35</v>
      </c>
      <c r="L74" s="53">
        <v>0</v>
      </c>
      <c r="M74" s="53">
        <v>0</v>
      </c>
      <c r="N74" s="53">
        <f t="shared" si="35"/>
        <v>28233.750000000004</v>
      </c>
      <c r="O74" s="53">
        <f t="shared" si="36"/>
        <v>17500</v>
      </c>
      <c r="P74" s="53">
        <f t="shared" si="37"/>
        <v>0</v>
      </c>
      <c r="Q74" s="53">
        <f t="shared" si="38"/>
        <v>0</v>
      </c>
      <c r="R74" s="84">
        <f t="shared" si="39"/>
        <v>45733.75</v>
      </c>
      <c r="S74" s="53"/>
      <c r="T74" s="53"/>
    </row>
    <row r="75" spans="3:20" x14ac:dyDescent="0.25">
      <c r="C75" s="55" t="s">
        <v>369</v>
      </c>
      <c r="D75">
        <v>4</v>
      </c>
      <c r="E75" t="s">
        <v>347</v>
      </c>
      <c r="F75">
        <v>1</v>
      </c>
      <c r="G75">
        <f t="shared" si="32"/>
        <v>4</v>
      </c>
      <c r="H75" s="48">
        <v>0</v>
      </c>
      <c r="I75">
        <f t="shared" si="33"/>
        <v>4</v>
      </c>
      <c r="J75" s="53">
        <f t="shared" si="34"/>
        <v>75.290000000000006</v>
      </c>
      <c r="K75" s="53">
        <v>200</v>
      </c>
      <c r="L75" s="53">
        <v>0</v>
      </c>
      <c r="M75" s="53">
        <v>0</v>
      </c>
      <c r="N75" s="53">
        <f t="shared" si="35"/>
        <v>301.16000000000003</v>
      </c>
      <c r="O75" s="53">
        <f t="shared" si="36"/>
        <v>800</v>
      </c>
      <c r="P75" s="53">
        <f t="shared" si="37"/>
        <v>0</v>
      </c>
      <c r="Q75" s="53">
        <f t="shared" si="38"/>
        <v>0</v>
      </c>
      <c r="R75" s="84">
        <f t="shared" si="39"/>
        <v>1101.1600000000001</v>
      </c>
      <c r="S75" s="53"/>
      <c r="T75" s="53"/>
    </row>
    <row r="76" spans="3:20" x14ac:dyDescent="0.25">
      <c r="C76" s="55" t="s">
        <v>370</v>
      </c>
      <c r="D76">
        <v>4</v>
      </c>
      <c r="E76" t="s">
        <v>347</v>
      </c>
      <c r="F76">
        <v>0.5</v>
      </c>
      <c r="G76">
        <f t="shared" si="32"/>
        <v>2</v>
      </c>
      <c r="H76" s="48">
        <v>0</v>
      </c>
      <c r="I76">
        <f t="shared" si="33"/>
        <v>2</v>
      </c>
      <c r="J76" s="53">
        <f t="shared" si="34"/>
        <v>75.290000000000006</v>
      </c>
      <c r="K76" s="53">
        <v>75</v>
      </c>
      <c r="L76" s="53">
        <v>0</v>
      </c>
      <c r="M76" s="53">
        <v>0</v>
      </c>
      <c r="N76" s="53">
        <f t="shared" si="35"/>
        <v>150.58000000000001</v>
      </c>
      <c r="O76" s="53">
        <f t="shared" si="36"/>
        <v>300</v>
      </c>
      <c r="P76" s="53">
        <f t="shared" si="37"/>
        <v>0</v>
      </c>
      <c r="Q76" s="53">
        <f t="shared" si="38"/>
        <v>0</v>
      </c>
      <c r="R76" s="84">
        <f t="shared" si="39"/>
        <v>450.58000000000004</v>
      </c>
      <c r="S76" s="53"/>
      <c r="T76" s="53"/>
    </row>
    <row r="77" spans="3:20" x14ac:dyDescent="0.25">
      <c r="C77" s="55" t="s">
        <v>371</v>
      </c>
      <c r="D77">
        <v>4</v>
      </c>
      <c r="E77" t="s">
        <v>347</v>
      </c>
      <c r="F77">
        <v>0.5</v>
      </c>
      <c r="G77">
        <f t="shared" si="32"/>
        <v>2</v>
      </c>
      <c r="H77" s="48">
        <v>0</v>
      </c>
      <c r="I77">
        <f t="shared" si="33"/>
        <v>2</v>
      </c>
      <c r="J77" s="53">
        <f t="shared" si="34"/>
        <v>75.290000000000006</v>
      </c>
      <c r="K77" s="53">
        <v>2.5</v>
      </c>
      <c r="L77" s="53">
        <v>0</v>
      </c>
      <c r="M77" s="53">
        <v>0</v>
      </c>
      <c r="N77" s="53">
        <f t="shared" si="35"/>
        <v>150.58000000000001</v>
      </c>
      <c r="O77" s="53">
        <f t="shared" si="36"/>
        <v>10</v>
      </c>
      <c r="P77" s="53">
        <f t="shared" si="37"/>
        <v>0</v>
      </c>
      <c r="Q77" s="53">
        <f t="shared" si="38"/>
        <v>0</v>
      </c>
      <c r="R77" s="84">
        <f t="shared" si="39"/>
        <v>160.58000000000001</v>
      </c>
      <c r="S77" s="53"/>
      <c r="T77" s="53"/>
    </row>
    <row r="78" spans="3:20" x14ac:dyDescent="0.25">
      <c r="C78" s="55" t="s">
        <v>382</v>
      </c>
      <c r="D78">
        <v>4</v>
      </c>
      <c r="E78" t="s">
        <v>347</v>
      </c>
      <c r="F78">
        <v>2</v>
      </c>
      <c r="G78">
        <f t="shared" si="32"/>
        <v>8</v>
      </c>
      <c r="H78" s="48">
        <v>0</v>
      </c>
      <c r="I78">
        <f t="shared" si="33"/>
        <v>8</v>
      </c>
      <c r="J78" s="53">
        <f t="shared" si="34"/>
        <v>75.290000000000006</v>
      </c>
      <c r="K78" s="53">
        <v>200</v>
      </c>
      <c r="L78" s="53">
        <v>0</v>
      </c>
      <c r="M78" s="53">
        <v>0</v>
      </c>
      <c r="N78" s="53">
        <f t="shared" si="35"/>
        <v>602.32000000000005</v>
      </c>
      <c r="O78" s="53">
        <f t="shared" si="36"/>
        <v>800</v>
      </c>
      <c r="P78" s="53">
        <f t="shared" si="37"/>
        <v>0</v>
      </c>
      <c r="Q78" s="53">
        <f t="shared" si="38"/>
        <v>0</v>
      </c>
      <c r="R78" s="84">
        <f t="shared" si="39"/>
        <v>1402.3200000000002</v>
      </c>
      <c r="S78" s="53"/>
      <c r="T78" s="53"/>
    </row>
    <row r="79" spans="3:20" x14ac:dyDescent="0.25">
      <c r="C79" s="62" t="s">
        <v>391</v>
      </c>
      <c r="D79" s="31"/>
      <c r="E79" s="31"/>
      <c r="F79" s="31"/>
      <c r="G79" s="31"/>
      <c r="H79" s="63"/>
      <c r="I79" s="31"/>
      <c r="J79" s="61"/>
      <c r="K79" s="61"/>
      <c r="L79" s="61"/>
      <c r="M79" s="61"/>
      <c r="N79" s="61"/>
      <c r="O79" s="61"/>
      <c r="P79" s="61"/>
      <c r="Q79" s="61"/>
      <c r="R79" s="86"/>
      <c r="S79" s="61"/>
      <c r="T79" s="61"/>
    </row>
    <row r="80" spans="3:20" x14ac:dyDescent="0.25">
      <c r="C80" s="55" t="s">
        <v>387</v>
      </c>
      <c r="D80">
        <v>85</v>
      </c>
      <c r="E80" t="s">
        <v>365</v>
      </c>
      <c r="F80">
        <v>7.4999999999999997E-2</v>
      </c>
      <c r="G80">
        <f t="shared" si="32"/>
        <v>6.375</v>
      </c>
      <c r="H80" s="48">
        <v>0</v>
      </c>
      <c r="I80">
        <f t="shared" si="33"/>
        <v>6.375</v>
      </c>
      <c r="J80" s="53">
        <f t="shared" ref="J80:J84" si="41">$J$4</f>
        <v>75.290000000000006</v>
      </c>
      <c r="K80" s="53">
        <v>2.5</v>
      </c>
      <c r="L80" s="53">
        <v>0</v>
      </c>
      <c r="M80" s="53">
        <v>0</v>
      </c>
      <c r="N80" s="53">
        <f t="shared" si="35"/>
        <v>479.97375000000005</v>
      </c>
      <c r="O80" s="53">
        <f t="shared" si="36"/>
        <v>212.5</v>
      </c>
      <c r="P80" s="53">
        <f t="shared" si="37"/>
        <v>0</v>
      </c>
      <c r="Q80" s="53">
        <f t="shared" si="38"/>
        <v>0</v>
      </c>
      <c r="R80" s="84">
        <f t="shared" si="39"/>
        <v>692.47375000000011</v>
      </c>
      <c r="S80" s="53"/>
      <c r="T80" s="53"/>
    </row>
    <row r="81" spans="3:20" x14ac:dyDescent="0.25">
      <c r="C81" s="55" t="s">
        <v>381</v>
      </c>
      <c r="D81">
        <v>20</v>
      </c>
      <c r="E81" t="s">
        <v>365</v>
      </c>
      <c r="F81">
        <v>0.25</v>
      </c>
      <c r="G81">
        <f t="shared" si="32"/>
        <v>5</v>
      </c>
      <c r="H81" s="48">
        <v>0</v>
      </c>
      <c r="I81">
        <f t="shared" si="33"/>
        <v>5</v>
      </c>
      <c r="J81" s="53">
        <f t="shared" si="41"/>
        <v>75.290000000000006</v>
      </c>
      <c r="K81" s="53">
        <v>8.5</v>
      </c>
      <c r="L81" s="53">
        <v>0</v>
      </c>
      <c r="M81" s="53">
        <v>0</v>
      </c>
      <c r="N81" s="53">
        <f t="shared" si="35"/>
        <v>376.45000000000005</v>
      </c>
      <c r="O81" s="53">
        <f t="shared" si="36"/>
        <v>170</v>
      </c>
      <c r="P81" s="53">
        <f t="shared" si="37"/>
        <v>0</v>
      </c>
      <c r="Q81" s="53">
        <f t="shared" si="38"/>
        <v>0</v>
      </c>
      <c r="R81" s="84">
        <f t="shared" si="39"/>
        <v>546.45000000000005</v>
      </c>
      <c r="S81" s="53"/>
      <c r="T81" s="53"/>
    </row>
    <row r="82" spans="3:20" x14ac:dyDescent="0.25">
      <c r="C82" s="55" t="s">
        <v>382</v>
      </c>
      <c r="D82">
        <v>1</v>
      </c>
      <c r="E82" t="s">
        <v>392</v>
      </c>
      <c r="F82">
        <v>0.25</v>
      </c>
      <c r="G82">
        <f t="shared" si="32"/>
        <v>0.25</v>
      </c>
      <c r="H82" s="48">
        <v>0</v>
      </c>
      <c r="I82">
        <f t="shared" si="33"/>
        <v>0.25</v>
      </c>
      <c r="J82" s="53">
        <f t="shared" si="41"/>
        <v>75.290000000000006</v>
      </c>
      <c r="K82" s="53">
        <v>10</v>
      </c>
      <c r="L82" s="53">
        <v>0</v>
      </c>
      <c r="M82" s="53">
        <v>0</v>
      </c>
      <c r="N82" s="53">
        <f t="shared" si="35"/>
        <v>18.822500000000002</v>
      </c>
      <c r="O82" s="53">
        <f t="shared" si="36"/>
        <v>10</v>
      </c>
      <c r="P82" s="53">
        <f t="shared" si="37"/>
        <v>0</v>
      </c>
      <c r="Q82" s="53">
        <f t="shared" si="38"/>
        <v>0</v>
      </c>
      <c r="R82" s="84">
        <f t="shared" si="39"/>
        <v>28.822500000000002</v>
      </c>
      <c r="S82" s="53"/>
      <c r="T82" s="53"/>
    </row>
    <row r="83" spans="3:20" x14ac:dyDescent="0.25">
      <c r="C83" s="55" t="s">
        <v>383</v>
      </c>
      <c r="D83">
        <v>6</v>
      </c>
      <c r="E83" t="s">
        <v>347</v>
      </c>
      <c r="F83">
        <v>0.15</v>
      </c>
      <c r="G83">
        <f t="shared" si="32"/>
        <v>0.89999999999999991</v>
      </c>
      <c r="H83" s="48">
        <v>0</v>
      </c>
      <c r="I83">
        <f t="shared" si="33"/>
        <v>0.89999999999999991</v>
      </c>
      <c r="J83" s="53">
        <f t="shared" si="41"/>
        <v>75.290000000000006</v>
      </c>
      <c r="K83" s="53">
        <v>2.5</v>
      </c>
      <c r="L83" s="53">
        <v>0</v>
      </c>
      <c r="M83" s="53">
        <v>0</v>
      </c>
      <c r="N83" s="53">
        <f t="shared" si="35"/>
        <v>67.760999999999996</v>
      </c>
      <c r="O83" s="53">
        <f t="shared" si="36"/>
        <v>15</v>
      </c>
      <c r="P83" s="53">
        <f t="shared" si="37"/>
        <v>0</v>
      </c>
      <c r="Q83" s="53">
        <f t="shared" si="38"/>
        <v>0</v>
      </c>
      <c r="R83" s="84">
        <f t="shared" si="39"/>
        <v>82.760999999999996</v>
      </c>
      <c r="S83" s="53"/>
      <c r="T83" s="53"/>
    </row>
    <row r="84" spans="3:20" x14ac:dyDescent="0.25">
      <c r="C84" s="55" t="s">
        <v>384</v>
      </c>
      <c r="D84">
        <v>25</v>
      </c>
      <c r="E84" t="s">
        <v>365</v>
      </c>
      <c r="F84">
        <v>7.4999999999999997E-2</v>
      </c>
      <c r="G84">
        <f t="shared" si="32"/>
        <v>1.875</v>
      </c>
      <c r="H84" s="48">
        <v>0</v>
      </c>
      <c r="I84">
        <f t="shared" si="33"/>
        <v>1.875</v>
      </c>
      <c r="J84" s="53">
        <f t="shared" si="41"/>
        <v>75.290000000000006</v>
      </c>
      <c r="K84" s="53">
        <v>2.5</v>
      </c>
      <c r="L84" s="53">
        <v>0</v>
      </c>
      <c r="M84" s="53">
        <v>0</v>
      </c>
      <c r="N84" s="53">
        <f t="shared" si="35"/>
        <v>141.16875000000002</v>
      </c>
      <c r="O84" s="53">
        <f t="shared" si="36"/>
        <v>62.5</v>
      </c>
      <c r="P84" s="53">
        <f t="shared" si="37"/>
        <v>0</v>
      </c>
      <c r="Q84" s="53">
        <f t="shared" si="38"/>
        <v>0</v>
      </c>
      <c r="R84" s="84">
        <f t="shared" si="39"/>
        <v>203.66875000000002</v>
      </c>
      <c r="S84" s="53"/>
      <c r="T84" s="53"/>
    </row>
    <row r="85" spans="3:20" x14ac:dyDescent="0.25">
      <c r="C85" s="62" t="s">
        <v>393</v>
      </c>
      <c r="D85" s="31"/>
      <c r="E85" s="31"/>
      <c r="F85" s="31"/>
      <c r="G85" s="31"/>
      <c r="H85" s="63"/>
      <c r="I85" s="31"/>
      <c r="J85" s="61"/>
      <c r="K85" s="61"/>
      <c r="L85" s="61"/>
      <c r="M85" s="61"/>
      <c r="N85" s="61"/>
      <c r="O85" s="61"/>
      <c r="P85" s="61"/>
      <c r="Q85" s="61"/>
      <c r="R85" s="86"/>
      <c r="S85" s="61"/>
      <c r="T85" s="61"/>
    </row>
    <row r="86" spans="3:20" x14ac:dyDescent="0.25">
      <c r="C86" s="55" t="s">
        <v>380</v>
      </c>
      <c r="D86">
        <v>85</v>
      </c>
      <c r="E86" t="s">
        <v>365</v>
      </c>
      <c r="F86">
        <v>7.4999999999999997E-2</v>
      </c>
      <c r="G86">
        <f t="shared" si="32"/>
        <v>6.375</v>
      </c>
      <c r="H86" s="48">
        <v>0</v>
      </c>
      <c r="I86">
        <f t="shared" si="33"/>
        <v>6.375</v>
      </c>
      <c r="J86" s="53">
        <f t="shared" ref="J86:J90" si="42">$J$4</f>
        <v>75.290000000000006</v>
      </c>
      <c r="K86" s="53">
        <v>1.5</v>
      </c>
      <c r="L86" s="53">
        <v>0</v>
      </c>
      <c r="M86" s="53">
        <v>0</v>
      </c>
      <c r="N86" s="53">
        <f t="shared" si="35"/>
        <v>479.97375000000005</v>
      </c>
      <c r="O86" s="53">
        <f t="shared" si="36"/>
        <v>127.5</v>
      </c>
      <c r="P86" s="53">
        <f t="shared" si="37"/>
        <v>0</v>
      </c>
      <c r="Q86" s="53">
        <f t="shared" si="38"/>
        <v>0</v>
      </c>
      <c r="R86" s="84">
        <f t="shared" ref="R86:R110" si="43">SUM(N86:Q86)</f>
        <v>607.47375000000011</v>
      </c>
      <c r="S86" s="53"/>
      <c r="T86" s="53"/>
    </row>
    <row r="87" spans="3:20" x14ac:dyDescent="0.25">
      <c r="C87" s="55" t="s">
        <v>381</v>
      </c>
      <c r="D87">
        <v>20</v>
      </c>
      <c r="E87" t="s">
        <v>365</v>
      </c>
      <c r="F87">
        <v>0.25</v>
      </c>
      <c r="G87">
        <f t="shared" si="32"/>
        <v>5</v>
      </c>
      <c r="H87" s="48">
        <v>0</v>
      </c>
      <c r="I87">
        <f t="shared" si="33"/>
        <v>5</v>
      </c>
      <c r="J87" s="53">
        <f t="shared" si="42"/>
        <v>75.290000000000006</v>
      </c>
      <c r="K87" s="53">
        <v>8.5</v>
      </c>
      <c r="L87" s="53">
        <v>0</v>
      </c>
      <c r="M87" s="53">
        <v>0</v>
      </c>
      <c r="N87" s="53">
        <f t="shared" si="35"/>
        <v>376.45000000000005</v>
      </c>
      <c r="O87" s="53">
        <f t="shared" si="36"/>
        <v>170</v>
      </c>
      <c r="P87" s="53">
        <f t="shared" si="37"/>
        <v>0</v>
      </c>
      <c r="Q87" s="53">
        <f t="shared" si="38"/>
        <v>0</v>
      </c>
      <c r="R87" s="84">
        <f t="shared" si="43"/>
        <v>546.45000000000005</v>
      </c>
      <c r="S87" s="53"/>
      <c r="T87" s="53"/>
    </row>
    <row r="88" spans="3:20" x14ac:dyDescent="0.25">
      <c r="C88" s="55" t="s">
        <v>382</v>
      </c>
      <c r="D88">
        <v>0</v>
      </c>
      <c r="E88" t="s">
        <v>392</v>
      </c>
      <c r="F88">
        <v>0.25</v>
      </c>
      <c r="G88">
        <f t="shared" si="32"/>
        <v>0</v>
      </c>
      <c r="H88" s="48">
        <v>0</v>
      </c>
      <c r="I88">
        <f t="shared" si="33"/>
        <v>0</v>
      </c>
      <c r="J88" s="53">
        <f t="shared" si="42"/>
        <v>75.290000000000006</v>
      </c>
      <c r="K88" s="53">
        <v>10</v>
      </c>
      <c r="L88" s="53">
        <v>0</v>
      </c>
      <c r="M88" s="53">
        <v>0</v>
      </c>
      <c r="N88" s="53">
        <f t="shared" si="35"/>
        <v>0</v>
      </c>
      <c r="O88" s="53">
        <f t="shared" si="36"/>
        <v>0</v>
      </c>
      <c r="P88" s="53">
        <f t="shared" si="37"/>
        <v>0</v>
      </c>
      <c r="Q88" s="53">
        <f t="shared" si="38"/>
        <v>0</v>
      </c>
      <c r="R88" s="84">
        <f t="shared" si="43"/>
        <v>0</v>
      </c>
      <c r="S88" s="53"/>
      <c r="T88" s="53"/>
    </row>
    <row r="89" spans="3:20" x14ac:dyDescent="0.25">
      <c r="C89" s="55" t="s">
        <v>383</v>
      </c>
      <c r="D89">
        <v>6</v>
      </c>
      <c r="E89" t="s">
        <v>347</v>
      </c>
      <c r="F89">
        <v>0.15</v>
      </c>
      <c r="G89">
        <f t="shared" si="32"/>
        <v>0.89999999999999991</v>
      </c>
      <c r="H89" s="48">
        <v>0</v>
      </c>
      <c r="I89">
        <f t="shared" si="33"/>
        <v>0.89999999999999991</v>
      </c>
      <c r="J89" s="53">
        <f t="shared" si="42"/>
        <v>75.290000000000006</v>
      </c>
      <c r="K89" s="53">
        <v>2.5</v>
      </c>
      <c r="L89" s="53">
        <v>0</v>
      </c>
      <c r="M89" s="53">
        <v>0</v>
      </c>
      <c r="N89" s="53">
        <f t="shared" si="35"/>
        <v>67.760999999999996</v>
      </c>
      <c r="O89" s="53">
        <f t="shared" si="36"/>
        <v>15</v>
      </c>
      <c r="P89" s="53">
        <f t="shared" si="37"/>
        <v>0</v>
      </c>
      <c r="Q89" s="53">
        <f t="shared" si="38"/>
        <v>0</v>
      </c>
      <c r="R89" s="84">
        <f t="shared" si="43"/>
        <v>82.760999999999996</v>
      </c>
      <c r="S89" s="53"/>
      <c r="T89" s="53"/>
    </row>
    <row r="90" spans="3:20" x14ac:dyDescent="0.25">
      <c r="C90" s="55" t="s">
        <v>384</v>
      </c>
      <c r="D90">
        <v>25</v>
      </c>
      <c r="E90" t="s">
        <v>365</v>
      </c>
      <c r="F90">
        <v>7.4999999999999997E-2</v>
      </c>
      <c r="G90">
        <f t="shared" si="32"/>
        <v>1.875</v>
      </c>
      <c r="H90" s="48">
        <v>0</v>
      </c>
      <c r="I90">
        <f t="shared" si="33"/>
        <v>1.875</v>
      </c>
      <c r="J90" s="53">
        <f t="shared" si="42"/>
        <v>75.290000000000006</v>
      </c>
      <c r="K90" s="53">
        <v>2.5</v>
      </c>
      <c r="L90" s="53">
        <v>0</v>
      </c>
      <c r="M90" s="53">
        <v>0</v>
      </c>
      <c r="N90" s="53">
        <f t="shared" si="35"/>
        <v>141.16875000000002</v>
      </c>
      <c r="O90" s="53">
        <f t="shared" si="36"/>
        <v>62.5</v>
      </c>
      <c r="P90" s="53">
        <f t="shared" si="37"/>
        <v>0</v>
      </c>
      <c r="Q90" s="53">
        <f t="shared" si="38"/>
        <v>0</v>
      </c>
      <c r="R90" s="84">
        <f t="shared" si="43"/>
        <v>203.66875000000002</v>
      </c>
      <c r="S90" s="53"/>
      <c r="T90" s="53"/>
    </row>
    <row r="91" spans="3:20" x14ac:dyDescent="0.25">
      <c r="C91" s="62" t="s">
        <v>394</v>
      </c>
      <c r="D91" s="31"/>
      <c r="E91" s="31"/>
      <c r="F91" s="31"/>
      <c r="G91" s="31"/>
      <c r="H91" s="63"/>
      <c r="I91" s="31"/>
      <c r="J91" s="61"/>
      <c r="K91" s="61"/>
      <c r="L91" s="61"/>
      <c r="M91" s="61"/>
      <c r="N91" s="61"/>
      <c r="O91" s="61"/>
      <c r="P91" s="61"/>
      <c r="Q91" s="61"/>
      <c r="R91" s="86"/>
      <c r="S91" s="61"/>
      <c r="T91" s="61"/>
    </row>
    <row r="92" spans="3:20" x14ac:dyDescent="0.25">
      <c r="C92" s="55" t="s">
        <v>387</v>
      </c>
      <c r="D92">
        <v>85</v>
      </c>
      <c r="E92" t="s">
        <v>365</v>
      </c>
      <c r="F92">
        <v>7.4999999999999997E-2</v>
      </c>
      <c r="G92">
        <f t="shared" si="32"/>
        <v>6.375</v>
      </c>
      <c r="H92" s="48">
        <v>0</v>
      </c>
      <c r="I92">
        <f t="shared" si="33"/>
        <v>6.375</v>
      </c>
      <c r="J92" s="53">
        <f t="shared" ref="J92:J96" si="44">$J$4</f>
        <v>75.290000000000006</v>
      </c>
      <c r="K92" s="53">
        <v>2.5</v>
      </c>
      <c r="L92" s="53">
        <v>0</v>
      </c>
      <c r="M92" s="53">
        <v>0</v>
      </c>
      <c r="N92" s="53">
        <f t="shared" si="35"/>
        <v>479.97375000000005</v>
      </c>
      <c r="O92" s="53">
        <f t="shared" si="36"/>
        <v>212.5</v>
      </c>
      <c r="P92" s="53">
        <f t="shared" si="37"/>
        <v>0</v>
      </c>
      <c r="Q92" s="53">
        <f t="shared" si="38"/>
        <v>0</v>
      </c>
      <c r="R92" s="84">
        <f t="shared" si="43"/>
        <v>692.47375000000011</v>
      </c>
      <c r="S92" s="53"/>
      <c r="T92" s="53"/>
    </row>
    <row r="93" spans="3:20" x14ac:dyDescent="0.25">
      <c r="C93" s="55" t="s">
        <v>381</v>
      </c>
      <c r="D93">
        <v>20</v>
      </c>
      <c r="E93" t="s">
        <v>365</v>
      </c>
      <c r="F93">
        <v>0.25</v>
      </c>
      <c r="G93">
        <f t="shared" si="32"/>
        <v>5</v>
      </c>
      <c r="H93" s="48">
        <v>0</v>
      </c>
      <c r="I93">
        <f t="shared" si="33"/>
        <v>5</v>
      </c>
      <c r="J93" s="53">
        <f t="shared" si="44"/>
        <v>75.290000000000006</v>
      </c>
      <c r="K93" s="53">
        <v>8.5</v>
      </c>
      <c r="L93" s="53">
        <v>0</v>
      </c>
      <c r="M93" s="53">
        <v>0</v>
      </c>
      <c r="N93" s="53">
        <f t="shared" si="35"/>
        <v>376.45000000000005</v>
      </c>
      <c r="O93" s="53">
        <f t="shared" si="36"/>
        <v>170</v>
      </c>
      <c r="P93" s="53">
        <f t="shared" si="37"/>
        <v>0</v>
      </c>
      <c r="Q93" s="53">
        <f t="shared" si="38"/>
        <v>0</v>
      </c>
      <c r="R93" s="84">
        <f t="shared" si="43"/>
        <v>546.45000000000005</v>
      </c>
      <c r="S93" s="53"/>
      <c r="T93" s="53"/>
    </row>
    <row r="94" spans="3:20" x14ac:dyDescent="0.25">
      <c r="C94" s="55" t="s">
        <v>382</v>
      </c>
      <c r="D94">
        <v>1</v>
      </c>
      <c r="E94" t="s">
        <v>392</v>
      </c>
      <c r="F94">
        <v>0.25</v>
      </c>
      <c r="G94">
        <f t="shared" si="32"/>
        <v>0.25</v>
      </c>
      <c r="H94" s="48">
        <v>0</v>
      </c>
      <c r="I94">
        <f t="shared" si="33"/>
        <v>0.25</v>
      </c>
      <c r="J94" s="53">
        <f t="shared" si="44"/>
        <v>75.290000000000006</v>
      </c>
      <c r="K94" s="53">
        <v>10</v>
      </c>
      <c r="L94" s="53">
        <v>0</v>
      </c>
      <c r="M94" s="53">
        <v>0</v>
      </c>
      <c r="N94" s="53">
        <f t="shared" si="35"/>
        <v>18.822500000000002</v>
      </c>
      <c r="O94" s="53">
        <f t="shared" si="36"/>
        <v>10</v>
      </c>
      <c r="P94" s="53">
        <f t="shared" si="37"/>
        <v>0</v>
      </c>
      <c r="Q94" s="53">
        <f t="shared" si="38"/>
        <v>0</v>
      </c>
      <c r="R94" s="84">
        <f t="shared" si="43"/>
        <v>28.822500000000002</v>
      </c>
      <c r="S94" s="53"/>
      <c r="T94" s="53"/>
    </row>
    <row r="95" spans="3:20" x14ac:dyDescent="0.25">
      <c r="C95" s="55" t="s">
        <v>383</v>
      </c>
      <c r="D95">
        <v>6</v>
      </c>
      <c r="E95" t="s">
        <v>347</v>
      </c>
      <c r="F95">
        <v>0.15</v>
      </c>
      <c r="G95">
        <f t="shared" si="32"/>
        <v>0.89999999999999991</v>
      </c>
      <c r="H95" s="48">
        <v>0</v>
      </c>
      <c r="I95">
        <f t="shared" si="33"/>
        <v>0.89999999999999991</v>
      </c>
      <c r="J95" s="53">
        <f t="shared" si="44"/>
        <v>75.290000000000006</v>
      </c>
      <c r="K95" s="53">
        <v>2.5</v>
      </c>
      <c r="L95" s="53">
        <v>0</v>
      </c>
      <c r="M95" s="53">
        <v>0</v>
      </c>
      <c r="N95" s="53">
        <f t="shared" si="35"/>
        <v>67.760999999999996</v>
      </c>
      <c r="O95" s="53">
        <f t="shared" si="36"/>
        <v>15</v>
      </c>
      <c r="P95" s="53">
        <f t="shared" si="37"/>
        <v>0</v>
      </c>
      <c r="Q95" s="53">
        <f t="shared" si="38"/>
        <v>0</v>
      </c>
      <c r="R95" s="84">
        <f t="shared" si="43"/>
        <v>82.760999999999996</v>
      </c>
      <c r="S95" s="53"/>
      <c r="T95" s="53"/>
    </row>
    <row r="96" spans="3:20" x14ac:dyDescent="0.25">
      <c r="C96" s="55" t="s">
        <v>384</v>
      </c>
      <c r="D96">
        <v>25</v>
      </c>
      <c r="E96" t="s">
        <v>365</v>
      </c>
      <c r="F96">
        <v>7.4999999999999997E-2</v>
      </c>
      <c r="G96">
        <f t="shared" si="32"/>
        <v>1.875</v>
      </c>
      <c r="H96" s="48">
        <v>0</v>
      </c>
      <c r="I96">
        <f t="shared" si="33"/>
        <v>1.875</v>
      </c>
      <c r="J96" s="53">
        <f t="shared" si="44"/>
        <v>75.290000000000006</v>
      </c>
      <c r="K96" s="53">
        <v>2.5</v>
      </c>
      <c r="L96" s="53">
        <v>0</v>
      </c>
      <c r="M96" s="53">
        <v>0</v>
      </c>
      <c r="N96" s="53">
        <f t="shared" si="35"/>
        <v>141.16875000000002</v>
      </c>
      <c r="O96" s="53">
        <f t="shared" si="36"/>
        <v>62.5</v>
      </c>
      <c r="P96" s="53">
        <f t="shared" si="37"/>
        <v>0</v>
      </c>
      <c r="Q96" s="53">
        <f t="shared" si="38"/>
        <v>0</v>
      </c>
      <c r="R96" s="84">
        <f t="shared" si="43"/>
        <v>203.66875000000002</v>
      </c>
      <c r="S96" s="53"/>
      <c r="T96" s="53"/>
    </row>
    <row r="97" spans="3:20" ht="22.5" x14ac:dyDescent="0.25">
      <c r="C97" s="65" t="s">
        <v>395</v>
      </c>
      <c r="D97" s="64">
        <v>4</v>
      </c>
      <c r="E97" s="31" t="s">
        <v>396</v>
      </c>
      <c r="F97" s="31"/>
      <c r="G97" s="66"/>
      <c r="H97" s="67"/>
      <c r="I97" s="66"/>
      <c r="J97" s="68"/>
      <c r="K97" s="68"/>
      <c r="L97" s="68"/>
      <c r="M97" s="68"/>
      <c r="N97" s="68"/>
      <c r="O97" s="68"/>
      <c r="P97" s="68"/>
      <c r="Q97" s="68"/>
      <c r="R97" s="87"/>
      <c r="S97" s="68"/>
      <c r="T97" s="68"/>
    </row>
    <row r="98" spans="3:20" x14ac:dyDescent="0.25">
      <c r="C98" s="55" t="s">
        <v>397</v>
      </c>
      <c r="D98">
        <f>D97*150</f>
        <v>600</v>
      </c>
      <c r="E98" t="s">
        <v>365</v>
      </c>
      <c r="F98">
        <v>0</v>
      </c>
      <c r="G98">
        <f t="shared" si="32"/>
        <v>0</v>
      </c>
      <c r="H98" s="48">
        <v>0</v>
      </c>
      <c r="I98">
        <f t="shared" si="33"/>
        <v>0</v>
      </c>
      <c r="J98" s="53">
        <f t="shared" ref="J98:J103" si="45">$J$4</f>
        <v>75.290000000000006</v>
      </c>
      <c r="K98" s="53">
        <v>9</v>
      </c>
      <c r="L98" s="53">
        <v>0</v>
      </c>
      <c r="M98" s="53">
        <v>0</v>
      </c>
      <c r="N98" s="53">
        <f t="shared" si="35"/>
        <v>0</v>
      </c>
      <c r="O98" s="53">
        <f t="shared" si="36"/>
        <v>5400</v>
      </c>
      <c r="P98" s="53">
        <f t="shared" si="37"/>
        <v>0</v>
      </c>
      <c r="Q98" s="53">
        <f t="shared" si="38"/>
        <v>0</v>
      </c>
      <c r="R98" s="84">
        <f t="shared" si="43"/>
        <v>5400</v>
      </c>
      <c r="S98" s="53"/>
      <c r="T98" s="53"/>
    </row>
    <row r="99" spans="3:20" x14ac:dyDescent="0.25">
      <c r="C99" s="55" t="s">
        <v>398</v>
      </c>
      <c r="D99">
        <f>D97*2</f>
        <v>8</v>
      </c>
      <c r="E99" t="s">
        <v>347</v>
      </c>
      <c r="F99">
        <v>0</v>
      </c>
      <c r="G99">
        <f t="shared" si="32"/>
        <v>0</v>
      </c>
      <c r="H99" s="48">
        <v>0</v>
      </c>
      <c r="I99">
        <f t="shared" si="33"/>
        <v>0</v>
      </c>
      <c r="J99" s="53">
        <f t="shared" si="45"/>
        <v>75.290000000000006</v>
      </c>
      <c r="K99" s="53">
        <v>4</v>
      </c>
      <c r="L99" s="53">
        <v>0</v>
      </c>
      <c r="M99" s="53">
        <v>0</v>
      </c>
      <c r="N99" s="53">
        <f t="shared" si="35"/>
        <v>0</v>
      </c>
      <c r="O99" s="53">
        <f t="shared" si="36"/>
        <v>32</v>
      </c>
      <c r="P99" s="53">
        <f t="shared" si="37"/>
        <v>0</v>
      </c>
      <c r="Q99" s="53">
        <f t="shared" si="38"/>
        <v>0</v>
      </c>
      <c r="R99" s="84">
        <f t="shared" si="43"/>
        <v>32</v>
      </c>
      <c r="S99" s="53"/>
      <c r="T99" s="53"/>
    </row>
    <row r="100" spans="3:20" x14ac:dyDescent="0.25">
      <c r="C100" s="55" t="s">
        <v>399</v>
      </c>
      <c r="D100">
        <f>D98/10</f>
        <v>60</v>
      </c>
      <c r="E100" t="s">
        <v>347</v>
      </c>
      <c r="F100">
        <v>0</v>
      </c>
      <c r="G100">
        <f t="shared" si="32"/>
        <v>0</v>
      </c>
      <c r="H100" s="48">
        <v>0</v>
      </c>
      <c r="I100">
        <f t="shared" si="33"/>
        <v>0</v>
      </c>
      <c r="J100" s="53">
        <f t="shared" si="45"/>
        <v>75.290000000000006</v>
      </c>
      <c r="K100" s="53">
        <v>7.5</v>
      </c>
      <c r="L100" s="53">
        <v>0</v>
      </c>
      <c r="M100" s="53">
        <v>0</v>
      </c>
      <c r="N100" s="53">
        <f t="shared" si="35"/>
        <v>0</v>
      </c>
      <c r="O100" s="53">
        <f t="shared" si="36"/>
        <v>450</v>
      </c>
      <c r="P100" s="53">
        <f t="shared" si="37"/>
        <v>0</v>
      </c>
      <c r="Q100" s="53">
        <f t="shared" si="38"/>
        <v>0</v>
      </c>
      <c r="R100" s="84">
        <f t="shared" si="43"/>
        <v>450</v>
      </c>
      <c r="S100" s="53"/>
      <c r="T100" s="53"/>
    </row>
    <row r="101" spans="3:20" x14ac:dyDescent="0.25">
      <c r="C101" s="55" t="s">
        <v>400</v>
      </c>
      <c r="D101">
        <f>D97*2</f>
        <v>8</v>
      </c>
      <c r="E101" t="s">
        <v>347</v>
      </c>
      <c r="F101">
        <v>0</v>
      </c>
      <c r="G101">
        <f t="shared" si="32"/>
        <v>0</v>
      </c>
      <c r="H101" s="48">
        <v>0</v>
      </c>
      <c r="I101">
        <f t="shared" si="33"/>
        <v>0</v>
      </c>
      <c r="J101" s="53">
        <f t="shared" si="45"/>
        <v>75.290000000000006</v>
      </c>
      <c r="K101" s="53">
        <v>4</v>
      </c>
      <c r="L101" s="53">
        <v>0</v>
      </c>
      <c r="M101" s="53">
        <v>0</v>
      </c>
      <c r="N101" s="53">
        <f t="shared" si="35"/>
        <v>0</v>
      </c>
      <c r="O101" s="53">
        <f t="shared" si="36"/>
        <v>32</v>
      </c>
      <c r="P101" s="53">
        <f t="shared" si="37"/>
        <v>0</v>
      </c>
      <c r="Q101" s="53">
        <f t="shared" si="38"/>
        <v>0</v>
      </c>
      <c r="R101" s="84">
        <f t="shared" si="43"/>
        <v>32</v>
      </c>
      <c r="S101" s="53"/>
      <c r="T101" s="53"/>
    </row>
    <row r="102" spans="3:20" x14ac:dyDescent="0.25">
      <c r="C102" s="55" t="s">
        <v>401</v>
      </c>
      <c r="D102">
        <f>D97*3</f>
        <v>12</v>
      </c>
      <c r="E102" t="s">
        <v>365</v>
      </c>
      <c r="F102">
        <v>0</v>
      </c>
      <c r="G102">
        <f t="shared" si="32"/>
        <v>0</v>
      </c>
      <c r="H102" s="48">
        <v>0</v>
      </c>
      <c r="I102">
        <f t="shared" si="33"/>
        <v>0</v>
      </c>
      <c r="J102" s="53">
        <f t="shared" si="45"/>
        <v>75.290000000000006</v>
      </c>
      <c r="K102" s="53">
        <v>2</v>
      </c>
      <c r="L102" s="53">
        <v>0</v>
      </c>
      <c r="M102" s="53">
        <v>0</v>
      </c>
      <c r="N102" s="53">
        <f t="shared" si="35"/>
        <v>0</v>
      </c>
      <c r="O102" s="53">
        <f t="shared" si="36"/>
        <v>24</v>
      </c>
      <c r="P102" s="53">
        <f t="shared" si="37"/>
        <v>0</v>
      </c>
      <c r="Q102" s="53">
        <f t="shared" si="38"/>
        <v>0</v>
      </c>
      <c r="R102" s="84">
        <f t="shared" si="43"/>
        <v>24</v>
      </c>
      <c r="S102" s="53"/>
      <c r="T102" s="53"/>
    </row>
    <row r="103" spans="3:20" x14ac:dyDescent="0.25">
      <c r="C103" s="55" t="s">
        <v>402</v>
      </c>
      <c r="D103">
        <f>D98*4*1.15</f>
        <v>2760</v>
      </c>
      <c r="E103" t="s">
        <v>365</v>
      </c>
      <c r="F103">
        <v>0</v>
      </c>
      <c r="G103">
        <f t="shared" si="32"/>
        <v>0</v>
      </c>
      <c r="H103" s="48">
        <v>0</v>
      </c>
      <c r="I103">
        <f t="shared" si="33"/>
        <v>0</v>
      </c>
      <c r="J103" s="53">
        <f t="shared" si="45"/>
        <v>75.290000000000006</v>
      </c>
      <c r="K103" s="53">
        <v>0.75</v>
      </c>
      <c r="L103" s="53">
        <v>0</v>
      </c>
      <c r="M103" s="53">
        <v>0</v>
      </c>
      <c r="N103" s="53">
        <f t="shared" si="35"/>
        <v>0</v>
      </c>
      <c r="O103" s="53">
        <f t="shared" si="36"/>
        <v>2070</v>
      </c>
      <c r="P103" s="53">
        <f t="shared" si="37"/>
        <v>0</v>
      </c>
      <c r="Q103" s="53">
        <f t="shared" si="38"/>
        <v>0</v>
      </c>
      <c r="R103" s="84">
        <f t="shared" si="43"/>
        <v>2070</v>
      </c>
      <c r="S103" s="53"/>
      <c r="T103" s="53"/>
    </row>
    <row r="104" spans="3:20" ht="22.5" x14ac:dyDescent="0.25">
      <c r="C104" s="65" t="s">
        <v>403</v>
      </c>
      <c r="D104" s="64">
        <v>11</v>
      </c>
      <c r="E104" s="31" t="s">
        <v>396</v>
      </c>
      <c r="F104" s="31"/>
      <c r="G104" s="31"/>
      <c r="H104" s="63"/>
      <c r="I104" s="31"/>
      <c r="J104" s="61"/>
      <c r="K104" s="61"/>
      <c r="L104" s="61"/>
      <c r="M104" s="61"/>
      <c r="N104" s="61"/>
      <c r="O104" s="61"/>
      <c r="P104" s="61"/>
      <c r="Q104" s="61"/>
      <c r="R104" s="86"/>
      <c r="S104" s="61"/>
      <c r="T104" s="61"/>
    </row>
    <row r="105" spans="3:20" x14ac:dyDescent="0.25">
      <c r="C105" s="55" t="s">
        <v>397</v>
      </c>
      <c r="D105">
        <f>D104*150</f>
        <v>1650</v>
      </c>
      <c r="E105" t="s">
        <v>365</v>
      </c>
      <c r="F105">
        <v>0</v>
      </c>
      <c r="G105">
        <f t="shared" si="32"/>
        <v>0</v>
      </c>
      <c r="H105" s="48">
        <v>0</v>
      </c>
      <c r="I105">
        <f t="shared" si="33"/>
        <v>0</v>
      </c>
      <c r="J105" s="53">
        <f t="shared" ref="J105:J110" si="46">$J$4</f>
        <v>75.290000000000006</v>
      </c>
      <c r="K105" s="53">
        <v>9</v>
      </c>
      <c r="L105" s="53">
        <v>0</v>
      </c>
      <c r="M105" s="53">
        <v>0</v>
      </c>
      <c r="N105" s="53">
        <f t="shared" si="35"/>
        <v>0</v>
      </c>
      <c r="O105" s="53">
        <f t="shared" si="36"/>
        <v>14850</v>
      </c>
      <c r="P105" s="53">
        <f t="shared" si="37"/>
        <v>0</v>
      </c>
      <c r="Q105" s="53">
        <f t="shared" si="38"/>
        <v>0</v>
      </c>
      <c r="R105" s="84">
        <f t="shared" si="43"/>
        <v>14850</v>
      </c>
      <c r="S105" s="53"/>
      <c r="T105" s="53"/>
    </row>
    <row r="106" spans="3:20" x14ac:dyDescent="0.25">
      <c r="C106" s="55" t="s">
        <v>398</v>
      </c>
      <c r="D106">
        <f>D104*2</f>
        <v>22</v>
      </c>
      <c r="E106" t="s">
        <v>347</v>
      </c>
      <c r="F106">
        <v>0</v>
      </c>
      <c r="G106">
        <f t="shared" si="32"/>
        <v>0</v>
      </c>
      <c r="H106" s="48">
        <v>0</v>
      </c>
      <c r="I106">
        <f t="shared" si="33"/>
        <v>0</v>
      </c>
      <c r="J106" s="53">
        <f t="shared" si="46"/>
        <v>75.290000000000006</v>
      </c>
      <c r="K106" s="53">
        <v>4</v>
      </c>
      <c r="L106" s="53">
        <v>0</v>
      </c>
      <c r="M106" s="53">
        <v>0</v>
      </c>
      <c r="N106" s="53">
        <f t="shared" si="35"/>
        <v>0</v>
      </c>
      <c r="O106" s="53">
        <f t="shared" si="36"/>
        <v>88</v>
      </c>
      <c r="P106" s="53">
        <f t="shared" si="37"/>
        <v>0</v>
      </c>
      <c r="Q106" s="53">
        <f t="shared" si="38"/>
        <v>0</v>
      </c>
      <c r="R106" s="84">
        <f t="shared" si="43"/>
        <v>88</v>
      </c>
      <c r="S106" s="53"/>
      <c r="T106" s="53"/>
    </row>
    <row r="107" spans="3:20" x14ac:dyDescent="0.25">
      <c r="C107" s="55" t="s">
        <v>399</v>
      </c>
      <c r="D107">
        <f>D105/10</f>
        <v>165</v>
      </c>
      <c r="E107" t="s">
        <v>347</v>
      </c>
      <c r="F107">
        <v>0</v>
      </c>
      <c r="G107">
        <f t="shared" si="32"/>
        <v>0</v>
      </c>
      <c r="H107" s="48">
        <v>0</v>
      </c>
      <c r="I107">
        <f t="shared" si="33"/>
        <v>0</v>
      </c>
      <c r="J107" s="53">
        <f t="shared" si="46"/>
        <v>75.290000000000006</v>
      </c>
      <c r="K107" s="53">
        <v>7.5</v>
      </c>
      <c r="L107" s="53">
        <v>0</v>
      </c>
      <c r="M107" s="53">
        <v>0</v>
      </c>
      <c r="N107" s="53">
        <f t="shared" si="35"/>
        <v>0</v>
      </c>
      <c r="O107" s="53">
        <f t="shared" si="36"/>
        <v>1237.5</v>
      </c>
      <c r="P107" s="53">
        <f t="shared" si="37"/>
        <v>0</v>
      </c>
      <c r="Q107" s="53">
        <f t="shared" si="38"/>
        <v>0</v>
      </c>
      <c r="R107" s="84">
        <f t="shared" si="43"/>
        <v>1237.5</v>
      </c>
      <c r="S107" s="53"/>
      <c r="T107" s="53"/>
    </row>
    <row r="108" spans="3:20" x14ac:dyDescent="0.25">
      <c r="C108" s="55" t="s">
        <v>400</v>
      </c>
      <c r="D108">
        <f>D104*2</f>
        <v>22</v>
      </c>
      <c r="E108" t="s">
        <v>347</v>
      </c>
      <c r="F108">
        <v>0</v>
      </c>
      <c r="G108">
        <f t="shared" si="32"/>
        <v>0</v>
      </c>
      <c r="H108" s="48">
        <v>0</v>
      </c>
      <c r="I108">
        <f t="shared" si="33"/>
        <v>0</v>
      </c>
      <c r="J108" s="53">
        <f t="shared" si="46"/>
        <v>75.290000000000006</v>
      </c>
      <c r="K108" s="53">
        <v>4</v>
      </c>
      <c r="L108" s="53">
        <v>0</v>
      </c>
      <c r="M108" s="53">
        <v>0</v>
      </c>
      <c r="N108" s="53">
        <f t="shared" si="35"/>
        <v>0</v>
      </c>
      <c r="O108" s="53">
        <f t="shared" si="36"/>
        <v>88</v>
      </c>
      <c r="P108" s="53">
        <f t="shared" si="37"/>
        <v>0</v>
      </c>
      <c r="Q108" s="53">
        <f t="shared" si="38"/>
        <v>0</v>
      </c>
      <c r="R108" s="84">
        <f t="shared" si="43"/>
        <v>88</v>
      </c>
      <c r="S108" s="53"/>
      <c r="T108" s="53"/>
    </row>
    <row r="109" spans="3:20" x14ac:dyDescent="0.25">
      <c r="C109" s="55" t="s">
        <v>401</v>
      </c>
      <c r="D109">
        <f>D104*3</f>
        <v>33</v>
      </c>
      <c r="E109" t="s">
        <v>365</v>
      </c>
      <c r="F109">
        <v>0</v>
      </c>
      <c r="G109">
        <f t="shared" si="32"/>
        <v>0</v>
      </c>
      <c r="H109" s="48">
        <v>0</v>
      </c>
      <c r="I109">
        <f t="shared" si="33"/>
        <v>0</v>
      </c>
      <c r="J109" s="53">
        <f t="shared" si="46"/>
        <v>75.290000000000006</v>
      </c>
      <c r="K109" s="53">
        <v>2</v>
      </c>
      <c r="L109" s="53">
        <v>0</v>
      </c>
      <c r="M109" s="53">
        <v>0</v>
      </c>
      <c r="N109" s="53">
        <f t="shared" si="35"/>
        <v>0</v>
      </c>
      <c r="O109" s="53">
        <f t="shared" si="36"/>
        <v>66</v>
      </c>
      <c r="P109" s="53">
        <f t="shared" si="37"/>
        <v>0</v>
      </c>
      <c r="Q109" s="53">
        <f t="shared" si="38"/>
        <v>0</v>
      </c>
      <c r="R109" s="84">
        <f t="shared" si="43"/>
        <v>66</v>
      </c>
      <c r="S109" s="53"/>
      <c r="T109" s="53"/>
    </row>
    <row r="110" spans="3:20" x14ac:dyDescent="0.25">
      <c r="C110" s="55" t="s">
        <v>402</v>
      </c>
      <c r="D110">
        <f>D105*3*1.15</f>
        <v>5692.5</v>
      </c>
      <c r="E110" t="s">
        <v>365</v>
      </c>
      <c r="F110">
        <v>0</v>
      </c>
      <c r="G110">
        <f t="shared" si="32"/>
        <v>0</v>
      </c>
      <c r="H110" s="48">
        <v>0</v>
      </c>
      <c r="I110">
        <f t="shared" si="33"/>
        <v>0</v>
      </c>
      <c r="J110" s="53">
        <f t="shared" si="46"/>
        <v>75.290000000000006</v>
      </c>
      <c r="K110" s="53">
        <v>0.75</v>
      </c>
      <c r="L110" s="53">
        <v>0</v>
      </c>
      <c r="M110" s="53">
        <v>0</v>
      </c>
      <c r="N110" s="53">
        <f t="shared" si="35"/>
        <v>0</v>
      </c>
      <c r="O110" s="53">
        <f t="shared" si="36"/>
        <v>4269.375</v>
      </c>
      <c r="P110" s="53">
        <f t="shared" si="37"/>
        <v>0</v>
      </c>
      <c r="Q110" s="53">
        <f t="shared" si="38"/>
        <v>0</v>
      </c>
      <c r="R110" s="84">
        <f t="shared" si="43"/>
        <v>4269.375</v>
      </c>
      <c r="S110" s="53"/>
      <c r="T110" s="53"/>
    </row>
    <row r="111" spans="3:20" x14ac:dyDescent="0.25">
      <c r="C111" s="55"/>
      <c r="H111" s="48"/>
      <c r="J111" s="53"/>
      <c r="K111" s="53"/>
      <c r="L111" s="53"/>
      <c r="M111" s="53"/>
      <c r="N111" s="53"/>
      <c r="O111" s="53"/>
      <c r="P111" s="53"/>
      <c r="Q111" s="53"/>
      <c r="R111" s="84"/>
      <c r="S111" s="53"/>
      <c r="T111" s="53"/>
    </row>
    <row r="112" spans="3:20" x14ac:dyDescent="0.25">
      <c r="C112" s="35" t="s">
        <v>292</v>
      </c>
      <c r="D112" s="35"/>
      <c r="E112" s="35"/>
      <c r="F112" s="35"/>
      <c r="G112" s="35"/>
      <c r="H112" s="35"/>
      <c r="I112" s="71">
        <f>SUM(I30:I111)</f>
        <v>3742.9250000000006</v>
      </c>
      <c r="J112" s="73"/>
      <c r="K112" s="35"/>
      <c r="L112" s="70"/>
      <c r="M112" s="35"/>
      <c r="N112" s="70"/>
      <c r="O112" s="35"/>
      <c r="P112" s="35"/>
      <c r="Q112" s="72"/>
      <c r="R112" s="83">
        <f>SUM(R30:R111)</f>
        <v>403181.69825000019</v>
      </c>
      <c r="S112" s="272">
        <f>SUM(S30:S111)</f>
        <v>195022.74500000002</v>
      </c>
      <c r="T112" s="272">
        <f>SUM(T30:T111)</f>
        <v>0</v>
      </c>
    </row>
    <row r="113" spans="2:20" x14ac:dyDescent="0.25">
      <c r="B113" s="115"/>
      <c r="C113" s="94" t="s">
        <v>53</v>
      </c>
      <c r="D113" s="94" t="s">
        <v>328</v>
      </c>
      <c r="E113" s="94" t="s">
        <v>329</v>
      </c>
      <c r="F113" s="94" t="s">
        <v>330</v>
      </c>
      <c r="G113" s="94" t="s">
        <v>331</v>
      </c>
      <c r="H113" s="94" t="s">
        <v>332</v>
      </c>
      <c r="I113" s="94" t="s">
        <v>333</v>
      </c>
      <c r="J113" s="94" t="s">
        <v>334</v>
      </c>
      <c r="K113" s="94" t="s">
        <v>335</v>
      </c>
      <c r="L113" s="94" t="s">
        <v>336</v>
      </c>
      <c r="M113" s="94" t="s">
        <v>337</v>
      </c>
      <c r="N113" s="94" t="s">
        <v>338</v>
      </c>
      <c r="O113" s="94" t="s">
        <v>339</v>
      </c>
      <c r="P113" s="94" t="s">
        <v>340</v>
      </c>
      <c r="Q113" s="94" t="s">
        <v>341</v>
      </c>
      <c r="R113" s="127" t="s">
        <v>105</v>
      </c>
      <c r="S113" s="94"/>
      <c r="T113" s="94"/>
    </row>
    <row r="114" spans="2:20" x14ac:dyDescent="0.25">
      <c r="B114" s="115"/>
      <c r="C114" s="55" t="s">
        <v>404</v>
      </c>
      <c r="D114">
        <v>1</v>
      </c>
      <c r="E114" t="s">
        <v>392</v>
      </c>
      <c r="F114">
        <v>200</v>
      </c>
      <c r="G114">
        <f t="shared" ref="G114" si="47">F114*D114</f>
        <v>200</v>
      </c>
      <c r="H114" s="48">
        <v>0</v>
      </c>
      <c r="I114">
        <f t="shared" ref="I114" si="48">G114*(H114+1)</f>
        <v>200</v>
      </c>
      <c r="J114" s="53">
        <f>$J$4</f>
        <v>75.290000000000006</v>
      </c>
      <c r="K114" s="53">
        <v>0</v>
      </c>
      <c r="L114" s="53">
        <v>5000</v>
      </c>
      <c r="M114" s="53">
        <v>0</v>
      </c>
      <c r="N114" s="53">
        <f t="shared" ref="N114" si="49">J114*I114</f>
        <v>15058.000000000002</v>
      </c>
      <c r="O114" s="53">
        <f t="shared" ref="O114" si="50">K114*D114</f>
        <v>0</v>
      </c>
      <c r="P114" s="53">
        <f t="shared" ref="P114:P115" si="51">L114*D114</f>
        <v>5000</v>
      </c>
      <c r="Q114" s="53">
        <f t="shared" ref="Q114:Q115" si="52">M114*D114</f>
        <v>0</v>
      </c>
      <c r="R114" s="84">
        <f t="shared" ref="R114" si="53">SUM(N114:Q114)</f>
        <v>20058</v>
      </c>
      <c r="S114" s="53">
        <f>R114*0.25</f>
        <v>5014.5</v>
      </c>
      <c r="T114" s="53">
        <f>S114</f>
        <v>5014.5</v>
      </c>
    </row>
    <row r="115" spans="2:20" x14ac:dyDescent="0.25">
      <c r="B115" s="115"/>
      <c r="C115" s="30" t="s">
        <v>405</v>
      </c>
      <c r="D115">
        <v>0</v>
      </c>
      <c r="E115" t="s">
        <v>406</v>
      </c>
      <c r="F115" s="76"/>
      <c r="G115" s="76"/>
      <c r="H115" s="77"/>
      <c r="I115" s="76"/>
      <c r="J115" s="75"/>
      <c r="K115" s="69">
        <v>0.05</v>
      </c>
      <c r="L115" s="75"/>
      <c r="M115" s="75"/>
      <c r="N115" s="75"/>
      <c r="O115" s="53">
        <f>SUM(O4:O110)</f>
        <v>130367.07870370371</v>
      </c>
      <c r="P115" s="53">
        <f t="shared" si="51"/>
        <v>0</v>
      </c>
      <c r="Q115" s="53">
        <f t="shared" si="52"/>
        <v>0</v>
      </c>
      <c r="R115" s="84">
        <f>O115*K115</f>
        <v>6518.3539351851859</v>
      </c>
      <c r="S115" s="53">
        <f>R115*0.25</f>
        <v>1629.5884837962965</v>
      </c>
      <c r="T115" s="53">
        <f>S115</f>
        <v>1629.5884837962965</v>
      </c>
    </row>
    <row r="116" spans="2:20" x14ac:dyDescent="0.25">
      <c r="B116" s="115"/>
      <c r="R116" s="88"/>
    </row>
    <row r="117" spans="2:20" x14ac:dyDescent="0.25">
      <c r="B117" s="115"/>
      <c r="C117" s="35" t="s">
        <v>292</v>
      </c>
      <c r="D117" s="35"/>
      <c r="E117" s="35"/>
      <c r="F117" s="35"/>
      <c r="G117" s="35"/>
      <c r="H117" s="35"/>
      <c r="I117" s="71">
        <f>SUM(I114:I116)</f>
        <v>200</v>
      </c>
      <c r="J117" s="73"/>
      <c r="K117" s="35"/>
      <c r="L117" s="70"/>
      <c r="M117" s="35"/>
      <c r="N117" s="70"/>
      <c r="O117" s="35"/>
      <c r="P117" s="35"/>
      <c r="Q117" s="72"/>
      <c r="R117" s="83">
        <f>SUM(R114:R115)</f>
        <v>26576.353935185187</v>
      </c>
      <c r="S117" s="272">
        <f>SUM(S114:S115)</f>
        <v>6644.0884837962967</v>
      </c>
      <c r="T117" s="272">
        <f>SUM(T114:T115)</f>
        <v>6644.0884837962967</v>
      </c>
    </row>
    <row r="118" spans="2:20" x14ac:dyDescent="0.25">
      <c r="B118" s="115"/>
      <c r="C118" s="94" t="s">
        <v>407</v>
      </c>
      <c r="D118" s="94" t="s">
        <v>328</v>
      </c>
      <c r="E118" s="94" t="s">
        <v>329</v>
      </c>
      <c r="F118" s="94" t="s">
        <v>330</v>
      </c>
      <c r="G118" s="94" t="s">
        <v>331</v>
      </c>
      <c r="H118" s="94" t="s">
        <v>332</v>
      </c>
      <c r="I118" s="94" t="s">
        <v>333</v>
      </c>
      <c r="J118" s="94" t="s">
        <v>334</v>
      </c>
      <c r="K118" s="94" t="s">
        <v>335</v>
      </c>
      <c r="L118" s="94" t="s">
        <v>336</v>
      </c>
      <c r="M118" s="94" t="s">
        <v>337</v>
      </c>
      <c r="N118" s="94" t="s">
        <v>338</v>
      </c>
      <c r="O118" s="94" t="s">
        <v>339</v>
      </c>
      <c r="P118" s="94" t="s">
        <v>340</v>
      </c>
      <c r="Q118" s="94" t="s">
        <v>341</v>
      </c>
      <c r="R118" s="127" t="s">
        <v>105</v>
      </c>
      <c r="S118" s="94"/>
      <c r="T118" s="94"/>
    </row>
    <row r="119" spans="2:20" x14ac:dyDescent="0.25">
      <c r="B119" s="115"/>
      <c r="C119" s="30" t="s">
        <v>408</v>
      </c>
      <c r="D119">
        <v>10</v>
      </c>
      <c r="E119" t="s">
        <v>409</v>
      </c>
      <c r="F119">
        <v>50</v>
      </c>
      <c r="G119">
        <f>F119*D119</f>
        <v>500</v>
      </c>
      <c r="H119" s="48">
        <v>0</v>
      </c>
      <c r="I119">
        <f>G119*(H119+1)</f>
        <v>500</v>
      </c>
      <c r="J119" s="53">
        <f>$J$4</f>
        <v>75.290000000000006</v>
      </c>
      <c r="K119" s="52">
        <v>0</v>
      </c>
      <c r="L119" s="52">
        <v>0</v>
      </c>
      <c r="M119" s="52">
        <v>0</v>
      </c>
      <c r="N119" s="52">
        <f>J119*I119</f>
        <v>37645</v>
      </c>
      <c r="O119" s="52">
        <f t="shared" ref="O119" si="54">K119*D119</f>
        <v>0</v>
      </c>
      <c r="P119" s="52">
        <f>L119*D119</f>
        <v>0</v>
      </c>
      <c r="Q119" s="52">
        <f>M119*D119</f>
        <v>0</v>
      </c>
      <c r="R119" s="89">
        <f t="shared" ref="R119" si="55">SUM(N119:Q119)</f>
        <v>37645</v>
      </c>
      <c r="S119" s="52">
        <f>R119*2/10</f>
        <v>7529</v>
      </c>
      <c r="T119" s="52">
        <f>S119</f>
        <v>7529</v>
      </c>
    </row>
    <row r="120" spans="2:20" x14ac:dyDescent="0.25">
      <c r="B120" s="115"/>
      <c r="C120" s="55" t="s">
        <v>410</v>
      </c>
      <c r="D120">
        <v>1</v>
      </c>
      <c r="E120" t="s">
        <v>392</v>
      </c>
      <c r="F120" s="76"/>
      <c r="G120" s="38">
        <f>I112+I27+I9+I119+I114</f>
        <v>5469.5064814814823</v>
      </c>
      <c r="H120" s="57">
        <v>0.2</v>
      </c>
      <c r="I120" s="76"/>
      <c r="J120" s="53">
        <v>15</v>
      </c>
      <c r="K120" s="75"/>
      <c r="L120" s="75"/>
      <c r="M120" s="75"/>
      <c r="N120" s="75"/>
      <c r="O120" s="75"/>
      <c r="P120" s="75"/>
      <c r="Q120" s="75"/>
      <c r="R120" s="84">
        <f>H120*G120*J120</f>
        <v>16408.51944444445</v>
      </c>
      <c r="S120" s="53">
        <f>R120*0.2</f>
        <v>3281.7038888888901</v>
      </c>
      <c r="T120" s="53">
        <f>S120</f>
        <v>3281.7038888888901</v>
      </c>
    </row>
    <row r="121" spans="2:20" x14ac:dyDescent="0.25">
      <c r="B121" s="115"/>
      <c r="R121" s="88"/>
    </row>
    <row r="122" spans="2:20" x14ac:dyDescent="0.25">
      <c r="B122" s="115"/>
      <c r="C122" s="35" t="s">
        <v>292</v>
      </c>
      <c r="D122" s="35"/>
      <c r="E122" s="35"/>
      <c r="F122" s="35"/>
      <c r="G122" s="35"/>
      <c r="H122" s="35"/>
      <c r="I122" s="71">
        <f>SUM(I119:I121)</f>
        <v>500</v>
      </c>
      <c r="J122" s="73"/>
      <c r="K122" s="35"/>
      <c r="L122" s="70"/>
      <c r="M122" s="35"/>
      <c r="N122" s="70"/>
      <c r="O122" s="35"/>
      <c r="P122" s="35"/>
      <c r="Q122" s="72"/>
      <c r="R122" s="83">
        <f>SUM(R119:R120)</f>
        <v>54053.51944444445</v>
      </c>
      <c r="S122" s="272">
        <f>SUM(S119:S120)</f>
        <v>10810.703888888889</v>
      </c>
      <c r="T122" s="272">
        <f>SUM(T119:T120)</f>
        <v>10810.703888888889</v>
      </c>
    </row>
    <row r="123" spans="2:20" ht="15.75" thickBot="1" x14ac:dyDescent="0.3">
      <c r="B123" s="469" t="s">
        <v>411</v>
      </c>
      <c r="C123" s="469"/>
      <c r="D123" s="43"/>
      <c r="E123" s="43"/>
      <c r="F123" s="43"/>
      <c r="G123" s="43"/>
      <c r="H123" s="43" t="s">
        <v>292</v>
      </c>
      <c r="I123" s="80">
        <f>I122+I112+I27+I9+I117</f>
        <v>5469.5064814814823</v>
      </c>
      <c r="J123" s="78"/>
      <c r="K123" s="78"/>
      <c r="L123" s="78"/>
      <c r="M123" s="79"/>
      <c r="N123" s="79"/>
      <c r="O123" s="78"/>
      <c r="P123" s="47"/>
      <c r="Q123" s="47"/>
      <c r="R123" s="90">
        <f>SUM(R122,R117,R112,R27,R9,G132)</f>
        <v>856110.68766666681</v>
      </c>
      <c r="S123" s="47">
        <f>SUM(S122,S117,S112,S27,S9)+R123</f>
        <v>1139611.4250393519</v>
      </c>
      <c r="T123" s="47">
        <f>SUM(T122,T117,T112,T27,T9)+S123</f>
        <v>1157066.2174120371</v>
      </c>
    </row>
    <row r="124" spans="2:20" x14ac:dyDescent="0.25">
      <c r="B124" s="152"/>
      <c r="C124" s="152"/>
      <c r="D124" s="119"/>
      <c r="E124" s="119"/>
      <c r="F124" s="119"/>
      <c r="G124" s="119"/>
      <c r="H124" s="119"/>
      <c r="I124" s="153"/>
      <c r="J124" s="9"/>
      <c r="K124" s="9"/>
      <c r="L124" s="9"/>
      <c r="M124" s="125"/>
      <c r="N124" s="125"/>
      <c r="O124" s="9"/>
      <c r="P124" s="154"/>
      <c r="Q124" s="154"/>
      <c r="R124" s="154"/>
      <c r="S124" s="154"/>
      <c r="T124" s="154"/>
    </row>
    <row r="125" spans="2:20" x14ac:dyDescent="0.25">
      <c r="B125" s="152"/>
      <c r="C125" s="152"/>
      <c r="D125" s="119"/>
      <c r="E125" s="119"/>
      <c r="F125" s="119"/>
      <c r="G125" s="119"/>
      <c r="H125" s="119"/>
      <c r="I125" s="153"/>
      <c r="J125" s="9"/>
      <c r="K125" s="9"/>
      <c r="L125" s="9"/>
      <c r="M125" s="125"/>
      <c r="N125" s="125"/>
      <c r="O125" s="9"/>
      <c r="P125" s="154"/>
      <c r="Q125" s="154"/>
      <c r="R125" s="154"/>
      <c r="S125" s="154"/>
      <c r="T125" s="154"/>
    </row>
    <row r="126" spans="2:20" x14ac:dyDescent="0.25">
      <c r="B126" s="152"/>
      <c r="C126" s="152"/>
      <c r="D126" s="119"/>
      <c r="E126" s="119"/>
      <c r="F126" s="119"/>
      <c r="G126" s="119"/>
      <c r="H126" s="119"/>
      <c r="I126" s="153"/>
      <c r="J126" s="9"/>
      <c r="K126" s="9"/>
      <c r="L126" s="9"/>
      <c r="M126" s="125"/>
      <c r="N126" s="125"/>
      <c r="O126" s="9"/>
      <c r="P126" s="154"/>
      <c r="Q126" s="154"/>
      <c r="R126" s="154"/>
      <c r="S126" s="154"/>
      <c r="T126" s="154"/>
    </row>
    <row r="127" spans="2:20" x14ac:dyDescent="0.25">
      <c r="B127" s="152"/>
      <c r="C127" s="152"/>
      <c r="D127" s="119"/>
      <c r="E127" s="119"/>
      <c r="F127" s="119"/>
      <c r="G127" s="119"/>
      <c r="H127" s="119"/>
      <c r="I127" s="153"/>
      <c r="J127" s="9"/>
      <c r="K127" s="9"/>
      <c r="L127" s="9"/>
      <c r="M127" s="125"/>
      <c r="N127" s="125"/>
      <c r="O127" s="9"/>
      <c r="P127" s="154"/>
      <c r="Q127" s="154"/>
      <c r="R127" s="154"/>
      <c r="S127" s="154"/>
      <c r="T127" s="154"/>
    </row>
    <row r="128" spans="2:20" x14ac:dyDescent="0.25">
      <c r="B128" s="437" t="s">
        <v>412</v>
      </c>
      <c r="C128" s="465"/>
      <c r="D128" s="78"/>
      <c r="E128" s="78"/>
      <c r="F128" s="78"/>
      <c r="G128" s="468"/>
      <c r="H128" s="468"/>
      <c r="I128" s="468"/>
      <c r="J128" s="9"/>
      <c r="K128" s="9"/>
      <c r="L128" s="9"/>
      <c r="M128" s="125"/>
      <c r="N128" s="125"/>
      <c r="O128" s="9"/>
      <c r="P128" s="154"/>
      <c r="Q128" s="154"/>
      <c r="R128" s="154"/>
      <c r="S128" s="154"/>
      <c r="T128" s="154"/>
    </row>
    <row r="129" spans="2:9" x14ac:dyDescent="0.25">
      <c r="B129" s="115"/>
      <c r="C129" s="94" t="s">
        <v>208</v>
      </c>
      <c r="D129" s="113" t="s">
        <v>216</v>
      </c>
      <c r="E129" s="113" t="s">
        <v>217</v>
      </c>
      <c r="F129" s="117" t="s">
        <v>209</v>
      </c>
      <c r="G129" s="404" t="s">
        <v>210</v>
      </c>
      <c r="H129" s="404"/>
      <c r="I129" s="404"/>
    </row>
    <row r="130" spans="2:9" x14ac:dyDescent="0.25">
      <c r="B130" s="115"/>
      <c r="C130" s="150">
        <f>'Pretty Picture'!V8</f>
        <v>0</v>
      </c>
      <c r="D130" s="99">
        <v>0.18</v>
      </c>
      <c r="E130" s="99">
        <v>0.3</v>
      </c>
      <c r="F130" s="157">
        <v>0.25</v>
      </c>
      <c r="G130" s="466">
        <f>C130*F130</f>
        <v>0</v>
      </c>
      <c r="H130" s="466"/>
      <c r="I130" s="466"/>
    </row>
    <row r="131" spans="2:9" x14ac:dyDescent="0.25">
      <c r="B131" s="115"/>
      <c r="C131" s="150">
        <f>'Pretty Picture'!V9</f>
        <v>0</v>
      </c>
      <c r="D131" s="99">
        <v>0.18</v>
      </c>
      <c r="E131" s="99">
        <v>0.3</v>
      </c>
      <c r="F131" s="157">
        <v>0.25</v>
      </c>
      <c r="G131" s="467">
        <f>C131*F131</f>
        <v>0</v>
      </c>
      <c r="H131" s="467"/>
      <c r="I131" s="467"/>
    </row>
    <row r="132" spans="2:9" x14ac:dyDescent="0.25">
      <c r="B132" s="44" t="s">
        <v>105</v>
      </c>
      <c r="C132" s="44"/>
      <c r="D132" s="78"/>
      <c r="E132" s="78"/>
      <c r="F132" s="44"/>
      <c r="G132" s="464">
        <f>SUM(G130:G131)</f>
        <v>0</v>
      </c>
      <c r="H132" s="464"/>
      <c r="I132" s="464"/>
    </row>
  </sheetData>
  <mergeCells count="7">
    <mergeCell ref="G132:I132"/>
    <mergeCell ref="G128:I128"/>
    <mergeCell ref="B123:C123"/>
    <mergeCell ref="B128:C128"/>
    <mergeCell ref="G129:I129"/>
    <mergeCell ref="G130:I130"/>
    <mergeCell ref="G131:I131"/>
  </mergeCells>
  <conditionalFormatting sqref="C130:I131">
    <cfRule type="expression" dxfId="10" priority="1">
      <formula>MOD(ROW(),2)=0</formula>
    </cfRule>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B1B1C-A19B-48CE-83AE-3CDF839D24C0}">
  <sheetPr codeName="Sheet17"/>
  <dimension ref="A2:N56"/>
  <sheetViews>
    <sheetView topLeftCell="A11" zoomScale="90" zoomScaleNormal="90" workbookViewId="0">
      <selection activeCell="I41" sqref="I41"/>
    </sheetView>
  </sheetViews>
  <sheetFormatPr defaultColWidth="0" defaultRowHeight="15" zeroHeight="1" x14ac:dyDescent="0.25"/>
  <cols>
    <col min="1" max="1" width="9.140625" customWidth="1"/>
    <col min="2" max="2" width="3.42578125" customWidth="1"/>
    <col min="3" max="3" width="28.140625" customWidth="1"/>
    <col min="4" max="4" width="10.5703125" customWidth="1"/>
    <col min="5" max="5" width="12" customWidth="1"/>
    <col min="6" max="8" width="10.5703125" customWidth="1"/>
    <col min="9" max="11" width="14.140625" customWidth="1"/>
    <col min="12" max="12" width="88.140625" bestFit="1" customWidth="1"/>
    <col min="13" max="13" width="87.42578125" bestFit="1" customWidth="1"/>
    <col min="14" max="14" width="9.140625" customWidth="1"/>
    <col min="15" max="16384" width="9.140625" hidden="1"/>
  </cols>
  <sheetData>
    <row r="2" spans="2:13" x14ac:dyDescent="0.25">
      <c r="B2" s="43" t="s">
        <v>82</v>
      </c>
      <c r="C2" s="43"/>
      <c r="D2" s="43"/>
      <c r="E2" s="43"/>
      <c r="F2" s="43"/>
      <c r="G2" s="43"/>
      <c r="H2" s="43"/>
      <c r="I2" s="45" t="s">
        <v>300</v>
      </c>
      <c r="J2" s="43"/>
      <c r="K2" s="43"/>
      <c r="L2" s="78"/>
      <c r="M2" s="78"/>
    </row>
    <row r="3" spans="2:13" x14ac:dyDescent="0.25">
      <c r="B3" s="115"/>
      <c r="C3" s="94" t="s">
        <v>121</v>
      </c>
      <c r="D3" s="94" t="s">
        <v>197</v>
      </c>
      <c r="E3" s="94" t="s">
        <v>225</v>
      </c>
      <c r="F3" s="94" t="s">
        <v>301</v>
      </c>
      <c r="G3" s="94" t="s">
        <v>302</v>
      </c>
      <c r="H3" s="94" t="s">
        <v>303</v>
      </c>
      <c r="I3" s="113" t="s">
        <v>105</v>
      </c>
      <c r="J3" s="113" t="s">
        <v>301</v>
      </c>
      <c r="K3" s="113" t="s">
        <v>302</v>
      </c>
      <c r="L3" s="94" t="s">
        <v>3</v>
      </c>
      <c r="M3" s="94" t="s">
        <v>413</v>
      </c>
    </row>
    <row r="4" spans="2:13" x14ac:dyDescent="0.25">
      <c r="B4" s="115"/>
      <c r="C4" s="104" t="s">
        <v>414</v>
      </c>
      <c r="D4" s="34">
        <v>1</v>
      </c>
      <c r="E4" s="34" t="s">
        <v>392</v>
      </c>
      <c r="F4" s="34"/>
      <c r="G4" s="34"/>
      <c r="H4" s="9">
        <v>100000</v>
      </c>
      <c r="I4" s="105">
        <f>D4*H4</f>
        <v>100000</v>
      </c>
      <c r="J4" s="9">
        <f t="shared" ref="J4:J24" si="0">F4*H4</f>
        <v>0</v>
      </c>
      <c r="K4" s="9">
        <f>G4*H4</f>
        <v>0</v>
      </c>
      <c r="L4" s="9" t="s">
        <v>697</v>
      </c>
    </row>
    <row r="5" spans="2:13" x14ac:dyDescent="0.25">
      <c r="B5" s="115"/>
      <c r="C5" s="104" t="s">
        <v>15</v>
      </c>
      <c r="D5" s="34">
        <v>1</v>
      </c>
      <c r="E5" s="34" t="s">
        <v>392</v>
      </c>
      <c r="F5" s="34"/>
      <c r="G5" s="34"/>
      <c r="H5" s="9">
        <v>7500</v>
      </c>
      <c r="I5" s="105">
        <f>D5*H5</f>
        <v>7500</v>
      </c>
      <c r="J5" s="9">
        <f t="shared" si="0"/>
        <v>0</v>
      </c>
      <c r="K5" s="9">
        <f t="shared" ref="K5:K24" si="1">G5*H5</f>
        <v>0</v>
      </c>
      <c r="L5" s="9"/>
    </row>
    <row r="6" spans="2:13" x14ac:dyDescent="0.25">
      <c r="B6" s="115"/>
      <c r="C6" s="104" t="s">
        <v>415</v>
      </c>
      <c r="D6" s="34">
        <v>1</v>
      </c>
      <c r="E6" s="34" t="s">
        <v>392</v>
      </c>
      <c r="F6" s="34"/>
      <c r="G6" s="34"/>
      <c r="H6" s="9">
        <v>7500</v>
      </c>
      <c r="I6" s="105">
        <f>D6*H6</f>
        <v>7500</v>
      </c>
      <c r="J6" s="9">
        <f t="shared" si="0"/>
        <v>0</v>
      </c>
      <c r="K6" s="9">
        <f t="shared" si="1"/>
        <v>0</v>
      </c>
      <c r="L6" s="9"/>
    </row>
    <row r="7" spans="2:13" x14ac:dyDescent="0.25">
      <c r="B7" s="115"/>
      <c r="C7" s="104" t="s">
        <v>416</v>
      </c>
      <c r="D7" s="34">
        <v>1</v>
      </c>
      <c r="E7" s="34" t="s">
        <v>392</v>
      </c>
      <c r="F7" s="34"/>
      <c r="G7" s="34"/>
      <c r="H7" s="9">
        <v>5000</v>
      </c>
      <c r="I7" s="105">
        <f>D7*H7</f>
        <v>5000</v>
      </c>
      <c r="J7" s="9">
        <f t="shared" si="0"/>
        <v>0</v>
      </c>
      <c r="K7" s="9">
        <f t="shared" si="1"/>
        <v>0</v>
      </c>
      <c r="L7" s="9"/>
    </row>
    <row r="8" spans="2:13" x14ac:dyDescent="0.25">
      <c r="B8" s="115"/>
      <c r="C8" s="104" t="s">
        <v>417</v>
      </c>
      <c r="D8" s="34">
        <v>1</v>
      </c>
      <c r="E8" s="34" t="s">
        <v>392</v>
      </c>
      <c r="F8" s="34"/>
      <c r="G8" s="34"/>
      <c r="H8" s="9"/>
      <c r="I8" s="105"/>
      <c r="J8" s="9">
        <f t="shared" si="0"/>
        <v>0</v>
      </c>
      <c r="K8" s="9">
        <f t="shared" si="1"/>
        <v>0</v>
      </c>
      <c r="L8" s="9"/>
    </row>
    <row r="9" spans="2:13" x14ac:dyDescent="0.25">
      <c r="B9" s="115"/>
      <c r="C9" s="109" t="s">
        <v>418</v>
      </c>
      <c r="D9" s="34">
        <v>6</v>
      </c>
      <c r="E9" s="34" t="s">
        <v>347</v>
      </c>
      <c r="F9" s="34"/>
      <c r="G9" s="34"/>
      <c r="H9" s="9">
        <v>79</v>
      </c>
      <c r="I9" s="105">
        <f t="shared" ref="I9:I24" si="2">D9*H9</f>
        <v>474</v>
      </c>
      <c r="J9" s="9">
        <f t="shared" si="0"/>
        <v>0</v>
      </c>
      <c r="K9" s="9">
        <f t="shared" si="1"/>
        <v>0</v>
      </c>
      <c r="L9" s="9" t="s">
        <v>419</v>
      </c>
    </row>
    <row r="10" spans="2:13" x14ac:dyDescent="0.25">
      <c r="B10" s="115"/>
      <c r="C10" s="109" t="s">
        <v>420</v>
      </c>
      <c r="D10" s="34">
        <v>5</v>
      </c>
      <c r="E10" s="34" t="s">
        <v>421</v>
      </c>
      <c r="F10" s="34"/>
      <c r="G10" s="34"/>
      <c r="H10" s="9">
        <v>29.5</v>
      </c>
      <c r="I10" s="105">
        <f t="shared" si="2"/>
        <v>147.5</v>
      </c>
      <c r="J10" s="9">
        <f t="shared" si="0"/>
        <v>0</v>
      </c>
      <c r="K10" s="9">
        <f t="shared" si="1"/>
        <v>0</v>
      </c>
      <c r="L10" s="9" t="s">
        <v>422</v>
      </c>
    </row>
    <row r="11" spans="2:13" x14ac:dyDescent="0.25">
      <c r="B11" s="115"/>
      <c r="C11" s="109" t="s">
        <v>423</v>
      </c>
      <c r="D11" s="34">
        <v>1</v>
      </c>
      <c r="E11" s="34" t="s">
        <v>421</v>
      </c>
      <c r="F11" s="34"/>
      <c r="G11" s="34"/>
      <c r="H11" s="9">
        <f>355+72.5</f>
        <v>427.5</v>
      </c>
      <c r="I11" s="105">
        <f t="shared" si="2"/>
        <v>427.5</v>
      </c>
      <c r="J11" s="9">
        <f t="shared" si="0"/>
        <v>0</v>
      </c>
      <c r="K11" s="9">
        <f t="shared" si="1"/>
        <v>0</v>
      </c>
      <c r="L11" s="9" t="s">
        <v>424</v>
      </c>
    </row>
    <row r="12" spans="2:13" x14ac:dyDescent="0.25">
      <c r="B12" s="115"/>
      <c r="C12" s="109" t="s">
        <v>425</v>
      </c>
      <c r="D12" s="34">
        <v>4000</v>
      </c>
      <c r="E12" s="34" t="s">
        <v>426</v>
      </c>
      <c r="F12" s="34"/>
      <c r="G12" s="34"/>
      <c r="H12" s="9">
        <v>5.3</v>
      </c>
      <c r="I12" s="105">
        <f t="shared" si="2"/>
        <v>21200</v>
      </c>
      <c r="J12" s="9">
        <f t="shared" si="0"/>
        <v>0</v>
      </c>
      <c r="K12" s="9">
        <f t="shared" si="1"/>
        <v>0</v>
      </c>
      <c r="L12" s="9" t="s">
        <v>427</v>
      </c>
    </row>
    <row r="13" spans="2:13" x14ac:dyDescent="0.25">
      <c r="B13" s="115"/>
      <c r="C13" s="109" t="s">
        <v>428</v>
      </c>
      <c r="D13" s="34">
        <v>100</v>
      </c>
      <c r="E13" s="34" t="s">
        <v>429</v>
      </c>
      <c r="F13" s="34"/>
      <c r="G13" s="34"/>
      <c r="H13" s="9">
        <v>44</v>
      </c>
      <c r="I13" s="105">
        <f t="shared" si="2"/>
        <v>4400</v>
      </c>
      <c r="J13" s="9">
        <f t="shared" si="0"/>
        <v>0</v>
      </c>
      <c r="K13" s="9">
        <f t="shared" si="1"/>
        <v>0</v>
      </c>
      <c r="L13" s="9" t="s">
        <v>430</v>
      </c>
    </row>
    <row r="14" spans="2:13" x14ac:dyDescent="0.25">
      <c r="B14" s="115"/>
      <c r="C14" s="109" t="s">
        <v>431</v>
      </c>
      <c r="D14" s="34">
        <v>425</v>
      </c>
      <c r="E14" s="34" t="s">
        <v>426</v>
      </c>
      <c r="F14" s="34">
        <v>100</v>
      </c>
      <c r="G14" s="34">
        <v>0</v>
      </c>
      <c r="H14" s="9">
        <v>8.1</v>
      </c>
      <c r="I14" s="105">
        <f t="shared" si="2"/>
        <v>3442.5</v>
      </c>
      <c r="J14" s="9">
        <f t="shared" si="0"/>
        <v>810</v>
      </c>
      <c r="K14" s="9">
        <f t="shared" si="1"/>
        <v>0</v>
      </c>
      <c r="L14" s="9" t="s">
        <v>432</v>
      </c>
    </row>
    <row r="15" spans="2:13" x14ac:dyDescent="0.25">
      <c r="B15" s="115"/>
      <c r="C15" s="109" t="s">
        <v>741</v>
      </c>
      <c r="D15" s="34">
        <v>6</v>
      </c>
      <c r="E15" s="34" t="s">
        <v>742</v>
      </c>
      <c r="F15" s="34">
        <v>4</v>
      </c>
      <c r="G15" s="34"/>
      <c r="H15" s="9">
        <v>1000</v>
      </c>
      <c r="I15" s="105">
        <f t="shared" si="2"/>
        <v>6000</v>
      </c>
      <c r="J15" s="9">
        <f>F15*H15</f>
        <v>4000</v>
      </c>
      <c r="K15" s="9">
        <f t="shared" si="1"/>
        <v>0</v>
      </c>
      <c r="L15" s="9"/>
    </row>
    <row r="16" spans="2:13" x14ac:dyDescent="0.25">
      <c r="B16" s="115"/>
      <c r="C16" s="109" t="s">
        <v>743</v>
      </c>
      <c r="D16" s="34">
        <v>10</v>
      </c>
      <c r="E16" s="34" t="s">
        <v>742</v>
      </c>
      <c r="F16" s="34">
        <v>7</v>
      </c>
      <c r="G16" s="34"/>
      <c r="H16" s="9">
        <v>200</v>
      </c>
      <c r="I16" s="105">
        <f t="shared" si="2"/>
        <v>2000</v>
      </c>
      <c r="J16" s="9">
        <f>F16*H16</f>
        <v>1400</v>
      </c>
      <c r="K16" s="9">
        <f t="shared" si="1"/>
        <v>0</v>
      </c>
      <c r="L16" s="9"/>
    </row>
    <row r="17" spans="2:13" x14ac:dyDescent="0.25">
      <c r="B17" s="115"/>
      <c r="C17" s="109" t="s">
        <v>433</v>
      </c>
      <c r="D17" s="34">
        <v>4</v>
      </c>
      <c r="E17" s="34" t="s">
        <v>347</v>
      </c>
      <c r="F17" s="34">
        <v>2</v>
      </c>
      <c r="G17" s="34">
        <v>0</v>
      </c>
      <c r="H17" s="9">
        <v>1200</v>
      </c>
      <c r="I17" s="105">
        <f t="shared" si="2"/>
        <v>4800</v>
      </c>
      <c r="J17" s="9">
        <f t="shared" si="0"/>
        <v>2400</v>
      </c>
      <c r="K17" s="9">
        <f t="shared" si="1"/>
        <v>0</v>
      </c>
      <c r="L17" s="9" t="s">
        <v>434</v>
      </c>
      <c r="M17" t="s">
        <v>435</v>
      </c>
    </row>
    <row r="18" spans="2:13" x14ac:dyDescent="0.25">
      <c r="B18" s="115"/>
      <c r="C18" s="104" t="s">
        <v>436</v>
      </c>
      <c r="D18" s="34">
        <v>1</v>
      </c>
      <c r="E18" s="34" t="s">
        <v>392</v>
      </c>
      <c r="F18" s="34"/>
      <c r="G18" s="34"/>
      <c r="H18" s="9">
        <v>15000</v>
      </c>
      <c r="I18" s="105">
        <f t="shared" si="2"/>
        <v>15000</v>
      </c>
      <c r="J18" s="9">
        <f t="shared" si="0"/>
        <v>0</v>
      </c>
      <c r="K18" s="9">
        <f t="shared" si="1"/>
        <v>0</v>
      </c>
      <c r="L18" s="9"/>
    </row>
    <row r="19" spans="2:13" x14ac:dyDescent="0.25">
      <c r="B19" s="115"/>
      <c r="C19" s="104" t="s">
        <v>437</v>
      </c>
      <c r="D19" s="34">
        <v>1</v>
      </c>
      <c r="E19" s="34" t="s">
        <v>392</v>
      </c>
      <c r="F19" s="34">
        <v>0.1</v>
      </c>
      <c r="G19" s="34">
        <v>0</v>
      </c>
      <c r="H19" s="9">
        <v>10000</v>
      </c>
      <c r="I19" s="105">
        <f t="shared" si="2"/>
        <v>10000</v>
      </c>
      <c r="J19" s="9">
        <f t="shared" si="0"/>
        <v>1000</v>
      </c>
      <c r="K19" s="9">
        <f t="shared" si="1"/>
        <v>0</v>
      </c>
      <c r="L19" s="9"/>
    </row>
    <row r="20" spans="2:13" x14ac:dyDescent="0.25">
      <c r="B20" s="115"/>
      <c r="C20" s="104" t="s">
        <v>438</v>
      </c>
      <c r="D20" s="34">
        <v>460</v>
      </c>
      <c r="E20" s="34" t="s">
        <v>429</v>
      </c>
      <c r="F20" s="34">
        <v>192</v>
      </c>
      <c r="G20" s="34">
        <v>0</v>
      </c>
      <c r="H20" s="9">
        <v>61</v>
      </c>
      <c r="I20" s="105">
        <f t="shared" si="2"/>
        <v>28060</v>
      </c>
      <c r="J20" s="9">
        <f t="shared" si="0"/>
        <v>11712</v>
      </c>
      <c r="K20" s="9">
        <f t="shared" si="1"/>
        <v>0</v>
      </c>
      <c r="L20" s="9" t="s">
        <v>439</v>
      </c>
      <c r="M20" t="s">
        <v>440</v>
      </c>
    </row>
    <row r="21" spans="2:13" x14ac:dyDescent="0.25">
      <c r="B21" s="115"/>
      <c r="C21" s="109" t="s">
        <v>441</v>
      </c>
      <c r="D21" s="34">
        <v>1</v>
      </c>
      <c r="E21" s="34" t="s">
        <v>347</v>
      </c>
      <c r="F21" s="34"/>
      <c r="G21" s="34"/>
      <c r="H21" s="9">
        <v>3300</v>
      </c>
      <c r="I21" s="105">
        <f t="shared" si="2"/>
        <v>3300</v>
      </c>
      <c r="J21" s="9">
        <f t="shared" si="0"/>
        <v>0</v>
      </c>
      <c r="K21" s="9">
        <f t="shared" si="1"/>
        <v>0</v>
      </c>
      <c r="L21" s="9" t="s">
        <v>442</v>
      </c>
      <c r="M21" t="s">
        <v>443</v>
      </c>
    </row>
    <row r="22" spans="2:13" x14ac:dyDescent="0.25">
      <c r="B22" s="115"/>
      <c r="C22" s="109" t="s">
        <v>444</v>
      </c>
      <c r="D22" s="34">
        <v>2</v>
      </c>
      <c r="E22" s="34" t="s">
        <v>347</v>
      </c>
      <c r="F22" s="34"/>
      <c r="G22" s="34"/>
      <c r="H22" s="9">
        <v>535</v>
      </c>
      <c r="I22" s="105">
        <f t="shared" si="2"/>
        <v>1070</v>
      </c>
      <c r="J22" s="9">
        <f t="shared" si="0"/>
        <v>0</v>
      </c>
      <c r="K22" s="9">
        <f t="shared" si="1"/>
        <v>0</v>
      </c>
      <c r="L22" s="9" t="s">
        <v>445</v>
      </c>
      <c r="M22" t="s">
        <v>446</v>
      </c>
    </row>
    <row r="23" spans="2:13" x14ac:dyDescent="0.25">
      <c r="B23" s="115"/>
      <c r="C23" s="104" t="s">
        <v>447</v>
      </c>
      <c r="D23" s="34">
        <v>1</v>
      </c>
      <c r="E23" s="34" t="s">
        <v>347</v>
      </c>
      <c r="F23" s="34"/>
      <c r="G23" s="34"/>
      <c r="H23" s="9">
        <v>6500</v>
      </c>
      <c r="I23" s="105">
        <f t="shared" si="2"/>
        <v>6500</v>
      </c>
      <c r="J23" s="9">
        <f t="shared" si="0"/>
        <v>0</v>
      </c>
      <c r="K23" s="9">
        <f t="shared" si="1"/>
        <v>0</v>
      </c>
      <c r="L23" s="9"/>
    </row>
    <row r="24" spans="2:13" x14ac:dyDescent="0.25">
      <c r="B24" s="115"/>
      <c r="C24" s="104" t="s">
        <v>448</v>
      </c>
      <c r="D24" s="34">
        <v>415</v>
      </c>
      <c r="E24" s="34" t="s">
        <v>449</v>
      </c>
      <c r="F24" s="34">
        <v>50</v>
      </c>
      <c r="G24" s="34">
        <v>0</v>
      </c>
      <c r="H24" s="9">
        <v>23</v>
      </c>
      <c r="I24" s="105">
        <f t="shared" si="2"/>
        <v>9545</v>
      </c>
      <c r="J24" s="9">
        <f t="shared" si="0"/>
        <v>1150</v>
      </c>
      <c r="K24" s="9">
        <f t="shared" si="1"/>
        <v>0</v>
      </c>
      <c r="L24" s="9" t="s">
        <v>450</v>
      </c>
    </row>
    <row r="25" spans="2:13" x14ac:dyDescent="0.25">
      <c r="B25" s="115"/>
      <c r="C25" s="109"/>
      <c r="D25" s="34"/>
      <c r="E25" s="34"/>
      <c r="F25" s="34"/>
      <c r="G25" s="34"/>
      <c r="H25" s="9"/>
      <c r="I25" s="105"/>
      <c r="J25" s="9"/>
      <c r="K25" s="9"/>
      <c r="L25" s="9"/>
    </row>
    <row r="26" spans="2:13" x14ac:dyDescent="0.25">
      <c r="B26" s="115"/>
      <c r="C26" s="35" t="s">
        <v>292</v>
      </c>
      <c r="D26" s="36"/>
      <c r="E26" s="36"/>
      <c r="F26" s="36"/>
      <c r="G26" s="36"/>
      <c r="H26" s="35"/>
      <c r="I26" s="40">
        <f>SUM(I4:I25)</f>
        <v>236366.5</v>
      </c>
      <c r="J26" s="37">
        <f>SUM(J4:J25)</f>
        <v>22472</v>
      </c>
      <c r="K26" s="37">
        <f>SUM(K4:K25)</f>
        <v>0</v>
      </c>
      <c r="M26" s="9"/>
    </row>
    <row r="27" spans="2:13" x14ac:dyDescent="0.25">
      <c r="B27" s="115"/>
      <c r="C27" s="94" t="s">
        <v>22</v>
      </c>
      <c r="D27" s="94" t="s">
        <v>197</v>
      </c>
      <c r="E27" s="94" t="s">
        <v>225</v>
      </c>
      <c r="F27" s="94" t="s">
        <v>301</v>
      </c>
      <c r="G27" s="94" t="s">
        <v>302</v>
      </c>
      <c r="H27" s="94" t="s">
        <v>2</v>
      </c>
      <c r="I27" s="113" t="s">
        <v>105</v>
      </c>
      <c r="J27" s="113" t="s">
        <v>301</v>
      </c>
      <c r="K27" s="113" t="s">
        <v>302</v>
      </c>
      <c r="L27" s="94" t="s">
        <v>3</v>
      </c>
      <c r="M27" s="94" t="s">
        <v>413</v>
      </c>
    </row>
    <row r="28" spans="2:13" x14ac:dyDescent="0.25">
      <c r="B28" s="115"/>
      <c r="C28" s="104" t="s">
        <v>451</v>
      </c>
      <c r="D28" s="34"/>
      <c r="E28" s="34"/>
      <c r="F28" s="34"/>
      <c r="G28" s="34"/>
      <c r="H28" s="9"/>
      <c r="I28" s="105"/>
      <c r="J28" s="9">
        <f t="shared" ref="J28:J41" si="3">F28*H28</f>
        <v>0</v>
      </c>
      <c r="K28" s="9">
        <f t="shared" ref="K28:K41" si="4">G28*H28</f>
        <v>0</v>
      </c>
      <c r="L28" s="9"/>
      <c r="M28" s="9"/>
    </row>
    <row r="29" spans="2:13" x14ac:dyDescent="0.25">
      <c r="B29" s="115"/>
      <c r="C29" s="109" t="s">
        <v>452</v>
      </c>
      <c r="D29" s="34">
        <v>1</v>
      </c>
      <c r="E29" s="34" t="s">
        <v>347</v>
      </c>
      <c r="F29" s="34"/>
      <c r="G29" s="34"/>
      <c r="H29" s="9">
        <v>3950</v>
      </c>
      <c r="I29" s="105">
        <f>D29*H29</f>
        <v>3950</v>
      </c>
      <c r="J29" s="9">
        <f t="shared" si="3"/>
        <v>0</v>
      </c>
      <c r="K29" s="9">
        <f t="shared" si="4"/>
        <v>0</v>
      </c>
      <c r="L29" s="9" t="s">
        <v>453</v>
      </c>
      <c r="M29" s="9"/>
    </row>
    <row r="30" spans="2:13" x14ac:dyDescent="0.25">
      <c r="B30" s="115"/>
      <c r="C30" s="109" t="s">
        <v>454</v>
      </c>
      <c r="D30" s="34">
        <v>250</v>
      </c>
      <c r="E30" s="34" t="s">
        <v>455</v>
      </c>
      <c r="F30" s="34">
        <v>25</v>
      </c>
      <c r="G30" s="34">
        <v>0</v>
      </c>
      <c r="H30" s="9">
        <v>138</v>
      </c>
      <c r="I30" s="105">
        <f>D30*H30</f>
        <v>34500</v>
      </c>
      <c r="J30" s="9">
        <f t="shared" si="3"/>
        <v>3450</v>
      </c>
      <c r="K30" s="9">
        <f t="shared" si="4"/>
        <v>0</v>
      </c>
      <c r="L30" s="9" t="s">
        <v>456</v>
      </c>
      <c r="M30" s="9"/>
    </row>
    <row r="31" spans="2:13" x14ac:dyDescent="0.25">
      <c r="B31" s="115"/>
      <c r="C31" s="104" t="s">
        <v>457</v>
      </c>
      <c r="D31" s="34"/>
      <c r="E31" s="34"/>
      <c r="F31" s="34"/>
      <c r="G31" s="34"/>
      <c r="H31" s="9"/>
      <c r="I31" s="105"/>
      <c r="J31" s="9">
        <f t="shared" si="3"/>
        <v>0</v>
      </c>
      <c r="K31" s="9">
        <f t="shared" si="4"/>
        <v>0</v>
      </c>
      <c r="L31" s="9"/>
      <c r="M31" s="9"/>
    </row>
    <row r="32" spans="2:13" x14ac:dyDescent="0.25">
      <c r="B32" s="115"/>
      <c r="C32" s="109" t="s">
        <v>458</v>
      </c>
      <c r="D32" s="34">
        <v>1</v>
      </c>
      <c r="E32" s="34" t="s">
        <v>392</v>
      </c>
      <c r="F32" s="34"/>
      <c r="G32" s="34"/>
      <c r="H32" s="9">
        <v>10000</v>
      </c>
      <c r="I32" s="105">
        <f>D32*H32</f>
        <v>10000</v>
      </c>
      <c r="J32" s="9">
        <f t="shared" si="3"/>
        <v>0</v>
      </c>
      <c r="K32" s="9">
        <f t="shared" si="4"/>
        <v>0</v>
      </c>
      <c r="L32" s="9" t="s">
        <v>450</v>
      </c>
      <c r="M32" s="9"/>
    </row>
    <row r="33" spans="2:13" x14ac:dyDescent="0.25">
      <c r="B33" s="115"/>
      <c r="C33" s="109" t="s">
        <v>459</v>
      </c>
      <c r="D33" s="34">
        <v>325</v>
      </c>
      <c r="E33" s="34" t="s">
        <v>429</v>
      </c>
      <c r="F33" s="34">
        <v>100</v>
      </c>
      <c r="G33" s="34">
        <v>0</v>
      </c>
      <c r="H33" s="9">
        <v>95</v>
      </c>
      <c r="I33" s="105">
        <f>D33*H33</f>
        <v>30875</v>
      </c>
      <c r="J33" s="9">
        <f t="shared" si="3"/>
        <v>9500</v>
      </c>
      <c r="K33" s="9">
        <f t="shared" si="4"/>
        <v>0</v>
      </c>
      <c r="L33" s="9" t="s">
        <v>450</v>
      </c>
      <c r="M33" s="9"/>
    </row>
    <row r="34" spans="2:13" x14ac:dyDescent="0.25">
      <c r="B34" s="115"/>
      <c r="C34" s="104" t="s">
        <v>460</v>
      </c>
      <c r="D34" s="34"/>
      <c r="E34" s="34"/>
      <c r="F34" s="34"/>
      <c r="G34" s="34"/>
      <c r="H34" s="9"/>
      <c r="I34" s="105"/>
      <c r="J34" s="9">
        <f t="shared" si="3"/>
        <v>0</v>
      </c>
      <c r="K34" s="9">
        <f t="shared" si="4"/>
        <v>0</v>
      </c>
      <c r="L34" s="9"/>
      <c r="M34" s="9"/>
    </row>
    <row r="35" spans="2:13" x14ac:dyDescent="0.25">
      <c r="B35" s="115"/>
      <c r="C35" s="109" t="s">
        <v>461</v>
      </c>
      <c r="D35" s="34">
        <v>1</v>
      </c>
      <c r="E35" s="34" t="s">
        <v>392</v>
      </c>
      <c r="F35" s="34"/>
      <c r="G35" s="34"/>
      <c r="H35" s="9">
        <v>10000</v>
      </c>
      <c r="I35" s="105">
        <f>D35*H35</f>
        <v>10000</v>
      </c>
      <c r="J35" s="9">
        <f t="shared" si="3"/>
        <v>0</v>
      </c>
      <c r="K35" s="9">
        <f t="shared" si="4"/>
        <v>0</v>
      </c>
      <c r="L35" s="9" t="s">
        <v>462</v>
      </c>
      <c r="M35" s="9"/>
    </row>
    <row r="36" spans="2:13" x14ac:dyDescent="0.25">
      <c r="B36" s="115"/>
      <c r="C36" s="109" t="s">
        <v>463</v>
      </c>
      <c r="D36" s="34">
        <v>125</v>
      </c>
      <c r="E36" s="34" t="s">
        <v>429</v>
      </c>
      <c r="F36" s="34">
        <v>50</v>
      </c>
      <c r="G36" s="34">
        <v>0</v>
      </c>
      <c r="H36" s="9">
        <f>94+22.5</f>
        <v>116.5</v>
      </c>
      <c r="I36" s="105">
        <f>D36*H36</f>
        <v>14562.5</v>
      </c>
      <c r="J36" s="9">
        <f t="shared" si="3"/>
        <v>5825</v>
      </c>
      <c r="K36" s="9">
        <f t="shared" si="4"/>
        <v>0</v>
      </c>
      <c r="L36" s="9" t="s">
        <v>450</v>
      </c>
      <c r="M36" s="9"/>
    </row>
    <row r="37" spans="2:13" x14ac:dyDescent="0.25">
      <c r="B37" s="115"/>
      <c r="C37" s="104" t="s">
        <v>464</v>
      </c>
      <c r="D37" s="34"/>
      <c r="E37" s="34"/>
      <c r="F37" s="34"/>
      <c r="G37" s="34"/>
      <c r="H37" s="9"/>
      <c r="I37" s="105"/>
      <c r="J37" s="9">
        <f t="shared" si="3"/>
        <v>0</v>
      </c>
      <c r="K37" s="9">
        <f t="shared" si="4"/>
        <v>0</v>
      </c>
      <c r="L37" s="9"/>
      <c r="M37" s="9"/>
    </row>
    <row r="38" spans="2:13" x14ac:dyDescent="0.25">
      <c r="B38" s="115"/>
      <c r="C38" s="109" t="s">
        <v>465</v>
      </c>
      <c r="D38" s="34">
        <v>1</v>
      </c>
      <c r="E38" s="34" t="s">
        <v>392</v>
      </c>
      <c r="F38" s="34"/>
      <c r="G38" s="34"/>
      <c r="H38" s="9">
        <v>15500</v>
      </c>
      <c r="I38" s="105">
        <f>D38*H38</f>
        <v>15500</v>
      </c>
      <c r="J38" s="9">
        <f t="shared" si="3"/>
        <v>0</v>
      </c>
      <c r="K38" s="9">
        <f t="shared" si="4"/>
        <v>0</v>
      </c>
      <c r="L38" s="9" t="s">
        <v>450</v>
      </c>
      <c r="M38" s="9"/>
    </row>
    <row r="39" spans="2:13" x14ac:dyDescent="0.25">
      <c r="B39" s="115"/>
      <c r="C39" s="109" t="s">
        <v>466</v>
      </c>
      <c r="D39" s="34">
        <v>100</v>
      </c>
      <c r="E39" s="34" t="s">
        <v>429</v>
      </c>
      <c r="F39" s="34">
        <v>100</v>
      </c>
      <c r="G39" s="34">
        <v>0</v>
      </c>
      <c r="H39" s="9">
        <v>77</v>
      </c>
      <c r="I39" s="105">
        <f>D39*H39</f>
        <v>7700</v>
      </c>
      <c r="J39" s="9">
        <f t="shared" si="3"/>
        <v>7700</v>
      </c>
      <c r="K39" s="9">
        <f t="shared" si="4"/>
        <v>0</v>
      </c>
      <c r="L39" s="9" t="s">
        <v>450</v>
      </c>
      <c r="M39" s="9"/>
    </row>
    <row r="40" spans="2:13" x14ac:dyDescent="0.25">
      <c r="B40" s="115"/>
      <c r="C40" s="109" t="s">
        <v>467</v>
      </c>
      <c r="D40" s="34">
        <v>4</v>
      </c>
      <c r="E40" s="34" t="s">
        <v>347</v>
      </c>
      <c r="F40" s="34"/>
      <c r="G40" s="34"/>
      <c r="H40" s="9">
        <v>1750</v>
      </c>
      <c r="I40" s="105">
        <f>D40*H40</f>
        <v>7000</v>
      </c>
      <c r="J40" s="9">
        <f t="shared" si="3"/>
        <v>0</v>
      </c>
      <c r="K40" s="9">
        <f t="shared" si="4"/>
        <v>0</v>
      </c>
      <c r="L40" s="9" t="s">
        <v>468</v>
      </c>
      <c r="M40" s="9"/>
    </row>
    <row r="41" spans="2:13" x14ac:dyDescent="0.25">
      <c r="B41" s="115"/>
      <c r="C41" s="109" t="s">
        <v>745</v>
      </c>
      <c r="D41" s="34">
        <v>1</v>
      </c>
      <c r="E41" s="34" t="s">
        <v>392</v>
      </c>
      <c r="F41" s="34"/>
      <c r="G41" s="34"/>
      <c r="H41" s="9">
        <v>10000</v>
      </c>
      <c r="I41" s="105">
        <f>D41*H41</f>
        <v>10000</v>
      </c>
      <c r="J41" s="9">
        <f t="shared" si="3"/>
        <v>0</v>
      </c>
      <c r="K41" s="9">
        <f t="shared" si="4"/>
        <v>0</v>
      </c>
      <c r="L41" s="9"/>
      <c r="M41" s="9"/>
    </row>
    <row r="42" spans="2:13" x14ac:dyDescent="0.25">
      <c r="B42" s="115"/>
      <c r="C42" s="109"/>
      <c r="D42" s="34"/>
      <c r="E42" s="34"/>
      <c r="F42" s="34"/>
      <c r="G42" s="34"/>
      <c r="H42" s="9"/>
      <c r="I42" s="105"/>
      <c r="J42" s="9"/>
      <c r="K42" s="9"/>
      <c r="L42" s="9"/>
      <c r="M42" s="9"/>
    </row>
    <row r="43" spans="2:13" x14ac:dyDescent="0.25">
      <c r="B43" s="115"/>
      <c r="C43" s="35" t="s">
        <v>292</v>
      </c>
      <c r="D43" s="36"/>
      <c r="E43" s="36"/>
      <c r="F43" s="36"/>
      <c r="G43" s="36"/>
      <c r="H43" s="35"/>
      <c r="I43" s="40">
        <f>SUM(I28:I42)</f>
        <v>144087.5</v>
      </c>
      <c r="J43" s="37">
        <f>SUM(J28:J42)</f>
        <v>26475</v>
      </c>
      <c r="K43" s="37">
        <f>SUM(K28:K42)</f>
        <v>0</v>
      </c>
      <c r="L43" s="9"/>
      <c r="M43" s="9"/>
    </row>
    <row r="44" spans="2:13" x14ac:dyDescent="0.25">
      <c r="B44" s="115"/>
      <c r="C44" s="94" t="s">
        <v>122</v>
      </c>
      <c r="D44" s="94"/>
      <c r="E44" s="94"/>
      <c r="F44" s="94" t="s">
        <v>301</v>
      </c>
      <c r="G44" s="94" t="s">
        <v>302</v>
      </c>
      <c r="H44" s="94"/>
      <c r="I44" s="113" t="s">
        <v>105</v>
      </c>
      <c r="J44" s="113" t="s">
        <v>301</v>
      </c>
      <c r="K44" s="113" t="s">
        <v>302</v>
      </c>
      <c r="L44" s="94" t="s">
        <v>3</v>
      </c>
      <c r="M44" s="94" t="s">
        <v>413</v>
      </c>
    </row>
    <row r="45" spans="2:13" x14ac:dyDescent="0.25">
      <c r="B45" s="115"/>
      <c r="C45" s="104" t="s">
        <v>469</v>
      </c>
      <c r="D45" s="34">
        <v>1</v>
      </c>
      <c r="E45" s="34" t="s">
        <v>392</v>
      </c>
      <c r="F45" s="34">
        <v>0.2</v>
      </c>
      <c r="G45" s="34">
        <v>0</v>
      </c>
      <c r="H45" s="108">
        <f>182549*400/2500</f>
        <v>29207.84</v>
      </c>
      <c r="I45" s="107">
        <f>D45*H45</f>
        <v>29207.84</v>
      </c>
      <c r="J45" s="108">
        <f>F45*H45</f>
        <v>5841.5680000000002</v>
      </c>
      <c r="K45" s="9">
        <f t="shared" ref="K45:K47" si="5">G45*H45</f>
        <v>0</v>
      </c>
      <c r="L45" s="9" t="s">
        <v>470</v>
      </c>
      <c r="M45" s="9"/>
    </row>
    <row r="46" spans="2:13" x14ac:dyDescent="0.25">
      <c r="B46" s="115"/>
      <c r="C46" s="104" t="s">
        <v>471</v>
      </c>
      <c r="D46" s="34">
        <v>6</v>
      </c>
      <c r="E46" s="34" t="s">
        <v>347</v>
      </c>
      <c r="F46" s="34">
        <v>4</v>
      </c>
      <c r="G46" s="34">
        <v>0</v>
      </c>
      <c r="H46" s="9">
        <v>1275</v>
      </c>
      <c r="I46" s="105">
        <f>D46*H46</f>
        <v>7650</v>
      </c>
      <c r="J46" s="9">
        <f>F46*H46</f>
        <v>5100</v>
      </c>
      <c r="K46" s="9">
        <f t="shared" si="5"/>
        <v>0</v>
      </c>
      <c r="L46" s="9" t="s">
        <v>472</v>
      </c>
      <c r="M46" s="9"/>
    </row>
    <row r="47" spans="2:13" x14ac:dyDescent="0.25">
      <c r="B47" s="115"/>
      <c r="C47" s="104" t="s">
        <v>473</v>
      </c>
      <c r="D47" s="34">
        <v>8</v>
      </c>
      <c r="E47" s="34" t="s">
        <v>347</v>
      </c>
      <c r="F47" s="34">
        <v>2</v>
      </c>
      <c r="G47" s="34">
        <v>0</v>
      </c>
      <c r="H47" s="9">
        <v>188</v>
      </c>
      <c r="I47" s="105">
        <f>H47*D47</f>
        <v>1504</v>
      </c>
      <c r="J47" s="9">
        <f>F47*H47</f>
        <v>376</v>
      </c>
      <c r="K47" s="9">
        <f t="shared" si="5"/>
        <v>0</v>
      </c>
      <c r="L47" s="9"/>
      <c r="M47" s="9"/>
    </row>
    <row r="48" spans="2:13" x14ac:dyDescent="0.25">
      <c r="B48" s="115"/>
      <c r="C48" s="104"/>
      <c r="D48" s="34"/>
      <c r="E48" s="34"/>
      <c r="F48" s="34"/>
      <c r="G48" s="34"/>
      <c r="H48" s="9"/>
      <c r="I48" s="105"/>
      <c r="J48" s="9"/>
      <c r="K48" s="9"/>
      <c r="L48" s="9"/>
      <c r="M48" s="9"/>
    </row>
    <row r="49" spans="2:13" x14ac:dyDescent="0.25">
      <c r="B49" s="115"/>
      <c r="C49" s="35" t="s">
        <v>292</v>
      </c>
      <c r="D49" s="36"/>
      <c r="E49" s="36"/>
      <c r="F49" s="36"/>
      <c r="G49" s="36"/>
      <c r="H49" s="35"/>
      <c r="I49" s="40">
        <f>SUM(I45:I48)</f>
        <v>38361.839999999997</v>
      </c>
      <c r="J49" s="37">
        <f>SUM(J45:J48)</f>
        <v>11317.567999999999</v>
      </c>
      <c r="K49" s="37">
        <f>SUM(K45:K48)</f>
        <v>0</v>
      </c>
      <c r="L49" s="9"/>
      <c r="M49" s="9"/>
    </row>
    <row r="50" spans="2:13" x14ac:dyDescent="0.25">
      <c r="B50" s="43" t="s">
        <v>82</v>
      </c>
      <c r="C50" s="43"/>
      <c r="D50" s="43"/>
      <c r="E50" s="43"/>
      <c r="F50" s="43"/>
      <c r="G50" s="43"/>
      <c r="H50" s="43" t="s">
        <v>292</v>
      </c>
      <c r="I50" s="46">
        <f>I49+I43+I26+G56</f>
        <v>418815.83999999997</v>
      </c>
      <c r="J50" s="47">
        <f>J26+J43+J49+I50</f>
        <v>479080.40799999994</v>
      </c>
      <c r="K50" s="47">
        <f>K26+K43+K49+J50</f>
        <v>479080.40799999994</v>
      </c>
      <c r="L50" s="78"/>
      <c r="M50" s="78"/>
    </row>
    <row r="51" spans="2:13" x14ac:dyDescent="0.25"/>
    <row r="52" spans="2:13" x14ac:dyDescent="0.25">
      <c r="B52" s="437" t="s">
        <v>207</v>
      </c>
      <c r="C52" s="465"/>
      <c r="D52" s="78"/>
      <c r="E52" s="78"/>
      <c r="F52" s="78"/>
      <c r="G52" s="468"/>
      <c r="H52" s="468"/>
    </row>
    <row r="53" spans="2:13" x14ac:dyDescent="0.25">
      <c r="B53" s="115"/>
      <c r="C53" s="94" t="s">
        <v>208</v>
      </c>
      <c r="D53" s="113" t="s">
        <v>216</v>
      </c>
      <c r="E53" s="113" t="s">
        <v>217</v>
      </c>
      <c r="F53" s="117" t="s">
        <v>209</v>
      </c>
      <c r="G53" s="404" t="s">
        <v>210</v>
      </c>
      <c r="H53" s="404"/>
    </row>
    <row r="54" spans="2:13" x14ac:dyDescent="0.25">
      <c r="B54" s="115"/>
      <c r="C54" s="150">
        <f>'Pretty Picture'!V8</f>
        <v>0</v>
      </c>
      <c r="D54" s="99">
        <v>0.1</v>
      </c>
      <c r="E54" s="99">
        <v>0.2</v>
      </c>
      <c r="F54" s="157">
        <v>0.1</v>
      </c>
      <c r="G54" s="466">
        <f>C54*F54</f>
        <v>0</v>
      </c>
      <c r="H54" s="466"/>
    </row>
    <row r="55" spans="2:13" x14ac:dyDescent="0.25">
      <c r="B55" s="115"/>
      <c r="C55" s="150">
        <f>'Pretty Picture'!V9</f>
        <v>0</v>
      </c>
      <c r="D55" s="99">
        <v>0.1</v>
      </c>
      <c r="E55" s="99">
        <v>0.2</v>
      </c>
      <c r="F55" s="157">
        <v>0.1</v>
      </c>
      <c r="G55" s="467">
        <f>C55*F55</f>
        <v>0</v>
      </c>
      <c r="H55" s="467"/>
    </row>
    <row r="56" spans="2:13" x14ac:dyDescent="0.25">
      <c r="B56" s="44" t="s">
        <v>105</v>
      </c>
      <c r="C56" s="44"/>
      <c r="D56" s="78"/>
      <c r="E56" s="78"/>
      <c r="F56" s="44"/>
      <c r="G56" s="464">
        <f>SUM(G54:G55)</f>
        <v>0</v>
      </c>
      <c r="H56" s="464"/>
    </row>
  </sheetData>
  <mergeCells count="6">
    <mergeCell ref="B52:C52"/>
    <mergeCell ref="G54:H54"/>
    <mergeCell ref="G55:H55"/>
    <mergeCell ref="G56:H56"/>
    <mergeCell ref="G53:H53"/>
    <mergeCell ref="G52:H52"/>
  </mergeCells>
  <conditionalFormatting sqref="C4:M25 C54:H55">
    <cfRule type="expression" dxfId="9" priority="6">
      <formula>MOD(ROW(),2)=0</formula>
    </cfRule>
  </conditionalFormatting>
  <conditionalFormatting sqref="C28:M42">
    <cfRule type="expression" dxfId="8" priority="2">
      <formula>MOD(ROW(),2)=0</formula>
    </cfRule>
  </conditionalFormatting>
  <conditionalFormatting sqref="C45:M48">
    <cfRule type="expression" dxfId="7" priority="1">
      <formula>MOD(ROW(),2)=0</formula>
    </cfRule>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7EB42-C1CA-4B41-AA44-B2359A922C4B}">
  <sheetPr codeName="Sheet18"/>
  <dimension ref="A2:AL219"/>
  <sheetViews>
    <sheetView topLeftCell="A2" workbookViewId="0">
      <selection activeCell="J5" sqref="J5"/>
    </sheetView>
  </sheetViews>
  <sheetFormatPr defaultColWidth="0" defaultRowHeight="15" zeroHeight="1" x14ac:dyDescent="0.25"/>
  <cols>
    <col min="1" max="1" width="9.140625" customWidth="1"/>
    <col min="2" max="2" width="19.42578125" customWidth="1"/>
    <col min="3" max="3" width="3" bestFit="1" customWidth="1"/>
    <col min="4" max="4" width="13.5703125" bestFit="1" customWidth="1"/>
    <col min="5" max="5" width="13.85546875" bestFit="1" customWidth="1"/>
    <col min="6" max="6" width="17.85546875" bestFit="1" customWidth="1"/>
    <col min="7" max="7" width="14.7109375" bestFit="1" customWidth="1"/>
    <col min="8" max="8" width="15" bestFit="1" customWidth="1"/>
    <col min="9" max="9" width="17.85546875" bestFit="1" customWidth="1"/>
    <col min="10" max="10" width="14.85546875" customWidth="1"/>
    <col min="11" max="11" width="9.5703125" style="9" bestFit="1" customWidth="1"/>
    <col min="12" max="12" width="8.28515625" style="9" bestFit="1" customWidth="1"/>
    <col min="13" max="13" width="9.85546875" style="9" bestFit="1" customWidth="1"/>
    <col min="14" max="14" width="8.42578125" style="9" bestFit="1" customWidth="1"/>
    <col min="15" max="15" width="9.140625" style="9" customWidth="1"/>
    <col min="16" max="18" width="11.42578125" style="9" bestFit="1" customWidth="1"/>
    <col min="19" max="19" width="14.5703125" style="9" bestFit="1" customWidth="1"/>
    <col min="20" max="20" width="8.85546875" style="9" bestFit="1" customWidth="1"/>
    <col min="21" max="21" width="11.140625" style="9" bestFit="1" customWidth="1"/>
    <col min="22" max="22" width="13.42578125" style="9" bestFit="1" customWidth="1"/>
    <col min="23" max="23" width="13.140625" style="9" bestFit="1" customWidth="1"/>
    <col min="24" max="38" width="9.140625" style="9" customWidth="1"/>
    <col min="39" max="16384" width="9.140625" hidden="1"/>
  </cols>
  <sheetData>
    <row r="2" spans="2:37" x14ac:dyDescent="0.25">
      <c r="B2" s="472" t="s">
        <v>474</v>
      </c>
      <c r="C2" s="472"/>
      <c r="D2" s="473"/>
      <c r="E2" s="473"/>
      <c r="F2" s="473"/>
      <c r="G2" s="473"/>
      <c r="H2" s="473"/>
      <c r="I2" s="473"/>
      <c r="J2" s="242" t="s">
        <v>475</v>
      </c>
      <c r="K2" s="437" t="s">
        <v>476</v>
      </c>
      <c r="L2" s="437"/>
      <c r="M2" s="437"/>
      <c r="N2" s="437"/>
      <c r="O2" s="437"/>
      <c r="P2" s="437"/>
      <c r="Q2" s="437"/>
      <c r="R2" s="437"/>
      <c r="S2" s="437"/>
      <c r="T2" s="437"/>
      <c r="U2" s="437"/>
      <c r="V2" s="437"/>
      <c r="W2" s="437"/>
      <c r="Y2" s="437" t="s">
        <v>477</v>
      </c>
      <c r="Z2" s="437"/>
      <c r="AA2" s="437"/>
      <c r="AB2" s="437"/>
      <c r="AC2" s="437"/>
      <c r="AD2" s="437"/>
      <c r="AE2" s="437"/>
      <c r="AF2" s="437"/>
      <c r="AG2" s="437"/>
      <c r="AH2" s="437"/>
      <c r="AI2" s="437"/>
      <c r="AJ2" s="437"/>
      <c r="AK2" s="437"/>
    </row>
    <row r="3" spans="2:37" x14ac:dyDescent="0.25">
      <c r="B3" s="94" t="s">
        <v>478</v>
      </c>
      <c r="C3" s="94"/>
      <c r="D3" s="94" t="s">
        <v>479</v>
      </c>
      <c r="E3" s="94" t="s">
        <v>480</v>
      </c>
      <c r="F3" s="94" t="s">
        <v>481</v>
      </c>
      <c r="G3" s="94" t="s">
        <v>482</v>
      </c>
      <c r="H3" s="94" t="s">
        <v>483</v>
      </c>
      <c r="I3" s="94" t="s">
        <v>484</v>
      </c>
      <c r="J3" s="243">
        <v>37</v>
      </c>
      <c r="K3" s="94" t="s">
        <v>485</v>
      </c>
      <c r="L3" s="126" t="s">
        <v>486</v>
      </c>
      <c r="M3" s="126" t="s">
        <v>487</v>
      </c>
      <c r="N3" s="126" t="s">
        <v>488</v>
      </c>
      <c r="O3" s="126" t="s">
        <v>489</v>
      </c>
      <c r="P3" s="126" t="s">
        <v>490</v>
      </c>
      <c r="Q3" s="126" t="s">
        <v>491</v>
      </c>
      <c r="R3" s="126" t="s">
        <v>492</v>
      </c>
      <c r="S3" s="126" t="s">
        <v>493</v>
      </c>
      <c r="T3" s="126" t="s">
        <v>494</v>
      </c>
      <c r="U3" s="126" t="s">
        <v>495</v>
      </c>
      <c r="V3" s="126" t="s">
        <v>496</v>
      </c>
      <c r="W3" s="126" t="s">
        <v>497</v>
      </c>
      <c r="Y3" s="94" t="s">
        <v>485</v>
      </c>
      <c r="Z3" s="94" t="s">
        <v>486</v>
      </c>
      <c r="AA3" s="94" t="s">
        <v>487</v>
      </c>
      <c r="AB3" s="94" t="s">
        <v>488</v>
      </c>
      <c r="AC3" s="94" t="s">
        <v>489</v>
      </c>
      <c r="AD3" s="94" t="s">
        <v>490</v>
      </c>
      <c r="AE3" s="94" t="s">
        <v>491</v>
      </c>
      <c r="AF3" s="94" t="s">
        <v>492</v>
      </c>
      <c r="AG3" s="94" t="s">
        <v>493</v>
      </c>
      <c r="AH3" s="94" t="s">
        <v>494</v>
      </c>
      <c r="AI3" s="94" t="s">
        <v>495</v>
      </c>
      <c r="AJ3" s="94" t="s">
        <v>496</v>
      </c>
      <c r="AK3" s="94" t="s">
        <v>497</v>
      </c>
    </row>
    <row r="4" spans="2:37" x14ac:dyDescent="0.25">
      <c r="B4" s="128" t="s">
        <v>498</v>
      </c>
      <c r="C4" s="129">
        <v>1</v>
      </c>
      <c r="D4" s="130">
        <v>0.04</v>
      </c>
      <c r="E4" s="129">
        <v>40</v>
      </c>
      <c r="F4" s="130">
        <v>5.289E-2</v>
      </c>
      <c r="G4" s="130">
        <v>9.289E-2</v>
      </c>
      <c r="H4" s="129">
        <v>5</v>
      </c>
      <c r="I4" s="130">
        <v>7.4999999999999997E-2</v>
      </c>
      <c r="J4" s="244" t="s">
        <v>499</v>
      </c>
      <c r="K4" s="128">
        <v>2009</v>
      </c>
      <c r="L4" s="128" t="s">
        <v>500</v>
      </c>
      <c r="M4" s="128" t="s">
        <v>500</v>
      </c>
      <c r="N4" s="128" t="s">
        <v>500</v>
      </c>
      <c r="O4" s="128" t="s">
        <v>500</v>
      </c>
      <c r="P4" s="128" t="s">
        <v>500</v>
      </c>
      <c r="Q4" s="128" t="s">
        <v>500</v>
      </c>
      <c r="R4" s="128" t="s">
        <v>500</v>
      </c>
      <c r="S4" s="128" t="s">
        <v>500</v>
      </c>
      <c r="T4" s="128" t="s">
        <v>500</v>
      </c>
      <c r="U4" s="128" t="s">
        <v>500</v>
      </c>
      <c r="V4" s="128">
        <v>100</v>
      </c>
      <c r="W4" s="128">
        <v>99.9</v>
      </c>
      <c r="Y4" s="128">
        <v>2009</v>
      </c>
      <c r="Z4" s="128">
        <v>94.813000000000002</v>
      </c>
      <c r="AA4" s="128">
        <v>95.863000000000014</v>
      </c>
      <c r="AB4" s="128">
        <v>96.379000000000005</v>
      </c>
      <c r="AC4" s="128">
        <v>96.910000000000011</v>
      </c>
      <c r="AD4" s="128">
        <v>97.525999999999996</v>
      </c>
      <c r="AE4" s="128">
        <v>99.363000000000014</v>
      </c>
      <c r="AF4" s="128">
        <v>99.021000000000001</v>
      </c>
      <c r="AG4" s="128">
        <v>99.504000000000005</v>
      </c>
      <c r="AH4" s="128">
        <v>99.638999999999996</v>
      </c>
      <c r="AI4" s="128">
        <v>99.846999999999994</v>
      </c>
      <c r="AJ4" s="128">
        <v>100.00000000000001</v>
      </c>
      <c r="AK4" s="128">
        <v>99.619000000000014</v>
      </c>
    </row>
    <row r="5" spans="2:37" x14ac:dyDescent="0.25">
      <c r="B5" s="128" t="s">
        <v>501</v>
      </c>
      <c r="C5" s="129">
        <v>2</v>
      </c>
      <c r="D5" s="130">
        <v>0</v>
      </c>
      <c r="E5" s="129">
        <v>46</v>
      </c>
      <c r="F5" s="130">
        <v>1.821E-2</v>
      </c>
      <c r="G5" s="130">
        <v>1.821E-2</v>
      </c>
      <c r="H5" s="129">
        <v>46</v>
      </c>
      <c r="I5" s="130">
        <v>7.85E-2</v>
      </c>
      <c r="J5" s="245">
        <v>1</v>
      </c>
      <c r="K5" s="128">
        <v>2010</v>
      </c>
      <c r="L5" s="128">
        <v>100</v>
      </c>
      <c r="M5" s="128">
        <v>100</v>
      </c>
      <c r="N5" s="128">
        <v>99.8</v>
      </c>
      <c r="O5" s="128">
        <v>100</v>
      </c>
      <c r="P5" s="128">
        <v>99.9</v>
      </c>
      <c r="Q5" s="128">
        <v>99.9</v>
      </c>
      <c r="R5" s="128">
        <v>100</v>
      </c>
      <c r="S5" s="128">
        <v>99.9</v>
      </c>
      <c r="T5" s="128">
        <v>99.9</v>
      </c>
      <c r="U5" s="128">
        <v>100.3</v>
      </c>
      <c r="V5" s="128">
        <v>100.1</v>
      </c>
      <c r="W5" s="128">
        <v>100.2</v>
      </c>
      <c r="Y5" s="128">
        <v>2010</v>
      </c>
      <c r="Z5" s="128">
        <v>100.35700000000001</v>
      </c>
      <c r="AA5" s="128">
        <v>100.41100000000002</v>
      </c>
      <c r="AB5" s="128">
        <v>101.301</v>
      </c>
      <c r="AC5" s="128">
        <v>101.67899999999999</v>
      </c>
      <c r="AD5" s="128">
        <v>101.848</v>
      </c>
      <c r="AE5" s="128">
        <v>101.63500000000001</v>
      </c>
      <c r="AF5" s="128">
        <v>101.681</v>
      </c>
      <c r="AG5" s="128">
        <v>101.98200000000001</v>
      </c>
      <c r="AH5" s="128">
        <v>102.10899999999999</v>
      </c>
      <c r="AI5" s="128">
        <v>102.38100000000001</v>
      </c>
      <c r="AJ5" s="128">
        <v>102.473</v>
      </c>
      <c r="AK5" s="128">
        <v>102.849</v>
      </c>
    </row>
    <row r="6" spans="2:37" x14ac:dyDescent="0.25">
      <c r="B6" s="128" t="s">
        <v>502</v>
      </c>
      <c r="C6" s="129">
        <v>3</v>
      </c>
      <c r="D6" s="130">
        <v>5.5999999999999994E-2</v>
      </c>
      <c r="E6" s="129">
        <v>28</v>
      </c>
      <c r="F6" s="130">
        <v>2.7830000000000001E-2</v>
      </c>
      <c r="G6" s="130">
        <v>8.3829999999999988E-2</v>
      </c>
      <c r="H6" s="129">
        <v>12</v>
      </c>
      <c r="I6" s="130">
        <v>5.2999999999999999E-2</v>
      </c>
      <c r="J6" s="129"/>
      <c r="K6" s="128">
        <v>2011</v>
      </c>
      <c r="L6" s="128">
        <v>100.6</v>
      </c>
      <c r="M6" s="128">
        <v>100.6</v>
      </c>
      <c r="N6" s="128">
        <v>100.6</v>
      </c>
      <c r="O6" s="128">
        <v>101.5</v>
      </c>
      <c r="P6" s="128">
        <v>101.4</v>
      </c>
      <c r="Q6" s="128">
        <v>101.4</v>
      </c>
      <c r="R6" s="128">
        <v>102.6</v>
      </c>
      <c r="S6" s="128">
        <v>102.6</v>
      </c>
      <c r="T6" s="128">
        <v>102.6</v>
      </c>
      <c r="U6" s="128">
        <v>104</v>
      </c>
      <c r="V6" s="128">
        <v>104.1</v>
      </c>
      <c r="W6" s="128">
        <v>104</v>
      </c>
      <c r="Y6" s="128">
        <v>2011</v>
      </c>
      <c r="Z6" s="128">
        <v>103.89300000000001</v>
      </c>
      <c r="AA6" s="128">
        <v>104.979</v>
      </c>
      <c r="AB6" s="128">
        <v>107.13700000000001</v>
      </c>
      <c r="AC6" s="128">
        <v>108.57600000000001</v>
      </c>
      <c r="AD6" s="128">
        <v>109.634</v>
      </c>
      <c r="AE6" s="128">
        <v>109.39200000000001</v>
      </c>
      <c r="AF6" s="128">
        <v>109.592</v>
      </c>
      <c r="AG6" s="128">
        <v>110.21499999999999</v>
      </c>
      <c r="AH6" s="128">
        <v>110.55900000000001</v>
      </c>
      <c r="AI6" s="128">
        <v>110.09099999999999</v>
      </c>
      <c r="AJ6" s="128">
        <v>109.89999999999999</v>
      </c>
      <c r="AK6" s="128">
        <v>109.342</v>
      </c>
    </row>
    <row r="7" spans="2:37" x14ac:dyDescent="0.25">
      <c r="B7" s="128" t="s">
        <v>503</v>
      </c>
      <c r="C7" s="129">
        <v>4</v>
      </c>
      <c r="D7" s="130">
        <v>6.5000000000000002E-2</v>
      </c>
      <c r="E7" s="129">
        <v>9</v>
      </c>
      <c r="F7" s="130">
        <v>2.9689999999999998E-2</v>
      </c>
      <c r="G7" s="130">
        <v>9.4689999999999996E-2</v>
      </c>
      <c r="H7" s="129">
        <v>3</v>
      </c>
      <c r="I7" s="130">
        <v>6.1249999999999999E-2</v>
      </c>
      <c r="J7" s="129"/>
      <c r="K7" s="128">
        <v>2012</v>
      </c>
      <c r="L7" s="128">
        <v>104.7</v>
      </c>
      <c r="M7" s="128">
        <v>104.7</v>
      </c>
      <c r="N7" s="128">
        <v>104.8</v>
      </c>
      <c r="O7" s="128">
        <v>105.3</v>
      </c>
      <c r="P7" s="128">
        <v>105.4</v>
      </c>
      <c r="Q7" s="128">
        <v>105.4</v>
      </c>
      <c r="R7" s="128">
        <v>105.4</v>
      </c>
      <c r="S7" s="128">
        <v>105.4</v>
      </c>
      <c r="T7" s="128">
        <v>105.3</v>
      </c>
      <c r="U7" s="128">
        <v>105.6</v>
      </c>
      <c r="V7" s="128">
        <v>105.5</v>
      </c>
      <c r="W7" s="128">
        <v>105.6</v>
      </c>
      <c r="Y7" s="128">
        <v>2012</v>
      </c>
      <c r="Z7" s="128">
        <v>110.33499999999999</v>
      </c>
      <c r="AA7" s="128">
        <v>111.33300000000001</v>
      </c>
      <c r="AB7" s="128">
        <v>113.062</v>
      </c>
      <c r="AC7" s="128">
        <v>113.75500000000001</v>
      </c>
      <c r="AD7" s="128">
        <v>113.485</v>
      </c>
      <c r="AE7" s="128">
        <v>113.14800000000001</v>
      </c>
      <c r="AF7" s="128">
        <v>112.77400000000002</v>
      </c>
      <c r="AG7" s="128">
        <v>114.04899999999999</v>
      </c>
      <c r="AH7" s="128">
        <v>115.07700000000001</v>
      </c>
      <c r="AI7" s="128">
        <v>114.98700000000001</v>
      </c>
      <c r="AJ7" s="128">
        <v>113.89100000000001</v>
      </c>
      <c r="AK7" s="128">
        <v>113.271</v>
      </c>
    </row>
    <row r="8" spans="2:37" x14ac:dyDescent="0.25">
      <c r="B8" s="128" t="s">
        <v>504</v>
      </c>
      <c r="C8" s="129">
        <v>5</v>
      </c>
      <c r="D8" s="130">
        <v>7.2499999999999995E-2</v>
      </c>
      <c r="E8" s="129">
        <v>1</v>
      </c>
      <c r="F8" s="130">
        <v>1.5520000000000001E-2</v>
      </c>
      <c r="G8" s="130">
        <v>8.8020000000000001E-2</v>
      </c>
      <c r="H8" s="129">
        <v>8</v>
      </c>
      <c r="I8" s="130">
        <v>4.7500000000000001E-2</v>
      </c>
      <c r="J8" s="129"/>
      <c r="K8" s="128">
        <v>2013</v>
      </c>
      <c r="L8" s="128">
        <v>106.2</v>
      </c>
      <c r="M8" s="128">
        <v>106.1</v>
      </c>
      <c r="N8" s="128">
        <v>106.1</v>
      </c>
      <c r="O8" s="128">
        <v>106.5</v>
      </c>
      <c r="P8" s="128">
        <v>106.7</v>
      </c>
      <c r="Q8" s="128">
        <v>106.7</v>
      </c>
      <c r="R8" s="128">
        <v>107.3</v>
      </c>
      <c r="S8" s="128">
        <v>107.3</v>
      </c>
      <c r="T8" s="128">
        <v>107.5</v>
      </c>
      <c r="U8" s="128">
        <v>108.9</v>
      </c>
      <c r="V8" s="128">
        <v>108.9</v>
      </c>
      <c r="W8" s="128">
        <v>109.1</v>
      </c>
      <c r="Y8" s="128">
        <v>2013</v>
      </c>
      <c r="Z8" s="128">
        <v>113.95</v>
      </c>
      <c r="AA8" s="128">
        <v>115.836</v>
      </c>
      <c r="AB8" s="128">
        <v>116.443</v>
      </c>
      <c r="AC8" s="128">
        <v>116.20100000000001</v>
      </c>
      <c r="AD8" s="128">
        <v>116.61499999999999</v>
      </c>
      <c r="AE8" s="128">
        <v>117.17399999999999</v>
      </c>
      <c r="AF8" s="128">
        <v>117.26600000000001</v>
      </c>
      <c r="AG8" s="128">
        <v>117.54700000000001</v>
      </c>
      <c r="AH8" s="128">
        <v>117.819</v>
      </c>
      <c r="AI8" s="128">
        <v>117.21599999999999</v>
      </c>
      <c r="AJ8" s="128">
        <v>116.73899999999999</v>
      </c>
      <c r="AK8" s="128">
        <v>116.71900000000001</v>
      </c>
    </row>
    <row r="9" spans="2:37" x14ac:dyDescent="0.25">
      <c r="B9" s="128" t="s">
        <v>505</v>
      </c>
      <c r="C9" s="129">
        <v>6</v>
      </c>
      <c r="D9" s="130">
        <v>2.8999999999999998E-2</v>
      </c>
      <c r="E9" s="129">
        <v>45</v>
      </c>
      <c r="F9" s="130">
        <v>4.9070000000000003E-2</v>
      </c>
      <c r="G9" s="130">
        <v>7.8070000000000001E-2</v>
      </c>
      <c r="H9" s="129">
        <v>16</v>
      </c>
      <c r="I9" s="130">
        <v>8.3000000000000004E-2</v>
      </c>
      <c r="J9" s="129"/>
      <c r="K9" s="128">
        <v>2014</v>
      </c>
      <c r="L9" s="128">
        <v>109.7</v>
      </c>
      <c r="M9" s="128">
        <v>109.7</v>
      </c>
      <c r="N9" s="128">
        <v>109.8</v>
      </c>
      <c r="O9" s="128">
        <v>110.1</v>
      </c>
      <c r="P9" s="128">
        <v>110.1</v>
      </c>
      <c r="Q9" s="128">
        <v>110.2</v>
      </c>
      <c r="R9" s="128">
        <v>110.6</v>
      </c>
      <c r="S9" s="128">
        <v>110.7</v>
      </c>
      <c r="T9" s="128">
        <v>110.7</v>
      </c>
      <c r="U9" s="128">
        <v>111.3</v>
      </c>
      <c r="V9" s="128">
        <v>111.2</v>
      </c>
      <c r="W9" s="128">
        <v>111.4</v>
      </c>
      <c r="Y9" s="128">
        <v>2014</v>
      </c>
      <c r="Z9" s="128">
        <v>117.586</v>
      </c>
      <c r="AA9" s="128">
        <v>118.45100000000001</v>
      </c>
      <c r="AB9" s="128">
        <v>119.96300000000001</v>
      </c>
      <c r="AC9" s="128">
        <v>120.742</v>
      </c>
      <c r="AD9" s="128">
        <v>121.57000000000001</v>
      </c>
      <c r="AE9" s="128">
        <v>122.01299999999999</v>
      </c>
      <c r="AF9" s="128">
        <v>121.92</v>
      </c>
      <c r="AG9" s="128">
        <v>121.52200000000001</v>
      </c>
      <c r="AH9" s="128">
        <v>121.70100000000001</v>
      </c>
      <c r="AI9" s="128">
        <v>121.10299999999999</v>
      </c>
      <c r="AJ9" s="128">
        <v>119.82100000000001</v>
      </c>
      <c r="AK9" s="128">
        <v>118.48200000000001</v>
      </c>
    </row>
    <row r="10" spans="2:37" x14ac:dyDescent="0.25">
      <c r="B10" s="128" t="s">
        <v>506</v>
      </c>
      <c r="C10" s="129">
        <v>7</v>
      </c>
      <c r="D10" s="130">
        <v>6.3500000000000001E-2</v>
      </c>
      <c r="E10" s="129">
        <v>12</v>
      </c>
      <c r="F10" s="130">
        <v>0</v>
      </c>
      <c r="G10" s="130">
        <v>6.3500000000000001E-2</v>
      </c>
      <c r="H10" s="129">
        <v>33</v>
      </c>
      <c r="I10" s="130">
        <v>0</v>
      </c>
      <c r="J10" s="129"/>
      <c r="K10" s="128">
        <v>2015</v>
      </c>
      <c r="L10" s="128">
        <v>112</v>
      </c>
      <c r="M10" s="128">
        <v>112</v>
      </c>
      <c r="N10" s="128">
        <v>112</v>
      </c>
      <c r="O10" s="128">
        <v>111.9</v>
      </c>
      <c r="P10" s="128">
        <v>112</v>
      </c>
      <c r="Q10" s="128">
        <v>112</v>
      </c>
      <c r="R10" s="128">
        <v>112.7</v>
      </c>
      <c r="S10" s="128">
        <v>112.7</v>
      </c>
      <c r="T10" s="128">
        <v>112.7</v>
      </c>
      <c r="U10" s="128">
        <v>113.7</v>
      </c>
      <c r="V10" s="128">
        <v>113.6</v>
      </c>
      <c r="W10" s="128">
        <v>113.6</v>
      </c>
      <c r="Y10" s="128">
        <v>2015</v>
      </c>
      <c r="Z10" s="128">
        <v>117.377</v>
      </c>
      <c r="AA10" s="128">
        <v>118.39200000000001</v>
      </c>
      <c r="AB10" s="128">
        <v>119.789</v>
      </c>
      <c r="AC10" s="128">
        <v>120.26899999999999</v>
      </c>
      <c r="AD10" s="128">
        <v>121.47500000000001</v>
      </c>
      <c r="AE10" s="128">
        <v>122.30800000000001</v>
      </c>
      <c r="AF10" s="128">
        <v>122.324</v>
      </c>
      <c r="AG10" s="128">
        <v>121.986</v>
      </c>
      <c r="AH10" s="128">
        <v>121.61499999999999</v>
      </c>
      <c r="AI10" s="128">
        <v>121.508</v>
      </c>
      <c r="AJ10" s="128">
        <v>121.00600000000001</v>
      </c>
      <c r="AK10" s="128">
        <v>120.19500000000001</v>
      </c>
    </row>
    <row r="11" spans="2:37" x14ac:dyDescent="0.25">
      <c r="B11" s="128" t="s">
        <v>507</v>
      </c>
      <c r="C11" s="129">
        <v>8</v>
      </c>
      <c r="D11" s="130">
        <v>0</v>
      </c>
      <c r="E11" s="129">
        <v>46</v>
      </c>
      <c r="F11" s="130">
        <v>0</v>
      </c>
      <c r="G11" s="130">
        <v>0</v>
      </c>
      <c r="H11" s="129">
        <v>47</v>
      </c>
      <c r="I11" s="130">
        <v>0</v>
      </c>
      <c r="J11" s="129"/>
      <c r="K11" s="128">
        <v>2016</v>
      </c>
      <c r="L11" s="128">
        <v>113.3</v>
      </c>
      <c r="M11" s="128">
        <v>113.2</v>
      </c>
      <c r="N11" s="128">
        <v>113.1</v>
      </c>
      <c r="O11" s="128">
        <v>114.2</v>
      </c>
      <c r="P11" s="128">
        <v>114.2</v>
      </c>
      <c r="Q11" s="128">
        <v>114.2</v>
      </c>
      <c r="R11" s="128">
        <v>113.6</v>
      </c>
      <c r="S11" s="128">
        <v>113.6</v>
      </c>
      <c r="T11" s="128">
        <v>113.6</v>
      </c>
      <c r="U11" s="128">
        <v>114.6</v>
      </c>
      <c r="V11" s="128">
        <v>114.5</v>
      </c>
      <c r="W11" s="128">
        <v>114.5</v>
      </c>
      <c r="Y11" s="128">
        <v>2016</v>
      </c>
      <c r="Z11" s="128">
        <v>120.586</v>
      </c>
      <c r="AA11" s="128">
        <v>120.78099999999999</v>
      </c>
      <c r="AB11" s="128">
        <v>121.80200000000001</v>
      </c>
      <c r="AC11" s="128">
        <v>122.931</v>
      </c>
      <c r="AD11" s="128">
        <v>123.89900000000002</v>
      </c>
      <c r="AE11" s="128">
        <v>124.688</v>
      </c>
      <c r="AF11" s="128">
        <v>124.29799999999999</v>
      </c>
      <c r="AG11" s="128">
        <v>124.51899999999999</v>
      </c>
      <c r="AH11" s="128">
        <v>125.098</v>
      </c>
      <c r="AI11" s="128">
        <v>125.39900000000002</v>
      </c>
      <c r="AJ11" s="128">
        <v>125.02300000000001</v>
      </c>
      <c r="AK11" s="128">
        <v>125.10199999999999</v>
      </c>
    </row>
    <row r="12" spans="2:37" x14ac:dyDescent="0.25">
      <c r="B12" s="128" t="s">
        <v>508</v>
      </c>
      <c r="C12" s="129">
        <v>9</v>
      </c>
      <c r="D12" s="130">
        <v>0.06</v>
      </c>
      <c r="E12" s="129">
        <v>17</v>
      </c>
      <c r="F12" s="130">
        <v>1.0019999999999999E-2</v>
      </c>
      <c r="G12" s="130">
        <v>7.0019999999999999E-2</v>
      </c>
      <c r="H12" s="129">
        <v>24</v>
      </c>
      <c r="I12" s="130">
        <v>0.02</v>
      </c>
      <c r="J12" s="129"/>
      <c r="K12" s="128">
        <v>2017</v>
      </c>
      <c r="L12" s="128">
        <v>114.8</v>
      </c>
      <c r="M12" s="128">
        <v>114.9</v>
      </c>
      <c r="N12" s="128">
        <v>114.9</v>
      </c>
      <c r="O12" s="128">
        <v>115.5</v>
      </c>
      <c r="P12" s="128">
        <v>115.6</v>
      </c>
      <c r="Q12" s="128">
        <v>115.7</v>
      </c>
      <c r="R12" s="128">
        <v>117.2</v>
      </c>
      <c r="S12" s="128">
        <v>117.2</v>
      </c>
      <c r="T12" s="128">
        <v>117.2</v>
      </c>
      <c r="U12" s="128">
        <v>117.9</v>
      </c>
      <c r="V12" s="128">
        <v>117.9</v>
      </c>
      <c r="W12" s="128">
        <v>118</v>
      </c>
      <c r="Y12" s="128">
        <v>2017</v>
      </c>
      <c r="Z12" s="128">
        <v>126.509</v>
      </c>
      <c r="AA12" s="128">
        <v>127.27300000000001</v>
      </c>
      <c r="AB12" s="128">
        <v>127.47099999999999</v>
      </c>
      <c r="AC12" s="128">
        <v>128.19399999999999</v>
      </c>
      <c r="AD12" s="128">
        <v>128.40299999999999</v>
      </c>
      <c r="AE12" s="128">
        <v>128.625</v>
      </c>
      <c r="AF12" s="128">
        <v>128.45599999999999</v>
      </c>
      <c r="AG12" s="128">
        <v>129.18899999999999</v>
      </c>
      <c r="AH12" s="128">
        <v>130.48899999999998</v>
      </c>
      <c r="AI12" s="128">
        <v>130.333</v>
      </c>
      <c r="AJ12" s="128">
        <v>130.339</v>
      </c>
      <c r="AK12" s="128">
        <v>130.19399999999999</v>
      </c>
    </row>
    <row r="13" spans="2:37" x14ac:dyDescent="0.25">
      <c r="B13" s="128" t="s">
        <v>509</v>
      </c>
      <c r="C13" s="129">
        <v>10</v>
      </c>
      <c r="D13" s="130">
        <v>0.04</v>
      </c>
      <c r="E13" s="129">
        <v>40</v>
      </c>
      <c r="F13" s="130">
        <v>3.4230000000000003E-2</v>
      </c>
      <c r="G13" s="130">
        <v>7.4230000000000004E-2</v>
      </c>
      <c r="H13" s="129">
        <v>19</v>
      </c>
      <c r="I13" s="130">
        <v>0.05</v>
      </c>
      <c r="J13" s="129"/>
      <c r="K13" s="128">
        <v>2018</v>
      </c>
      <c r="L13" s="128">
        <v>118.9</v>
      </c>
      <c r="M13" s="128">
        <v>119</v>
      </c>
      <c r="N13" s="128">
        <v>119</v>
      </c>
      <c r="O13" s="128">
        <v>120.4</v>
      </c>
      <c r="P13" s="128">
        <v>120.5</v>
      </c>
      <c r="Q13" s="128">
        <v>120.8</v>
      </c>
      <c r="R13" s="128">
        <v>121.4</v>
      </c>
      <c r="S13" s="128">
        <v>121.5</v>
      </c>
      <c r="T13" s="128">
        <v>121.6</v>
      </c>
      <c r="U13" s="128">
        <v>123.9</v>
      </c>
      <c r="V13" s="128">
        <v>124.2</v>
      </c>
      <c r="W13" s="128">
        <v>124.3</v>
      </c>
      <c r="Y13" s="128">
        <v>2018</v>
      </c>
      <c r="Z13" s="128">
        <v>131.53699999999998</v>
      </c>
      <c r="AA13" s="128">
        <v>132.661</v>
      </c>
      <c r="AB13" s="128">
        <v>133.22399999999999</v>
      </c>
      <c r="AC13" s="128">
        <v>134.21599999999998</v>
      </c>
      <c r="AD13" s="128">
        <v>135.25799999999998</v>
      </c>
      <c r="AE13" s="128">
        <v>135.65899999999999</v>
      </c>
      <c r="AF13" s="128">
        <v>135.67599999999999</v>
      </c>
      <c r="AG13" s="128">
        <v>135.81599999999997</v>
      </c>
      <c r="AH13" s="128">
        <v>136.10899999999998</v>
      </c>
      <c r="AI13" s="128">
        <v>136.55499999999998</v>
      </c>
      <c r="AJ13" s="128">
        <v>135.708</v>
      </c>
      <c r="AK13" s="128">
        <v>134.90299999999999</v>
      </c>
    </row>
    <row r="14" spans="2:37" x14ac:dyDescent="0.25">
      <c r="B14" s="128" t="s">
        <v>510</v>
      </c>
      <c r="C14" s="129">
        <v>11</v>
      </c>
      <c r="D14" s="130">
        <v>0.04</v>
      </c>
      <c r="E14" s="129">
        <v>40</v>
      </c>
      <c r="F14" s="130">
        <v>5.0000000000000001E-3</v>
      </c>
      <c r="G14" s="130">
        <v>4.4999999999999998E-2</v>
      </c>
      <c r="H14" s="129">
        <v>45</v>
      </c>
      <c r="I14" s="130">
        <v>5.0000000000000001E-3</v>
      </c>
      <c r="J14" s="129"/>
      <c r="K14" s="128">
        <v>2019</v>
      </c>
      <c r="L14" s="128">
        <v>125.2</v>
      </c>
      <c r="M14" s="128">
        <v>125.2</v>
      </c>
      <c r="N14" s="128">
        <v>125.3</v>
      </c>
      <c r="O14" s="128">
        <v>127</v>
      </c>
      <c r="P14" s="128">
        <v>127.1</v>
      </c>
      <c r="Q14" s="128">
        <v>127.1</v>
      </c>
      <c r="R14" s="128">
        <v>128.1</v>
      </c>
      <c r="S14" s="128">
        <v>128.1</v>
      </c>
      <c r="T14" s="128">
        <v>128.30000000000001</v>
      </c>
      <c r="U14" s="128">
        <v>128.80000000000001</v>
      </c>
      <c r="V14" s="128">
        <v>128.9</v>
      </c>
      <c r="W14" s="128">
        <v>129</v>
      </c>
      <c r="Y14" s="128">
        <v>2019</v>
      </c>
      <c r="Z14" s="128">
        <v>135.38199999999998</v>
      </c>
      <c r="AA14" s="128">
        <v>136.446</v>
      </c>
      <c r="AB14" s="128">
        <v>137.87199999999999</v>
      </c>
      <c r="AC14" s="128">
        <v>139.21799999999999</v>
      </c>
      <c r="AD14" s="128">
        <v>139.76199999999997</v>
      </c>
      <c r="AE14" s="128">
        <v>139.81299999999996</v>
      </c>
      <c r="AF14" s="128">
        <v>140.24100000000001</v>
      </c>
      <c r="AG14" s="128">
        <v>140.22799999999998</v>
      </c>
      <c r="AH14" s="128">
        <v>140.429</v>
      </c>
      <c r="AI14" s="128">
        <v>141.01599999999999</v>
      </c>
      <c r="AJ14" s="128">
        <v>140.87800000000001</v>
      </c>
      <c r="AK14" s="128">
        <v>140.64399999999998</v>
      </c>
    </row>
    <row r="15" spans="2:37" x14ac:dyDescent="0.25">
      <c r="B15" s="128" t="s">
        <v>511</v>
      </c>
      <c r="C15" s="129">
        <v>12</v>
      </c>
      <c r="D15" s="130">
        <v>0.06</v>
      </c>
      <c r="E15" s="129">
        <v>17</v>
      </c>
      <c r="F15" s="130">
        <v>2.7E-4</v>
      </c>
      <c r="G15" s="130">
        <v>6.0270000000000004E-2</v>
      </c>
      <c r="H15" s="129">
        <v>37</v>
      </c>
      <c r="I15" s="130">
        <v>0.03</v>
      </c>
      <c r="J15" s="129"/>
      <c r="K15" s="128">
        <v>2020</v>
      </c>
      <c r="L15" s="128">
        <v>129.69999999999999</v>
      </c>
      <c r="M15" s="128">
        <v>129.9</v>
      </c>
      <c r="N15" s="128">
        <v>129.80000000000001</v>
      </c>
      <c r="O15" s="128">
        <v>130.5</v>
      </c>
      <c r="P15" s="128">
        <v>130.5</v>
      </c>
      <c r="Q15" s="128">
        <v>130.4</v>
      </c>
      <c r="R15" s="128">
        <v>131.1</v>
      </c>
      <c r="S15" s="128">
        <v>130.80000000000001</v>
      </c>
      <c r="T15" s="128">
        <v>130.6</v>
      </c>
      <c r="U15" s="128">
        <v>130.6</v>
      </c>
      <c r="V15" s="128">
        <v>130.69999999999999</v>
      </c>
      <c r="W15" s="128">
        <v>130.69999999999999</v>
      </c>
      <c r="Y15" s="128">
        <v>2020</v>
      </c>
      <c r="Z15" s="128">
        <v>141.64099999999999</v>
      </c>
      <c r="AA15" s="128">
        <v>142.34799999999998</v>
      </c>
      <c r="AB15" s="128">
        <v>141.785</v>
      </c>
      <c r="AC15" s="128">
        <v>140.059</v>
      </c>
      <c r="AD15" s="128">
        <v>140.06399999999999</v>
      </c>
      <c r="AE15" s="128">
        <v>141.46700000000001</v>
      </c>
      <c r="AF15" s="128">
        <v>142.77099999999999</v>
      </c>
      <c r="AG15" s="128">
        <v>143.58799999999999</v>
      </c>
      <c r="AH15" s="128">
        <v>143.94999999999996</v>
      </c>
      <c r="AI15" s="128">
        <v>144.05799999999996</v>
      </c>
      <c r="AJ15" s="128">
        <v>143.89899999999997</v>
      </c>
      <c r="AK15" s="128">
        <v>144.14399999999998</v>
      </c>
    </row>
    <row r="16" spans="2:37" x14ac:dyDescent="0.25">
      <c r="B16" s="128" t="s">
        <v>512</v>
      </c>
      <c r="C16" s="129">
        <v>13</v>
      </c>
      <c r="D16" s="130">
        <v>6.25E-2</v>
      </c>
      <c r="E16" s="129">
        <v>13</v>
      </c>
      <c r="F16" s="130">
        <v>2.6210000000000001E-2</v>
      </c>
      <c r="G16" s="130">
        <v>8.8710000000000011E-2</v>
      </c>
      <c r="H16" s="129">
        <v>7</v>
      </c>
      <c r="I16" s="130">
        <v>4.7500000000000001E-2</v>
      </c>
      <c r="J16" s="129"/>
      <c r="K16" s="128">
        <v>2021</v>
      </c>
      <c r="L16" s="128">
        <v>131.1</v>
      </c>
      <c r="M16" s="128">
        <v>131.30000000000001</v>
      </c>
      <c r="N16" s="128">
        <v>131.9</v>
      </c>
      <c r="O16" s="128">
        <v>133.69999999999999</v>
      </c>
      <c r="P16" s="128">
        <v>134.6</v>
      </c>
      <c r="Q16" s="128">
        <v>134.69999999999999</v>
      </c>
      <c r="R16" s="128">
        <v>137.196</v>
      </c>
      <c r="S16" s="128">
        <v>137.55600000000001</v>
      </c>
      <c r="T16" s="128">
        <v>137.77199999999999</v>
      </c>
      <c r="U16" s="128">
        <v>147.209</v>
      </c>
      <c r="V16" s="128">
        <v>147.75700000000001</v>
      </c>
      <c r="W16" s="128">
        <v>148.19499999999999</v>
      </c>
      <c r="Y16" s="128">
        <v>2021</v>
      </c>
      <c r="Z16" s="128">
        <v>145.25199999999998</v>
      </c>
      <c r="AA16" s="128">
        <v>146.684</v>
      </c>
      <c r="AB16" s="128">
        <v>148.547</v>
      </c>
      <c r="AC16" s="128">
        <v>150.72399999999996</v>
      </c>
      <c r="AD16" s="128">
        <v>152.86499999999998</v>
      </c>
      <c r="AE16" s="128">
        <v>155.36600000000001</v>
      </c>
      <c r="AF16" s="128">
        <v>156.67299999999997</v>
      </c>
      <c r="AG16" s="128">
        <v>157.23699999999999</v>
      </c>
      <c r="AH16" s="128">
        <v>157.97999999999999</v>
      </c>
      <c r="AI16" s="128">
        <v>160.25899999999999</v>
      </c>
      <c r="AJ16" s="128">
        <v>161.61799999999997</v>
      </c>
      <c r="AK16" s="128">
        <v>162.47200000000001</v>
      </c>
    </row>
    <row r="17" spans="2:37" x14ac:dyDescent="0.25">
      <c r="B17" s="128" t="s">
        <v>513</v>
      </c>
      <c r="C17" s="129">
        <v>14</v>
      </c>
      <c r="D17" s="130">
        <v>7.0000000000000007E-2</v>
      </c>
      <c r="E17" s="129">
        <v>2</v>
      </c>
      <c r="F17" s="130">
        <v>0</v>
      </c>
      <c r="G17" s="130">
        <v>7.0000000000000007E-2</v>
      </c>
      <c r="H17" s="129">
        <v>25</v>
      </c>
      <c r="I17" s="130">
        <v>0</v>
      </c>
      <c r="J17" s="129"/>
      <c r="K17" s="128">
        <v>2022</v>
      </c>
      <c r="L17" s="128">
        <v>153.666</v>
      </c>
      <c r="M17" s="128">
        <v>154.63200000000001</v>
      </c>
      <c r="N17" s="128">
        <v>155.53200000000001</v>
      </c>
      <c r="O17" s="128">
        <v>161.477</v>
      </c>
      <c r="P17" s="128">
        <v>162.06200000000001</v>
      </c>
      <c r="Q17" s="128">
        <v>163.02500000000001</v>
      </c>
      <c r="R17" s="128">
        <v>172.01900000000001</v>
      </c>
      <c r="S17" s="128">
        <v>172.298</v>
      </c>
      <c r="T17" s="128">
        <v>172.65799999999999</v>
      </c>
      <c r="U17" s="128">
        <v>177.22900000000001</v>
      </c>
      <c r="V17" s="128">
        <v>177.358</v>
      </c>
      <c r="W17" s="128">
        <v>177.47399999999999</v>
      </c>
      <c r="Y17" s="128">
        <v>2022</v>
      </c>
      <c r="Z17" s="128">
        <v>164.81800000000001</v>
      </c>
      <c r="AA17" s="128">
        <v>167.386</v>
      </c>
      <c r="AB17" s="128">
        <v>171.17400000000001</v>
      </c>
      <c r="AC17" s="128">
        <v>172.77899999999997</v>
      </c>
      <c r="AD17" s="128">
        <v>175.96599999999998</v>
      </c>
      <c r="AE17" s="128">
        <v>179.98099999999997</v>
      </c>
      <c r="AF17" s="128">
        <v>179.946</v>
      </c>
      <c r="AG17" s="128">
        <v>179.84099999999998</v>
      </c>
      <c r="AH17" s="128">
        <v>180.47799999999998</v>
      </c>
      <c r="AI17" s="128">
        <v>181.68199999999999</v>
      </c>
      <c r="AJ17" s="128">
        <v>181.381</v>
      </c>
      <c r="AK17" s="128">
        <v>180.46700000000001</v>
      </c>
    </row>
    <row r="18" spans="2:37" x14ac:dyDescent="0.25">
      <c r="B18" s="128" t="s">
        <v>514</v>
      </c>
      <c r="C18" s="129">
        <v>15</v>
      </c>
      <c r="D18" s="130">
        <v>0.06</v>
      </c>
      <c r="E18" s="129">
        <v>17</v>
      </c>
      <c r="F18" s="130">
        <v>9.4299999999999991E-3</v>
      </c>
      <c r="G18" s="130">
        <v>6.9429999999999992E-2</v>
      </c>
      <c r="H18" s="129">
        <v>29</v>
      </c>
      <c r="I18" s="130">
        <v>0.02</v>
      </c>
      <c r="J18" s="129"/>
      <c r="K18" s="128">
        <v>2023</v>
      </c>
      <c r="L18" s="128">
        <v>180.84899999999999</v>
      </c>
      <c r="M18" s="128">
        <v>180.876</v>
      </c>
      <c r="N18" s="128">
        <v>181.01599999999999</v>
      </c>
      <c r="O18" s="128">
        <v>180.75200000000001</v>
      </c>
      <c r="P18" s="128">
        <v>180.97499999999999</v>
      </c>
      <c r="Q18" s="128">
        <v>181.04900000000001</v>
      </c>
      <c r="R18" s="128">
        <v>178.756</v>
      </c>
      <c r="S18" s="128">
        <v>178.94399999999999</v>
      </c>
      <c r="T18" s="128">
        <v>179.053</v>
      </c>
      <c r="U18" s="128">
        <v>178.55699999999999</v>
      </c>
      <c r="V18" s="128">
        <v>178.17099999999999</v>
      </c>
      <c r="W18" s="128">
        <v>178.291</v>
      </c>
      <c r="Y18" s="128">
        <v>2023</v>
      </c>
      <c r="Z18" s="128">
        <v>182.84</v>
      </c>
      <c r="AA18" s="128">
        <v>184.50999999999996</v>
      </c>
      <c r="AB18" s="128">
        <v>185.506</v>
      </c>
      <c r="AC18" s="128">
        <v>187.03299999999999</v>
      </c>
      <c r="AD18" s="128">
        <v>187.797</v>
      </c>
      <c r="AE18" s="128">
        <v>188.77899999999997</v>
      </c>
      <c r="AF18" s="128">
        <v>189.36099999999996</v>
      </c>
      <c r="AG18" s="128">
        <v>190.696</v>
      </c>
      <c r="AH18" s="128">
        <v>191.45899999999997</v>
      </c>
      <c r="AI18" s="128">
        <v>191.34099999999998</v>
      </c>
      <c r="AJ18" s="128">
        <v>190.72099999999998</v>
      </c>
      <c r="AK18" s="128">
        <v>190.41599999999997</v>
      </c>
    </row>
    <row r="19" spans="2:37" x14ac:dyDescent="0.25">
      <c r="B19" s="128" t="s">
        <v>515</v>
      </c>
      <c r="C19" s="129">
        <v>16</v>
      </c>
      <c r="D19" s="130">
        <v>6.5000000000000002E-2</v>
      </c>
      <c r="E19" s="129">
        <v>9</v>
      </c>
      <c r="F19" s="130">
        <v>2.2759999999999999E-2</v>
      </c>
      <c r="G19" s="130">
        <v>8.7760000000000005E-2</v>
      </c>
      <c r="H19" s="129">
        <v>9</v>
      </c>
      <c r="I19" s="130">
        <v>4.2500000000000003E-2</v>
      </c>
      <c r="J19" s="129"/>
      <c r="K19" s="128">
        <v>2024</v>
      </c>
      <c r="L19" s="128">
        <v>178.761</v>
      </c>
      <c r="M19" s="128">
        <v>178.69300000000001</v>
      </c>
      <c r="N19" s="128">
        <v>178.90700000000001</v>
      </c>
      <c r="O19" s="128">
        <v>178.874</v>
      </c>
      <c r="P19" s="128">
        <v>178.99700000000001</v>
      </c>
      <c r="Q19" s="128">
        <v>179.66</v>
      </c>
      <c r="R19" s="128">
        <v>180.74700000000001</v>
      </c>
      <c r="S19" s="128">
        <v>180.67500000000001</v>
      </c>
      <c r="T19" s="128">
        <v>180.911</v>
      </c>
      <c r="U19" s="128">
        <v>180.411</v>
      </c>
      <c r="V19" s="128">
        <v>180.43600000000001</v>
      </c>
      <c r="W19" s="128">
        <v>180.75</v>
      </c>
      <c r="Y19" s="128">
        <v>2024</v>
      </c>
      <c r="Z19" s="128">
        <v>192.08699999999996</v>
      </c>
      <c r="AA19" s="128">
        <v>193.99600000000001</v>
      </c>
      <c r="AB19" s="128">
        <v>196.00199999999998</v>
      </c>
      <c r="AC19" s="128">
        <v>197.21799999999999</v>
      </c>
      <c r="AD19" s="128">
        <v>197.739</v>
      </c>
      <c r="AE19" s="128">
        <v>197.845</v>
      </c>
      <c r="AF19" s="128">
        <v>198.21</v>
      </c>
      <c r="AG19" s="128">
        <v>198.46599999999998</v>
      </c>
      <c r="AH19" s="128">
        <v>198.97099999999998</v>
      </c>
      <c r="AI19" s="128">
        <v>199.33399999999997</v>
      </c>
      <c r="AJ19" s="128">
        <v>199.16299999999998</v>
      </c>
      <c r="AK19" s="128">
        <v>199.27500000000001</v>
      </c>
    </row>
    <row r="20" spans="2:37" x14ac:dyDescent="0.25">
      <c r="B20" s="128" t="s">
        <v>516</v>
      </c>
      <c r="C20" s="129">
        <v>17</v>
      </c>
      <c r="D20" s="130">
        <v>0.06</v>
      </c>
      <c r="E20" s="129">
        <v>17</v>
      </c>
      <c r="F20" s="130">
        <v>0</v>
      </c>
      <c r="G20" s="130">
        <v>0.06</v>
      </c>
      <c r="H20" s="129">
        <v>38</v>
      </c>
      <c r="I20" s="130">
        <v>0</v>
      </c>
      <c r="J20" s="129"/>
      <c r="K20" s="128">
        <v>2025</v>
      </c>
      <c r="L20" s="128">
        <v>181.291</v>
      </c>
      <c r="M20" s="128">
        <v>181.09</v>
      </c>
      <c r="N20" s="128" t="s">
        <v>500</v>
      </c>
      <c r="O20" s="128" t="s">
        <v>500</v>
      </c>
      <c r="P20" s="128" t="s">
        <v>500</v>
      </c>
      <c r="Q20" s="128" t="s">
        <v>500</v>
      </c>
      <c r="R20" s="128" t="s">
        <v>500</v>
      </c>
      <c r="S20" s="128" t="s">
        <v>500</v>
      </c>
      <c r="T20" s="128" t="s">
        <v>500</v>
      </c>
      <c r="U20" s="128" t="s">
        <v>500</v>
      </c>
      <c r="V20" s="128" t="s">
        <v>500</v>
      </c>
      <c r="W20" s="128"/>
      <c r="Y20" s="128">
        <v>2025</v>
      </c>
      <c r="Z20" s="128">
        <v>201.34099999999998</v>
      </c>
      <c r="AA20" s="128">
        <v>202.75199999999998</v>
      </c>
      <c r="AB20" s="128"/>
      <c r="AC20" s="128"/>
      <c r="AD20" s="128"/>
      <c r="AE20" s="128"/>
      <c r="AF20" s="128"/>
      <c r="AG20" s="128"/>
      <c r="AH20" s="128"/>
      <c r="AI20" s="128"/>
      <c r="AJ20" s="128"/>
      <c r="AK20" s="128"/>
    </row>
    <row r="21" spans="2:37" x14ac:dyDescent="0.25">
      <c r="B21" s="128" t="s">
        <v>517</v>
      </c>
      <c r="C21" s="129">
        <v>18</v>
      </c>
      <c r="D21" s="130">
        <v>4.4500000000000005E-2</v>
      </c>
      <c r="E21" s="129">
        <v>37</v>
      </c>
      <c r="F21" s="130">
        <v>5.1150000000000001E-2</v>
      </c>
      <c r="G21" s="130">
        <v>9.5649999999999999E-2</v>
      </c>
      <c r="H21" s="129">
        <v>1</v>
      </c>
      <c r="I21" s="130">
        <v>7.0000000000000007E-2</v>
      </c>
      <c r="J21" s="129"/>
      <c r="K21" s="128">
        <v>2026</v>
      </c>
      <c r="L21" s="128"/>
      <c r="M21" s="128"/>
      <c r="N21" s="128"/>
      <c r="O21" s="128"/>
      <c r="P21" s="128"/>
      <c r="Q21" s="128"/>
      <c r="R21" s="128"/>
      <c r="S21" s="128"/>
      <c r="T21" s="128"/>
      <c r="U21" s="128"/>
      <c r="V21" s="128"/>
      <c r="W21" s="128"/>
      <c r="Y21" s="9">
        <v>2026</v>
      </c>
    </row>
    <row r="22" spans="2:37" x14ac:dyDescent="0.25">
      <c r="B22" s="128" t="s">
        <v>518</v>
      </c>
      <c r="C22" s="129">
        <v>19</v>
      </c>
      <c r="D22" s="130">
        <v>5.5E-2</v>
      </c>
      <c r="E22" s="129">
        <v>29</v>
      </c>
      <c r="F22" s="130">
        <v>0</v>
      </c>
      <c r="G22" s="130">
        <v>5.5E-2</v>
      </c>
      <c r="H22" s="129">
        <v>43</v>
      </c>
      <c r="I22" s="130">
        <v>0</v>
      </c>
      <c r="J22" s="129"/>
    </row>
    <row r="23" spans="2:37" x14ac:dyDescent="0.25">
      <c r="B23" s="128" t="s">
        <v>519</v>
      </c>
      <c r="C23" s="129">
        <v>20</v>
      </c>
      <c r="D23" s="130">
        <v>0.06</v>
      </c>
      <c r="E23" s="129">
        <v>17</v>
      </c>
      <c r="F23" s="130">
        <v>0</v>
      </c>
      <c r="G23" s="130">
        <v>0.06</v>
      </c>
      <c r="H23" s="129">
        <v>38</v>
      </c>
      <c r="I23" s="130">
        <v>0</v>
      </c>
      <c r="J23" s="129"/>
      <c r="K23" s="470" t="s">
        <v>520</v>
      </c>
      <c r="L23" s="470"/>
      <c r="M23" s="470"/>
      <c r="N23" s="470"/>
      <c r="O23" s="470"/>
      <c r="P23" s="470"/>
      <c r="Q23" s="470"/>
      <c r="R23" s="470"/>
      <c r="S23" s="470"/>
      <c r="T23" s="470"/>
      <c r="U23" s="470"/>
      <c r="V23" s="470"/>
      <c r="W23" s="470"/>
    </row>
    <row r="24" spans="2:37" x14ac:dyDescent="0.25">
      <c r="B24" s="128" t="s">
        <v>521</v>
      </c>
      <c r="C24" s="129">
        <v>21</v>
      </c>
      <c r="D24" s="130">
        <v>6.25E-2</v>
      </c>
      <c r="E24" s="129">
        <v>13</v>
      </c>
      <c r="F24" s="130">
        <v>0</v>
      </c>
      <c r="G24" s="130">
        <v>6.25E-2</v>
      </c>
      <c r="H24" s="129">
        <v>35</v>
      </c>
      <c r="I24" s="130">
        <v>0</v>
      </c>
      <c r="J24" s="129"/>
      <c r="K24"/>
      <c r="L24" s="49"/>
      <c r="M24" s="246"/>
      <c r="N24" s="246"/>
      <c r="O24" s="246"/>
      <c r="P24" s="246"/>
      <c r="Q24" s="246"/>
      <c r="R24" s="246"/>
      <c r="S24" s="246"/>
      <c r="T24" s="246"/>
      <c r="U24" s="246"/>
      <c r="V24" s="246"/>
      <c r="W24" s="246"/>
      <c r="X24" s="246"/>
      <c r="Y24" s="246"/>
      <c r="Z24" s="246"/>
      <c r="AA24" s="246"/>
      <c r="AB24" s="246"/>
      <c r="AC24" s="246"/>
      <c r="AK24"/>
    </row>
    <row r="25" spans="2:37" x14ac:dyDescent="0.25">
      <c r="B25" s="128" t="s">
        <v>522</v>
      </c>
      <c r="C25" s="129">
        <v>22</v>
      </c>
      <c r="D25" s="130">
        <v>0.06</v>
      </c>
      <c r="E25" s="129">
        <v>17</v>
      </c>
      <c r="F25" s="130">
        <v>0</v>
      </c>
      <c r="G25" s="130">
        <v>0.06</v>
      </c>
      <c r="H25" s="129">
        <v>38</v>
      </c>
      <c r="I25" s="130">
        <v>0</v>
      </c>
      <c r="J25" s="129"/>
      <c r="K25" t="s">
        <v>523</v>
      </c>
      <c r="L25" s="248" t="s">
        <v>524</v>
      </c>
      <c r="M25" s="246" t="s">
        <v>523</v>
      </c>
      <c r="N25" s="246" t="s">
        <v>524</v>
      </c>
      <c r="O25" s="246"/>
      <c r="P25" s="246"/>
      <c r="Q25" s="246"/>
      <c r="R25" s="246"/>
      <c r="S25" s="246"/>
      <c r="T25" s="246"/>
      <c r="U25" s="246"/>
      <c r="V25" s="246"/>
      <c r="W25" s="246"/>
      <c r="X25" s="246"/>
      <c r="Y25" s="246"/>
      <c r="Z25" s="246"/>
      <c r="AA25" s="246"/>
      <c r="AB25" s="246"/>
      <c r="AC25" s="246"/>
      <c r="AK25"/>
    </row>
    <row r="26" spans="2:37" x14ac:dyDescent="0.25">
      <c r="B26" s="128" t="s">
        <v>525</v>
      </c>
      <c r="C26" s="129">
        <v>23</v>
      </c>
      <c r="D26" s="130">
        <v>6.88E-2</v>
      </c>
      <c r="E26" s="129">
        <v>6</v>
      </c>
      <c r="F26" s="130">
        <v>1.248E-2</v>
      </c>
      <c r="G26" s="130">
        <v>8.1229999999999997E-2</v>
      </c>
      <c r="H26" s="129">
        <v>15</v>
      </c>
      <c r="I26" s="130">
        <v>0.03</v>
      </c>
      <c r="J26" s="129"/>
      <c r="K26" s="247">
        <v>40118</v>
      </c>
      <c r="L26" s="246">
        <v>100</v>
      </c>
      <c r="M26" s="249">
        <v>39814</v>
      </c>
      <c r="N26">
        <v>94.813000000000002</v>
      </c>
      <c r="O26" s="246"/>
      <c r="P26" s="246"/>
      <c r="Q26" s="246"/>
      <c r="R26" s="246"/>
      <c r="S26" s="246"/>
      <c r="T26" s="246"/>
      <c r="U26" s="246"/>
      <c r="V26" s="246"/>
      <c r="W26" s="246"/>
      <c r="X26" s="246"/>
      <c r="Y26" s="246"/>
      <c r="Z26" s="246"/>
      <c r="AA26" s="246"/>
      <c r="AB26" s="246"/>
      <c r="AC26" s="246"/>
      <c r="AK26"/>
    </row>
    <row r="27" spans="2:37" x14ac:dyDescent="0.25">
      <c r="B27" s="128" t="s">
        <v>526</v>
      </c>
      <c r="C27" s="129">
        <v>24</v>
      </c>
      <c r="D27" s="130">
        <v>7.0000000000000007E-2</v>
      </c>
      <c r="E27" s="129">
        <v>2</v>
      </c>
      <c r="F27" s="130">
        <v>6.2E-4</v>
      </c>
      <c r="G27" s="130">
        <v>7.0620000000000002E-2</v>
      </c>
      <c r="H27" s="129">
        <v>22</v>
      </c>
      <c r="I27" s="130">
        <v>0.01</v>
      </c>
      <c r="J27" s="129"/>
      <c r="K27" s="247">
        <v>40148</v>
      </c>
      <c r="L27" s="246">
        <v>99.9</v>
      </c>
      <c r="M27" s="249">
        <v>39845</v>
      </c>
      <c r="N27">
        <v>95.863000000000014</v>
      </c>
      <c r="O27" s="246"/>
      <c r="P27" s="246"/>
      <c r="Q27" s="246"/>
      <c r="R27" s="246"/>
      <c r="S27" s="246"/>
      <c r="T27" s="246"/>
      <c r="U27" s="246"/>
      <c r="V27" s="246"/>
      <c r="W27" s="246"/>
      <c r="X27" s="246"/>
      <c r="Y27" s="246"/>
      <c r="Z27" s="246"/>
      <c r="AA27" s="246"/>
      <c r="AB27" s="246"/>
      <c r="AC27" s="246"/>
      <c r="AK27"/>
    </row>
    <row r="28" spans="2:37" x14ac:dyDescent="0.25">
      <c r="B28" s="128" t="s">
        <v>527</v>
      </c>
      <c r="C28" s="129">
        <v>25</v>
      </c>
      <c r="D28" s="130">
        <v>4.2249999999999996E-2</v>
      </c>
      <c r="E28" s="129">
        <v>38</v>
      </c>
      <c r="F28" s="130">
        <v>4.1609999999999994E-2</v>
      </c>
      <c r="G28" s="130">
        <v>8.385999999999999E-2</v>
      </c>
      <c r="H28" s="129">
        <v>11</v>
      </c>
      <c r="I28" s="130">
        <v>5.8749999999999997E-2</v>
      </c>
      <c r="J28" s="129"/>
      <c r="K28" s="247">
        <v>40179</v>
      </c>
      <c r="L28" s="246">
        <v>100</v>
      </c>
      <c r="M28" s="249">
        <v>39873</v>
      </c>
      <c r="N28">
        <v>96.379000000000005</v>
      </c>
      <c r="O28" s="246"/>
      <c r="P28" s="246"/>
      <c r="Q28" s="246"/>
      <c r="R28" s="246"/>
      <c r="S28" s="246"/>
      <c r="T28" s="246"/>
      <c r="U28" s="246"/>
      <c r="V28" s="246"/>
      <c r="W28" s="246"/>
      <c r="X28" s="246"/>
      <c r="Y28" s="246"/>
      <c r="Z28" s="246"/>
      <c r="AA28" s="246"/>
      <c r="AB28" s="246"/>
      <c r="AC28" s="246"/>
      <c r="AK28"/>
    </row>
    <row r="29" spans="2:37" x14ac:dyDescent="0.25">
      <c r="B29" s="128" t="s">
        <v>528</v>
      </c>
      <c r="C29" s="129">
        <v>26</v>
      </c>
      <c r="D29" s="130">
        <v>0</v>
      </c>
      <c r="E29" s="129">
        <v>46</v>
      </c>
      <c r="F29" s="130">
        <v>0</v>
      </c>
      <c r="G29" s="130">
        <v>0</v>
      </c>
      <c r="H29" s="129">
        <v>47</v>
      </c>
      <c r="I29" s="130">
        <v>0</v>
      </c>
      <c r="J29" s="129"/>
      <c r="K29" s="247">
        <v>40210</v>
      </c>
      <c r="L29" s="246">
        <v>100</v>
      </c>
      <c r="M29" s="249">
        <v>39904</v>
      </c>
      <c r="N29">
        <v>96.910000000000011</v>
      </c>
      <c r="O29" s="246"/>
      <c r="P29" s="246"/>
      <c r="Q29" s="246"/>
      <c r="R29" s="246"/>
      <c r="S29" s="246"/>
      <c r="T29" s="246"/>
      <c r="U29" s="246"/>
      <c r="V29" s="246"/>
      <c r="W29" s="246"/>
      <c r="X29" s="246"/>
      <c r="Y29" s="246"/>
      <c r="Z29" s="246"/>
      <c r="AA29" s="246"/>
      <c r="AB29" s="246"/>
      <c r="AC29" s="246"/>
      <c r="AK29"/>
    </row>
    <row r="30" spans="2:37" x14ac:dyDescent="0.25">
      <c r="B30" s="128" t="s">
        <v>529</v>
      </c>
      <c r="C30" s="129">
        <v>27</v>
      </c>
      <c r="D30" s="130">
        <v>5.5E-2</v>
      </c>
      <c r="E30" s="129">
        <v>29</v>
      </c>
      <c r="F30" s="130">
        <v>1.4690000000000002E-2</v>
      </c>
      <c r="G30" s="130">
        <v>6.9690000000000002E-2</v>
      </c>
      <c r="H30" s="129">
        <v>28</v>
      </c>
      <c r="I30" s="130">
        <v>0.02</v>
      </c>
      <c r="J30" s="129"/>
      <c r="K30" s="247">
        <v>40238</v>
      </c>
      <c r="L30" s="246">
        <v>99.8</v>
      </c>
      <c r="M30" s="249">
        <v>39934</v>
      </c>
      <c r="N30">
        <v>97.525999999999996</v>
      </c>
      <c r="O30" s="246"/>
      <c r="P30" s="246"/>
      <c r="Q30" s="246"/>
      <c r="R30" s="246"/>
      <c r="S30" s="246"/>
      <c r="T30" s="246"/>
      <c r="U30" s="246"/>
      <c r="V30" s="246"/>
      <c r="W30" s="246"/>
      <c r="X30" s="246"/>
      <c r="Y30" s="246"/>
      <c r="Z30" s="246"/>
      <c r="AA30" s="246"/>
      <c r="AB30" s="246"/>
      <c r="AC30" s="246"/>
      <c r="AK30"/>
    </row>
    <row r="31" spans="2:37" x14ac:dyDescent="0.25">
      <c r="B31" s="128" t="s">
        <v>530</v>
      </c>
      <c r="C31" s="129">
        <v>28</v>
      </c>
      <c r="D31" s="130">
        <v>6.8499999999999991E-2</v>
      </c>
      <c r="E31" s="129">
        <v>7</v>
      </c>
      <c r="F31" s="130">
        <v>1.3859999999999999E-2</v>
      </c>
      <c r="G31" s="130">
        <v>8.2360000000000003E-2</v>
      </c>
      <c r="H31" s="129">
        <v>13</v>
      </c>
      <c r="I31" s="130">
        <v>1.525E-2</v>
      </c>
      <c r="J31" s="129"/>
      <c r="K31" s="247">
        <v>40269</v>
      </c>
      <c r="L31" s="246">
        <v>100</v>
      </c>
      <c r="M31" s="249">
        <v>39965</v>
      </c>
      <c r="N31">
        <v>99.363000000000014</v>
      </c>
      <c r="O31" s="246"/>
      <c r="P31" s="246"/>
      <c r="Q31" s="246"/>
      <c r="R31" s="246"/>
      <c r="S31" s="246"/>
      <c r="T31" s="246"/>
      <c r="U31" s="246"/>
      <c r="V31" s="246"/>
      <c r="W31" s="246"/>
      <c r="X31" s="246"/>
      <c r="Y31" s="246"/>
      <c r="Z31" s="246"/>
      <c r="AA31" s="246"/>
      <c r="AB31" s="246"/>
      <c r="AC31" s="246"/>
      <c r="AK31"/>
    </row>
    <row r="32" spans="2:37" x14ac:dyDescent="0.25">
      <c r="B32" s="128" t="s">
        <v>531</v>
      </c>
      <c r="C32" s="129">
        <v>29</v>
      </c>
      <c r="D32" s="130">
        <v>0</v>
      </c>
      <c r="E32" s="129">
        <v>46</v>
      </c>
      <c r="F32" s="130">
        <v>0</v>
      </c>
      <c r="G32" s="130">
        <v>0</v>
      </c>
      <c r="H32" s="129">
        <v>47</v>
      </c>
      <c r="I32" s="130">
        <v>0</v>
      </c>
      <c r="J32" s="129"/>
      <c r="K32" s="247">
        <v>40299</v>
      </c>
      <c r="L32" s="246">
        <v>99.9</v>
      </c>
      <c r="M32" s="249">
        <v>39995</v>
      </c>
      <c r="N32">
        <v>99.021000000000001</v>
      </c>
      <c r="O32" s="246"/>
      <c r="P32" s="246"/>
      <c r="Q32" s="246"/>
      <c r="R32" s="246"/>
      <c r="S32" s="246"/>
      <c r="T32" s="246"/>
      <c r="U32" s="246"/>
      <c r="V32" s="246"/>
      <c r="W32" s="246"/>
      <c r="X32" s="246"/>
      <c r="Y32" s="246"/>
      <c r="Z32" s="246"/>
      <c r="AA32" s="246"/>
      <c r="AB32" s="246"/>
      <c r="AC32" s="246"/>
      <c r="AK32"/>
    </row>
    <row r="33" spans="2:23" x14ac:dyDescent="0.25">
      <c r="B33" s="128" t="s">
        <v>532</v>
      </c>
      <c r="C33" s="129">
        <v>30</v>
      </c>
      <c r="D33" s="130">
        <v>6.6250000000000003E-2</v>
      </c>
      <c r="E33" s="129">
        <v>8</v>
      </c>
      <c r="F33" s="130">
        <v>-2.4000000000000001E-4</v>
      </c>
      <c r="G33" s="130">
        <v>6.6009999999999999E-2</v>
      </c>
      <c r="H33" s="129">
        <v>30</v>
      </c>
      <c r="I33" s="130">
        <v>3.313E-2</v>
      </c>
      <c r="J33" s="129"/>
      <c r="K33" s="247">
        <v>40330</v>
      </c>
      <c r="L33" s="246">
        <v>99.9</v>
      </c>
      <c r="M33" s="249">
        <v>40026</v>
      </c>
      <c r="N33">
        <v>99.504000000000005</v>
      </c>
      <c r="O33" s="246"/>
      <c r="P33" s="246"/>
      <c r="Q33" s="246"/>
      <c r="R33" s="246"/>
      <c r="S33" s="246"/>
      <c r="T33" s="246"/>
      <c r="U33" s="246"/>
      <c r="V33" s="246"/>
      <c r="W33" s="246"/>
    </row>
    <row r="34" spans="2:23" x14ac:dyDescent="0.25">
      <c r="B34" s="128" t="s">
        <v>533</v>
      </c>
      <c r="C34" s="129">
        <v>31</v>
      </c>
      <c r="D34" s="130">
        <v>4.8750000000000002E-2</v>
      </c>
      <c r="E34" s="129">
        <v>34</v>
      </c>
      <c r="F34" s="130">
        <v>2.751E-2</v>
      </c>
      <c r="G34" s="130">
        <v>7.6260000000000008E-2</v>
      </c>
      <c r="H34" s="129">
        <v>17</v>
      </c>
      <c r="I34" s="130">
        <v>4.5629999999999997E-2</v>
      </c>
      <c r="J34" s="129"/>
      <c r="K34" s="247">
        <v>40360</v>
      </c>
      <c r="L34" s="246">
        <v>100</v>
      </c>
      <c r="M34" s="249">
        <v>40057</v>
      </c>
      <c r="N34">
        <v>99.638999999999996</v>
      </c>
      <c r="O34" s="246"/>
      <c r="P34" s="246"/>
      <c r="Q34" s="246"/>
      <c r="R34" s="246"/>
      <c r="S34" s="246"/>
      <c r="T34" s="246"/>
      <c r="U34" s="246"/>
      <c r="V34" s="246"/>
      <c r="W34" s="246"/>
    </row>
    <row r="35" spans="2:23" x14ac:dyDescent="0.25">
      <c r="B35" s="128" t="s">
        <v>534</v>
      </c>
      <c r="C35" s="129">
        <v>32</v>
      </c>
      <c r="D35" s="130">
        <v>0.04</v>
      </c>
      <c r="E35" s="129">
        <v>40</v>
      </c>
      <c r="F35" s="130">
        <v>4.5319999999999999E-2</v>
      </c>
      <c r="G35" s="130">
        <v>8.5320000000000007E-2</v>
      </c>
      <c r="H35" s="129">
        <v>10</v>
      </c>
      <c r="I35" s="130">
        <v>4.8750000000000002E-2</v>
      </c>
      <c r="J35" s="129"/>
      <c r="K35" s="247">
        <v>40391</v>
      </c>
      <c r="L35" s="246">
        <v>99.9</v>
      </c>
      <c r="M35" s="249">
        <v>40087</v>
      </c>
      <c r="N35">
        <v>99.846999999999994</v>
      </c>
      <c r="O35" s="246"/>
      <c r="P35" s="246"/>
      <c r="Q35" s="246"/>
      <c r="R35" s="246"/>
      <c r="S35" s="246"/>
      <c r="T35" s="246"/>
      <c r="U35" s="246"/>
      <c r="V35" s="246"/>
      <c r="W35" s="246"/>
    </row>
    <row r="36" spans="2:23" x14ac:dyDescent="0.25">
      <c r="B36" s="128" t="s">
        <v>535</v>
      </c>
      <c r="C36" s="129">
        <v>33</v>
      </c>
      <c r="D36" s="130">
        <v>4.7500000000000001E-2</v>
      </c>
      <c r="E36" s="129">
        <v>35</v>
      </c>
      <c r="F36" s="130">
        <v>2.2460000000000001E-2</v>
      </c>
      <c r="G36" s="130">
        <v>6.9960000000000008E-2</v>
      </c>
      <c r="H36" s="129">
        <v>27</v>
      </c>
      <c r="I36" s="130">
        <v>2.75E-2</v>
      </c>
      <c r="J36" s="129"/>
      <c r="K36" s="247">
        <v>40422</v>
      </c>
      <c r="L36" s="246">
        <v>99.9</v>
      </c>
      <c r="M36" s="249">
        <v>40118</v>
      </c>
      <c r="N36">
        <v>100.00000000000001</v>
      </c>
      <c r="O36" s="246"/>
      <c r="P36" s="246"/>
      <c r="Q36" s="246"/>
      <c r="R36" s="246"/>
      <c r="S36" s="246"/>
      <c r="T36" s="246"/>
      <c r="U36" s="246"/>
      <c r="V36" s="246"/>
      <c r="W36" s="246"/>
    </row>
    <row r="37" spans="2:23" x14ac:dyDescent="0.25">
      <c r="B37" s="128" t="s">
        <v>536</v>
      </c>
      <c r="C37" s="129">
        <v>34</v>
      </c>
      <c r="D37" s="130">
        <v>0.05</v>
      </c>
      <c r="E37" s="129">
        <v>32</v>
      </c>
      <c r="F37" s="130">
        <v>2.044E-2</v>
      </c>
      <c r="G37" s="130">
        <v>7.0440000000000003E-2</v>
      </c>
      <c r="H37" s="129">
        <v>23</v>
      </c>
      <c r="I37" s="130">
        <v>3.5000000000000003E-2</v>
      </c>
      <c r="J37" s="129"/>
      <c r="K37" s="247">
        <v>40452</v>
      </c>
      <c r="L37" s="246">
        <v>100.3</v>
      </c>
      <c r="M37" s="247">
        <v>40148</v>
      </c>
      <c r="N37">
        <v>99.619000000000014</v>
      </c>
      <c r="O37"/>
      <c r="P37"/>
      <c r="Q37"/>
      <c r="R37"/>
      <c r="S37"/>
      <c r="T37"/>
      <c r="U37"/>
      <c r="V37"/>
      <c r="W37"/>
    </row>
    <row r="38" spans="2:23" x14ac:dyDescent="0.25">
      <c r="B38" s="128" t="s">
        <v>537</v>
      </c>
      <c r="C38" s="129">
        <v>35</v>
      </c>
      <c r="D38" s="130">
        <v>5.7500000000000002E-2</v>
      </c>
      <c r="E38" s="129">
        <v>27</v>
      </c>
      <c r="F38" s="130">
        <v>1.4879999999999999E-2</v>
      </c>
      <c r="G38" s="130">
        <v>7.238E-2</v>
      </c>
      <c r="H38" s="129">
        <v>21</v>
      </c>
      <c r="I38" s="130">
        <v>2.2499999999999999E-2</v>
      </c>
      <c r="J38" s="129"/>
      <c r="K38" s="247">
        <v>40483</v>
      </c>
      <c r="L38" s="246">
        <v>100.1</v>
      </c>
      <c r="M38" s="247">
        <v>40179</v>
      </c>
      <c r="N38">
        <v>100.35700000000001</v>
      </c>
      <c r="O38"/>
      <c r="P38"/>
      <c r="Q38"/>
      <c r="R38"/>
      <c r="S38"/>
      <c r="T38"/>
      <c r="U38"/>
      <c r="V38"/>
      <c r="W38"/>
    </row>
    <row r="39" spans="2:23" x14ac:dyDescent="0.25">
      <c r="B39" s="128" t="s">
        <v>538</v>
      </c>
      <c r="C39" s="129">
        <v>36</v>
      </c>
      <c r="D39" s="130">
        <v>4.4999999999999998E-2</v>
      </c>
      <c r="E39" s="129">
        <v>36</v>
      </c>
      <c r="F39" s="130">
        <v>4.5030000000000001E-2</v>
      </c>
      <c r="G39" s="130">
        <v>9.0029999999999999E-2</v>
      </c>
      <c r="H39" s="129">
        <v>6</v>
      </c>
      <c r="I39" s="130">
        <v>7.0000000000000007E-2</v>
      </c>
      <c r="J39" s="129"/>
      <c r="K39" s="247">
        <v>40513</v>
      </c>
      <c r="L39" s="246">
        <v>100.2</v>
      </c>
      <c r="M39" s="247">
        <v>40210</v>
      </c>
      <c r="N39">
        <v>100.41100000000002</v>
      </c>
      <c r="O39"/>
      <c r="P39"/>
      <c r="Q39"/>
      <c r="R39"/>
      <c r="S39"/>
      <c r="T39"/>
      <c r="U39"/>
      <c r="V39"/>
      <c r="W39"/>
    </row>
    <row r="40" spans="2:23" x14ac:dyDescent="0.25">
      <c r="B40" s="128" t="s">
        <v>539</v>
      </c>
      <c r="C40" s="129">
        <v>37</v>
      </c>
      <c r="D40" s="130">
        <v>0</v>
      </c>
      <c r="E40" s="129">
        <v>46</v>
      </c>
      <c r="F40" s="130">
        <v>0</v>
      </c>
      <c r="G40" s="130">
        <v>0</v>
      </c>
      <c r="H40" s="129">
        <v>47</v>
      </c>
      <c r="I40" s="130">
        <v>0</v>
      </c>
      <c r="J40" s="129"/>
      <c r="K40" s="247">
        <v>40544</v>
      </c>
      <c r="L40" s="246">
        <v>100.6</v>
      </c>
      <c r="M40" s="247">
        <v>40238</v>
      </c>
      <c r="N40">
        <v>101.301</v>
      </c>
      <c r="O40"/>
      <c r="P40"/>
      <c r="Q40"/>
      <c r="R40"/>
      <c r="S40"/>
      <c r="T40"/>
      <c r="U40"/>
      <c r="V40"/>
      <c r="W40"/>
    </row>
    <row r="41" spans="2:23" x14ac:dyDescent="0.25">
      <c r="B41" s="128" t="s">
        <v>540</v>
      </c>
      <c r="C41" s="129">
        <v>38</v>
      </c>
      <c r="D41" s="130">
        <v>0.06</v>
      </c>
      <c r="E41" s="129">
        <v>17</v>
      </c>
      <c r="F41" s="130">
        <v>3.4100000000000003E-3</v>
      </c>
      <c r="G41" s="130">
        <v>6.3410000000000008E-2</v>
      </c>
      <c r="H41" s="129">
        <v>34</v>
      </c>
      <c r="I41" s="130">
        <v>0.02</v>
      </c>
      <c r="J41" s="129"/>
      <c r="K41" s="247">
        <v>40575</v>
      </c>
      <c r="L41" s="246">
        <v>100.6</v>
      </c>
      <c r="M41" s="247">
        <v>40269</v>
      </c>
      <c r="N41">
        <v>101.67899999999999</v>
      </c>
      <c r="O41"/>
      <c r="P41"/>
      <c r="Q41"/>
      <c r="R41"/>
      <c r="S41"/>
      <c r="T41"/>
      <c r="U41"/>
      <c r="V41"/>
      <c r="W41"/>
    </row>
    <row r="42" spans="2:23" x14ac:dyDescent="0.25">
      <c r="B42" s="128" t="s">
        <v>541</v>
      </c>
      <c r="C42" s="129">
        <v>39</v>
      </c>
      <c r="D42" s="130">
        <v>7.0000000000000007E-2</v>
      </c>
      <c r="E42" s="129">
        <v>2</v>
      </c>
      <c r="F42" s="130">
        <v>0</v>
      </c>
      <c r="G42" s="130">
        <v>7.0000000000000007E-2</v>
      </c>
      <c r="H42" s="129">
        <v>25</v>
      </c>
      <c r="I42" s="130">
        <v>0</v>
      </c>
      <c r="J42" s="129"/>
      <c r="K42" s="247">
        <v>40603</v>
      </c>
      <c r="L42" s="246">
        <v>100.6</v>
      </c>
      <c r="M42" s="247">
        <v>40299</v>
      </c>
      <c r="N42">
        <v>101.848</v>
      </c>
      <c r="O42"/>
      <c r="P42"/>
      <c r="Q42"/>
      <c r="R42"/>
      <c r="S42"/>
      <c r="T42"/>
      <c r="U42"/>
      <c r="V42"/>
      <c r="W42"/>
    </row>
    <row r="43" spans="2:23" x14ac:dyDescent="0.25">
      <c r="B43" s="128" t="s">
        <v>542</v>
      </c>
      <c r="C43" s="129">
        <v>40</v>
      </c>
      <c r="D43" s="130">
        <v>0.06</v>
      </c>
      <c r="E43" s="129">
        <v>17</v>
      </c>
      <c r="F43" s="130">
        <v>1.4990000000000002E-2</v>
      </c>
      <c r="G43" s="130">
        <v>7.4990000000000001E-2</v>
      </c>
      <c r="H43" s="129">
        <v>18</v>
      </c>
      <c r="I43" s="130">
        <v>0.03</v>
      </c>
      <c r="J43" s="129"/>
      <c r="K43" s="247">
        <v>40634</v>
      </c>
      <c r="L43" s="246">
        <v>101.5</v>
      </c>
      <c r="M43" s="247">
        <v>40330</v>
      </c>
      <c r="N43">
        <v>101.63500000000001</v>
      </c>
      <c r="O43"/>
      <c r="P43" s="474" t="s">
        <v>81</v>
      </c>
      <c r="Q43" s="475"/>
      <c r="R43" s="475"/>
      <c r="S43" s="476"/>
      <c r="T43"/>
      <c r="U43"/>
      <c r="V43"/>
      <c r="W43"/>
    </row>
    <row r="44" spans="2:23" x14ac:dyDescent="0.25">
      <c r="B44" s="128" t="s">
        <v>543</v>
      </c>
      <c r="C44" s="129">
        <v>41</v>
      </c>
      <c r="D44" s="130">
        <v>4.2000000000000003E-2</v>
      </c>
      <c r="E44" s="129">
        <v>39</v>
      </c>
      <c r="F44" s="130">
        <v>1.9110000000000002E-2</v>
      </c>
      <c r="G44" s="130">
        <v>6.1109999999999998E-2</v>
      </c>
      <c r="H44" s="129">
        <v>36</v>
      </c>
      <c r="I44" s="130">
        <v>4.4999999999999998E-2</v>
      </c>
      <c r="J44" s="129"/>
      <c r="K44" s="247">
        <v>40664</v>
      </c>
      <c r="L44" s="246">
        <v>101.4</v>
      </c>
      <c r="M44" s="247">
        <v>40360</v>
      </c>
      <c r="N44">
        <v>101.681</v>
      </c>
      <c r="O44"/>
      <c r="P44" s="256" t="s">
        <v>544</v>
      </c>
      <c r="Q44" s="94" t="s">
        <v>545</v>
      </c>
      <c r="R44" s="94" t="s">
        <v>546</v>
      </c>
      <c r="S44" s="257" t="s">
        <v>547</v>
      </c>
      <c r="T44"/>
      <c r="U44"/>
      <c r="V44"/>
      <c r="W44"/>
    </row>
    <row r="45" spans="2:23" x14ac:dyDescent="0.25">
      <c r="B45" s="128" t="s">
        <v>548</v>
      </c>
      <c r="C45" s="129">
        <v>42</v>
      </c>
      <c r="D45" s="130">
        <v>7.0000000000000007E-2</v>
      </c>
      <c r="E45" s="129">
        <v>2</v>
      </c>
      <c r="F45" s="130">
        <v>2.5559999999999999E-2</v>
      </c>
      <c r="G45" s="130">
        <v>9.5559999999999992E-2</v>
      </c>
      <c r="H45" s="129">
        <v>2</v>
      </c>
      <c r="I45" s="130">
        <v>2.75E-2</v>
      </c>
      <c r="J45" s="129"/>
      <c r="K45" s="247">
        <v>40695</v>
      </c>
      <c r="L45" s="246">
        <v>101.4</v>
      </c>
      <c r="M45" s="247">
        <v>40391</v>
      </c>
      <c r="N45">
        <v>101.98200000000001</v>
      </c>
      <c r="O45"/>
      <c r="P45" s="258" t="s">
        <v>549</v>
      </c>
      <c r="Q45" s="9">
        <f>W19</f>
        <v>180.75</v>
      </c>
      <c r="R45" s="9" t="str">
        <f>Q55</f>
        <v>185.450</v>
      </c>
      <c r="S45" s="259">
        <f>R45/Q45</f>
        <v>1.0260027662517288</v>
      </c>
      <c r="T45"/>
      <c r="U45"/>
      <c r="V45"/>
      <c r="W45"/>
    </row>
    <row r="46" spans="2:23" x14ac:dyDescent="0.25">
      <c r="B46" s="128" t="s">
        <v>550</v>
      </c>
      <c r="C46" s="129">
        <v>43</v>
      </c>
      <c r="D46" s="130">
        <v>6.25E-2</v>
      </c>
      <c r="E46" s="129">
        <v>13</v>
      </c>
      <c r="F46" s="130">
        <v>1.95E-2</v>
      </c>
      <c r="G46" s="130">
        <v>8.199999999999999E-2</v>
      </c>
      <c r="H46" s="129">
        <v>14</v>
      </c>
      <c r="I46" s="130">
        <v>0.02</v>
      </c>
      <c r="J46" s="129"/>
      <c r="K46" s="247">
        <v>40725</v>
      </c>
      <c r="L46" s="246">
        <v>102.6</v>
      </c>
      <c r="M46" s="247">
        <v>40422</v>
      </c>
      <c r="N46">
        <v>102.10899999999999</v>
      </c>
      <c r="O46"/>
      <c r="P46" s="260" t="s">
        <v>551</v>
      </c>
      <c r="Q46" s="261">
        <f>AK19+116.33</f>
        <v>315.60500000000002</v>
      </c>
      <c r="R46" s="261">
        <f>T51</f>
        <v>324.05</v>
      </c>
      <c r="S46" s="262">
        <f>R46/Q46</f>
        <v>1.0267581312083143</v>
      </c>
      <c r="T46"/>
      <c r="U46"/>
      <c r="V46"/>
      <c r="W46"/>
    </row>
    <row r="47" spans="2:23" x14ac:dyDescent="0.25">
      <c r="B47" s="128" t="s">
        <v>552</v>
      </c>
      <c r="C47" s="129">
        <v>44</v>
      </c>
      <c r="D47" s="130">
        <v>6.0999999999999999E-2</v>
      </c>
      <c r="E47" s="129">
        <v>16</v>
      </c>
      <c r="F47" s="130">
        <v>1.159E-2</v>
      </c>
      <c r="G47" s="130">
        <v>7.2590000000000002E-2</v>
      </c>
      <c r="H47" s="129">
        <v>20</v>
      </c>
      <c r="I47" s="130">
        <v>4.2000000000000003E-2</v>
      </c>
      <c r="J47" s="129"/>
      <c r="K47" s="247">
        <v>40756</v>
      </c>
      <c r="L47" s="246">
        <v>102.6</v>
      </c>
      <c r="M47" s="247">
        <v>40452</v>
      </c>
      <c r="N47">
        <v>102.38100000000001</v>
      </c>
      <c r="O47"/>
      <c r="P47"/>
      <c r="Q47"/>
      <c r="R47"/>
      <c r="S47"/>
      <c r="T47"/>
      <c r="U47"/>
      <c r="V47"/>
      <c r="W47"/>
    </row>
    <row r="48" spans="2:23" x14ac:dyDescent="0.25">
      <c r="B48" s="128" t="s">
        <v>553</v>
      </c>
      <c r="C48" s="129">
        <v>45</v>
      </c>
      <c r="D48" s="130">
        <v>0.06</v>
      </c>
      <c r="E48" s="129">
        <v>17</v>
      </c>
      <c r="F48" s="130">
        <v>3.7199999999999998E-3</v>
      </c>
      <c r="G48" s="130">
        <v>6.3719999999999999E-2</v>
      </c>
      <c r="H48" s="129">
        <v>32</v>
      </c>
      <c r="I48" s="130">
        <v>0.01</v>
      </c>
      <c r="J48" s="129"/>
      <c r="K48" s="247">
        <v>40787</v>
      </c>
      <c r="L48" s="246">
        <v>102.6</v>
      </c>
      <c r="M48" s="247">
        <v>40483</v>
      </c>
      <c r="N48">
        <v>102.473</v>
      </c>
      <c r="O48"/>
      <c r="P48"/>
      <c r="Q48"/>
      <c r="R48"/>
      <c r="S48"/>
      <c r="T48"/>
      <c r="U48"/>
      <c r="V48"/>
      <c r="W48"/>
    </row>
    <row r="49" spans="2:23" x14ac:dyDescent="0.25">
      <c r="B49" s="128" t="s">
        <v>554</v>
      </c>
      <c r="C49" s="129">
        <v>46</v>
      </c>
      <c r="D49" s="130">
        <v>5.2999999999999999E-2</v>
      </c>
      <c r="E49" s="129">
        <v>31</v>
      </c>
      <c r="F49" s="130">
        <v>4.7099999999999998E-3</v>
      </c>
      <c r="G49" s="130">
        <v>5.7709999999999997E-2</v>
      </c>
      <c r="H49" s="129">
        <v>41</v>
      </c>
      <c r="I49" s="130">
        <v>2.7000000000000003E-2</v>
      </c>
      <c r="J49" s="129"/>
      <c r="K49" s="247">
        <v>40817</v>
      </c>
      <c r="L49" s="246">
        <v>104</v>
      </c>
      <c r="M49" s="247">
        <v>40513</v>
      </c>
      <c r="N49">
        <v>102.849</v>
      </c>
      <c r="O49"/>
      <c r="P49" t="s">
        <v>555</v>
      </c>
      <c r="Q49" t="s">
        <v>556</v>
      </c>
      <c r="R49" t="s">
        <v>557</v>
      </c>
      <c r="S49" t="s">
        <v>558</v>
      </c>
      <c r="T49" t="s">
        <v>559</v>
      </c>
      <c r="U49" t="s">
        <v>560</v>
      </c>
      <c r="V49" t="s">
        <v>561</v>
      </c>
      <c r="W49" t="s">
        <v>562</v>
      </c>
    </row>
    <row r="50" spans="2:23" x14ac:dyDescent="0.25">
      <c r="B50" s="128" t="s">
        <v>563</v>
      </c>
      <c r="C50" s="129">
        <v>47</v>
      </c>
      <c r="D50" s="130">
        <v>6.5000000000000002E-2</v>
      </c>
      <c r="E50" s="129">
        <v>9</v>
      </c>
      <c r="F50" s="130">
        <v>2.9520000000000001E-2</v>
      </c>
      <c r="G50" s="130">
        <v>9.4519999999999993E-2</v>
      </c>
      <c r="H50" s="129">
        <v>4</v>
      </c>
      <c r="I50" s="130">
        <v>4.0999999999999995E-2</v>
      </c>
      <c r="J50" s="129"/>
      <c r="K50" s="247">
        <v>40848</v>
      </c>
      <c r="L50" s="246">
        <v>104.1</v>
      </c>
      <c r="M50" s="247">
        <v>40544</v>
      </c>
      <c r="N50">
        <v>103.89300000000001</v>
      </c>
      <c r="O50"/>
      <c r="P50" s="247">
        <v>46009</v>
      </c>
      <c r="Q50" s="255">
        <v>0.5625</v>
      </c>
      <c r="R50" t="s">
        <v>551</v>
      </c>
      <c r="S50" t="s">
        <v>496</v>
      </c>
      <c r="T50">
        <v>324.12</v>
      </c>
      <c r="U50"/>
      <c r="V50">
        <v>325.13</v>
      </c>
      <c r="W50">
        <v>324.89999999999998</v>
      </c>
    </row>
    <row r="51" spans="2:23" x14ac:dyDescent="0.25">
      <c r="B51" s="128" t="s">
        <v>564</v>
      </c>
      <c r="C51" s="129">
        <v>48</v>
      </c>
      <c r="D51" s="130">
        <v>0.06</v>
      </c>
      <c r="E51" s="129">
        <v>17</v>
      </c>
      <c r="F51" s="130">
        <v>5.6899999999999997E-3</v>
      </c>
      <c r="G51" s="130">
        <v>6.5689999999999998E-2</v>
      </c>
      <c r="H51" s="129">
        <v>31</v>
      </c>
      <c r="I51" s="130">
        <v>0.01</v>
      </c>
      <c r="J51" s="129"/>
      <c r="K51" s="247">
        <v>40878</v>
      </c>
      <c r="L51" s="246">
        <v>104</v>
      </c>
      <c r="M51" s="247">
        <v>40575</v>
      </c>
      <c r="N51">
        <v>104.979</v>
      </c>
      <c r="O51"/>
      <c r="P51" s="247">
        <v>46035</v>
      </c>
      <c r="Q51" s="255">
        <v>0.5625</v>
      </c>
      <c r="R51" t="s">
        <v>551</v>
      </c>
      <c r="S51" t="s">
        <v>497</v>
      </c>
      <c r="T51">
        <v>324.05</v>
      </c>
      <c r="U51">
        <v>324.12</v>
      </c>
      <c r="V51"/>
      <c r="W51">
        <v>323.8</v>
      </c>
    </row>
    <row r="52" spans="2:23" x14ac:dyDescent="0.25">
      <c r="B52" s="128" t="s">
        <v>565</v>
      </c>
      <c r="C52" s="129">
        <v>49</v>
      </c>
      <c r="D52" s="130">
        <v>0.05</v>
      </c>
      <c r="E52" s="129">
        <v>32</v>
      </c>
      <c r="F52" s="130">
        <v>6.9599999999999992E-3</v>
      </c>
      <c r="G52" s="130">
        <v>5.6959999999999997E-2</v>
      </c>
      <c r="H52" s="129">
        <v>42</v>
      </c>
      <c r="I52" s="130">
        <v>2.8999999999999998E-2</v>
      </c>
      <c r="J52" s="129"/>
      <c r="K52" s="247">
        <v>40909</v>
      </c>
      <c r="L52" s="246">
        <v>104.7</v>
      </c>
      <c r="M52" s="247">
        <v>40603</v>
      </c>
      <c r="N52">
        <v>107.13700000000001</v>
      </c>
      <c r="O52"/>
      <c r="P52" s="247">
        <v>46066</v>
      </c>
      <c r="Q52" s="255">
        <v>0.5625</v>
      </c>
      <c r="R52" t="s">
        <v>551</v>
      </c>
      <c r="S52" t="s">
        <v>486</v>
      </c>
      <c r="T52"/>
      <c r="U52">
        <v>324.05</v>
      </c>
      <c r="V52">
        <v>325.41000000000003</v>
      </c>
      <c r="W52">
        <v>325.3</v>
      </c>
    </row>
    <row r="53" spans="2:23" x14ac:dyDescent="0.25">
      <c r="B53" s="128" t="s">
        <v>566</v>
      </c>
      <c r="C53" s="129">
        <v>50</v>
      </c>
      <c r="D53" s="130">
        <v>0.04</v>
      </c>
      <c r="E53" s="129">
        <v>40</v>
      </c>
      <c r="F53" s="130">
        <v>1.4410000000000001E-2</v>
      </c>
      <c r="G53" s="130">
        <v>5.441E-2</v>
      </c>
      <c r="H53" s="129">
        <v>44</v>
      </c>
      <c r="I53" s="130">
        <v>0.02</v>
      </c>
      <c r="J53" s="129"/>
      <c r="K53" s="247">
        <v>40940</v>
      </c>
      <c r="L53" s="246">
        <v>104.7</v>
      </c>
      <c r="M53" s="247">
        <v>40634</v>
      </c>
      <c r="N53">
        <v>108.57600000000001</v>
      </c>
      <c r="O53"/>
      <c r="P53"/>
      <c r="Q53"/>
      <c r="R53"/>
      <c r="S53"/>
      <c r="T53"/>
      <c r="U53"/>
      <c r="V53"/>
      <c r="W53"/>
    </row>
    <row r="54" spans="2:23" x14ac:dyDescent="0.25">
      <c r="B54" s="128" t="s">
        <v>567</v>
      </c>
      <c r="C54" s="129">
        <v>51</v>
      </c>
      <c r="D54" s="130">
        <v>0.06</v>
      </c>
      <c r="E54" s="128" t="s">
        <v>252</v>
      </c>
      <c r="F54" s="130">
        <v>0</v>
      </c>
      <c r="G54" s="130">
        <v>0.06</v>
      </c>
      <c r="H54" s="128" t="s">
        <v>252</v>
      </c>
      <c r="I54" s="130">
        <v>0</v>
      </c>
      <c r="J54" s="129"/>
      <c r="K54" s="247">
        <v>40969</v>
      </c>
      <c r="L54" s="246">
        <v>104.8</v>
      </c>
      <c r="M54" s="247">
        <v>40664</v>
      </c>
      <c r="N54">
        <v>109.634</v>
      </c>
      <c r="O54"/>
      <c r="P54" t="s">
        <v>568</v>
      </c>
      <c r="Q54" t="s">
        <v>569</v>
      </c>
      <c r="R54" t="s">
        <v>570</v>
      </c>
      <c r="S54"/>
      <c r="T54"/>
      <c r="U54"/>
      <c r="V54"/>
      <c r="W54"/>
    </row>
    <row r="55" spans="2:23" x14ac:dyDescent="0.25">
      <c r="B55" s="9"/>
      <c r="C55" s="9"/>
      <c r="D55" s="9"/>
      <c r="E55" s="9"/>
      <c r="F55" s="9"/>
      <c r="G55" s="9"/>
      <c r="H55" s="9"/>
      <c r="I55" s="9"/>
      <c r="J55" s="9"/>
      <c r="K55" s="247">
        <v>41000</v>
      </c>
      <c r="L55" s="246">
        <v>105.3</v>
      </c>
      <c r="M55" s="247">
        <v>40695</v>
      </c>
      <c r="N55">
        <v>109.39200000000001</v>
      </c>
      <c r="O55"/>
      <c r="P55" t="s">
        <v>746</v>
      </c>
      <c r="Q55" t="s">
        <v>747</v>
      </c>
      <c r="R55" t="s">
        <v>571</v>
      </c>
      <c r="S55"/>
      <c r="T55"/>
      <c r="U55"/>
      <c r="V55"/>
      <c r="W55"/>
    </row>
    <row r="56" spans="2:23" x14ac:dyDescent="0.25">
      <c r="B56" s="471" t="s">
        <v>572</v>
      </c>
      <c r="C56" s="471"/>
      <c r="D56" s="471"/>
      <c r="E56" s="471"/>
      <c r="F56" s="471"/>
      <c r="G56" s="471"/>
      <c r="H56" s="471"/>
      <c r="I56" s="471"/>
      <c r="J56" s="9"/>
      <c r="K56" s="247">
        <v>41030</v>
      </c>
      <c r="L56" s="246">
        <v>105.4</v>
      </c>
      <c r="M56" s="247">
        <v>40725</v>
      </c>
      <c r="N56">
        <v>109.592</v>
      </c>
      <c r="O56"/>
      <c r="P56" t="s">
        <v>748</v>
      </c>
      <c r="Q56" t="s">
        <v>749</v>
      </c>
      <c r="R56" t="s">
        <v>571</v>
      </c>
      <c r="S56"/>
      <c r="T56"/>
      <c r="U56"/>
      <c r="V56"/>
      <c r="W56"/>
    </row>
    <row r="57" spans="2:23" x14ac:dyDescent="0.25">
      <c r="B57" s="471" t="s">
        <v>573</v>
      </c>
      <c r="C57" s="471"/>
      <c r="D57" s="471"/>
      <c r="E57" s="471"/>
      <c r="F57" s="471"/>
      <c r="G57" s="471"/>
      <c r="H57" s="471"/>
      <c r="I57" s="471"/>
      <c r="J57" s="9"/>
      <c r="K57" s="247">
        <v>41061</v>
      </c>
      <c r="L57" s="246">
        <v>105.4</v>
      </c>
      <c r="M57" s="247">
        <v>40756</v>
      </c>
      <c r="N57">
        <v>110.21499999999999</v>
      </c>
      <c r="O57"/>
      <c r="P57" t="s">
        <v>750</v>
      </c>
      <c r="Q57" t="s">
        <v>751</v>
      </c>
      <c r="R57" t="s">
        <v>571</v>
      </c>
      <c r="S57"/>
      <c r="T57"/>
      <c r="U57"/>
      <c r="V57"/>
      <c r="W57"/>
    </row>
    <row r="58" spans="2:23" x14ac:dyDescent="0.25">
      <c r="B58" s="471" t="s">
        <v>574</v>
      </c>
      <c r="C58" s="471"/>
      <c r="D58" s="471"/>
      <c r="E58" s="471"/>
      <c r="F58" s="471"/>
      <c r="G58" s="471"/>
      <c r="H58" s="471"/>
      <c r="I58" s="471"/>
      <c r="J58" s="9"/>
      <c r="K58" s="247">
        <v>41091</v>
      </c>
      <c r="L58" s="246">
        <v>105.4</v>
      </c>
      <c r="M58" s="247">
        <v>40787</v>
      </c>
      <c r="N58">
        <v>110.55900000000001</v>
      </c>
      <c r="O58"/>
      <c r="P58" t="s">
        <v>752</v>
      </c>
      <c r="Q58" t="s">
        <v>753</v>
      </c>
      <c r="R58" t="s">
        <v>571</v>
      </c>
      <c r="S58"/>
      <c r="T58"/>
      <c r="U58"/>
      <c r="V58"/>
      <c r="W58"/>
    </row>
    <row r="59" spans="2:23" x14ac:dyDescent="0.25">
      <c r="B59" s="471" t="s">
        <v>575</v>
      </c>
      <c r="C59" s="471"/>
      <c r="D59" s="471"/>
      <c r="E59" s="471"/>
      <c r="F59" s="471"/>
      <c r="G59" s="471"/>
      <c r="H59" s="471"/>
      <c r="I59" s="471"/>
      <c r="J59" s="9"/>
      <c r="K59" s="247">
        <v>41122</v>
      </c>
      <c r="L59" s="246">
        <v>105.4</v>
      </c>
      <c r="M59" s="247">
        <v>40817</v>
      </c>
      <c r="N59">
        <v>110.09099999999999</v>
      </c>
      <c r="O59"/>
      <c r="P59" t="s">
        <v>754</v>
      </c>
      <c r="Q59" t="s">
        <v>755</v>
      </c>
      <c r="R59" t="s">
        <v>571</v>
      </c>
      <c r="S59"/>
      <c r="T59"/>
      <c r="U59"/>
      <c r="V59"/>
      <c r="W59"/>
    </row>
    <row r="60" spans="2:23" x14ac:dyDescent="0.25">
      <c r="B60" s="471" t="s">
        <v>576</v>
      </c>
      <c r="C60" s="471"/>
      <c r="D60" s="471"/>
      <c r="E60" s="471"/>
      <c r="F60" s="471"/>
      <c r="G60" s="471"/>
      <c r="H60" s="471"/>
      <c r="I60" s="471"/>
      <c r="J60" s="9"/>
      <c r="K60" s="247">
        <v>41153</v>
      </c>
      <c r="L60" s="246">
        <v>105.3</v>
      </c>
      <c r="M60" s="247">
        <v>40848</v>
      </c>
      <c r="N60">
        <v>109.89999999999999</v>
      </c>
      <c r="O60"/>
      <c r="P60" t="s">
        <v>577</v>
      </c>
      <c r="Q60" t="s">
        <v>577</v>
      </c>
      <c r="R60"/>
      <c r="S60"/>
      <c r="T60"/>
      <c r="U60"/>
      <c r="V60"/>
      <c r="W60"/>
    </row>
    <row r="61" spans="2:23" x14ac:dyDescent="0.25">
      <c r="B61" s="471" t="s">
        <v>578</v>
      </c>
      <c r="C61" s="471"/>
      <c r="D61" s="471"/>
      <c r="E61" s="471"/>
      <c r="F61" s="471"/>
      <c r="G61" s="471"/>
      <c r="H61" s="471"/>
      <c r="I61" s="471"/>
      <c r="J61" s="9"/>
      <c r="K61" s="247">
        <v>41183</v>
      </c>
      <c r="L61" s="246">
        <v>105.6</v>
      </c>
      <c r="M61" s="247">
        <v>40878</v>
      </c>
      <c r="N61">
        <v>109.342</v>
      </c>
      <c r="O61"/>
      <c r="P61"/>
      <c r="Q61"/>
      <c r="R61"/>
      <c r="S61"/>
      <c r="T61"/>
      <c r="U61"/>
      <c r="V61"/>
      <c r="W61"/>
    </row>
    <row r="62" spans="2:23" x14ac:dyDescent="0.25">
      <c r="B62" s="91"/>
      <c r="C62" s="91"/>
      <c r="K62" s="247">
        <v>41214</v>
      </c>
      <c r="L62" s="246">
        <v>105.5</v>
      </c>
      <c r="M62" s="247">
        <v>40909</v>
      </c>
      <c r="N62">
        <v>110.33499999999999</v>
      </c>
      <c r="O62"/>
      <c r="P62"/>
      <c r="Q62"/>
      <c r="R62"/>
      <c r="S62"/>
      <c r="T62"/>
      <c r="U62"/>
      <c r="V62"/>
      <c r="W62"/>
    </row>
    <row r="63" spans="2:23" x14ac:dyDescent="0.25">
      <c r="B63" s="91"/>
      <c r="C63" s="91"/>
      <c r="K63" s="247">
        <v>41244</v>
      </c>
      <c r="L63" s="246">
        <v>105.6</v>
      </c>
      <c r="M63" s="247">
        <v>40940</v>
      </c>
      <c r="N63">
        <v>111.33300000000001</v>
      </c>
      <c r="O63"/>
      <c r="P63"/>
      <c r="Q63"/>
      <c r="R63"/>
      <c r="S63"/>
      <c r="T63"/>
      <c r="U63"/>
      <c r="V63"/>
      <c r="W63"/>
    </row>
    <row r="64" spans="2:23" x14ac:dyDescent="0.25">
      <c r="K64" s="247">
        <v>41275</v>
      </c>
      <c r="L64" s="246">
        <v>106.2</v>
      </c>
      <c r="M64" s="247">
        <v>40969</v>
      </c>
      <c r="N64">
        <v>113.062</v>
      </c>
      <c r="O64"/>
      <c r="P64"/>
      <c r="Q64"/>
      <c r="R64"/>
      <c r="S64"/>
      <c r="T64"/>
      <c r="U64"/>
      <c r="V64"/>
      <c r="W64"/>
    </row>
    <row r="65" spans="11:23" x14ac:dyDescent="0.25">
      <c r="K65" s="247">
        <v>41306</v>
      </c>
      <c r="L65" s="246">
        <v>106.1</v>
      </c>
      <c r="M65" s="247">
        <v>41000</v>
      </c>
      <c r="N65">
        <v>113.75500000000001</v>
      </c>
      <c r="O65"/>
      <c r="P65"/>
      <c r="Q65"/>
      <c r="R65"/>
      <c r="S65"/>
      <c r="T65"/>
      <c r="U65"/>
      <c r="V65"/>
      <c r="W65"/>
    </row>
    <row r="66" spans="11:23" x14ac:dyDescent="0.25">
      <c r="K66" s="247">
        <v>41334</v>
      </c>
      <c r="L66" s="246">
        <v>106.1</v>
      </c>
      <c r="M66" s="247">
        <v>41030</v>
      </c>
      <c r="N66">
        <v>113.485</v>
      </c>
      <c r="O66"/>
      <c r="P66"/>
      <c r="Q66"/>
      <c r="R66"/>
      <c r="S66"/>
      <c r="T66"/>
      <c r="U66"/>
      <c r="V66"/>
      <c r="W66"/>
    </row>
    <row r="67" spans="11:23" x14ac:dyDescent="0.25">
      <c r="K67" s="247">
        <v>41365</v>
      </c>
      <c r="L67" s="246">
        <v>106.5</v>
      </c>
      <c r="M67" s="247">
        <v>41061</v>
      </c>
      <c r="N67">
        <v>113.14800000000001</v>
      </c>
      <c r="O67"/>
      <c r="P67"/>
      <c r="Q67"/>
      <c r="R67"/>
      <c r="S67"/>
      <c r="T67"/>
      <c r="U67"/>
      <c r="V67"/>
      <c r="W67"/>
    </row>
    <row r="68" spans="11:23" x14ac:dyDescent="0.25">
      <c r="K68" s="247">
        <v>41395</v>
      </c>
      <c r="L68" s="246">
        <v>106.7</v>
      </c>
      <c r="M68" s="247">
        <v>41091</v>
      </c>
      <c r="N68">
        <v>112.77400000000002</v>
      </c>
      <c r="O68"/>
      <c r="P68"/>
      <c r="Q68"/>
      <c r="R68"/>
      <c r="S68"/>
      <c r="T68"/>
      <c r="U68"/>
      <c r="V68"/>
      <c r="W68"/>
    </row>
    <row r="69" spans="11:23" x14ac:dyDescent="0.25">
      <c r="K69" s="247">
        <v>41426</v>
      </c>
      <c r="L69" s="246">
        <v>106.7</v>
      </c>
      <c r="M69" s="247">
        <v>41122</v>
      </c>
      <c r="N69">
        <v>114.04899999999999</v>
      </c>
      <c r="O69"/>
      <c r="P69"/>
      <c r="Q69"/>
      <c r="R69"/>
      <c r="S69"/>
      <c r="T69"/>
      <c r="U69"/>
      <c r="V69"/>
      <c r="W69"/>
    </row>
    <row r="70" spans="11:23" x14ac:dyDescent="0.25">
      <c r="K70" s="247">
        <v>41456</v>
      </c>
      <c r="L70" s="246">
        <v>107.3</v>
      </c>
      <c r="M70" s="247">
        <v>41153</v>
      </c>
      <c r="N70">
        <v>115.07700000000001</v>
      </c>
      <c r="O70"/>
      <c r="P70"/>
      <c r="Q70"/>
      <c r="R70"/>
      <c r="S70"/>
      <c r="T70"/>
      <c r="U70"/>
      <c r="V70"/>
      <c r="W70"/>
    </row>
    <row r="71" spans="11:23" x14ac:dyDescent="0.25">
      <c r="K71" s="247">
        <v>41487</v>
      </c>
      <c r="L71" s="246">
        <v>107.3</v>
      </c>
      <c r="M71" s="247">
        <v>41183</v>
      </c>
      <c r="N71">
        <v>114.98700000000001</v>
      </c>
      <c r="O71"/>
      <c r="P71"/>
      <c r="Q71"/>
      <c r="R71"/>
      <c r="S71"/>
      <c r="T71"/>
      <c r="U71"/>
      <c r="V71"/>
      <c r="W71"/>
    </row>
    <row r="72" spans="11:23" x14ac:dyDescent="0.25">
      <c r="K72" s="247">
        <v>41518</v>
      </c>
      <c r="L72" s="246">
        <v>107.5</v>
      </c>
      <c r="M72" s="247">
        <v>41214</v>
      </c>
      <c r="N72">
        <v>113.89100000000001</v>
      </c>
      <c r="O72"/>
      <c r="P72"/>
      <c r="Q72"/>
      <c r="R72"/>
      <c r="S72"/>
      <c r="T72"/>
      <c r="U72"/>
      <c r="V72"/>
      <c r="W72"/>
    </row>
    <row r="73" spans="11:23" x14ac:dyDescent="0.25">
      <c r="K73" s="247">
        <v>41548</v>
      </c>
      <c r="L73" s="246">
        <v>108.9</v>
      </c>
      <c r="M73" s="247">
        <v>41244</v>
      </c>
      <c r="N73">
        <v>113.271</v>
      </c>
      <c r="O73"/>
      <c r="P73"/>
      <c r="Q73"/>
      <c r="R73"/>
      <c r="S73"/>
      <c r="T73"/>
      <c r="U73"/>
      <c r="V73"/>
      <c r="W73"/>
    </row>
    <row r="74" spans="11:23" x14ac:dyDescent="0.25">
      <c r="K74" s="247">
        <v>41579</v>
      </c>
      <c r="L74" s="246">
        <v>108.9</v>
      </c>
      <c r="M74" s="247">
        <v>41275</v>
      </c>
      <c r="N74">
        <v>113.95</v>
      </c>
      <c r="O74"/>
      <c r="P74"/>
      <c r="Q74"/>
      <c r="R74"/>
      <c r="S74"/>
      <c r="T74"/>
      <c r="U74"/>
      <c r="V74"/>
      <c r="W74"/>
    </row>
    <row r="75" spans="11:23" x14ac:dyDescent="0.25">
      <c r="K75" s="247">
        <v>41609</v>
      </c>
      <c r="L75" s="246">
        <v>109.1</v>
      </c>
      <c r="M75" s="247">
        <v>41306</v>
      </c>
      <c r="N75">
        <v>115.836</v>
      </c>
      <c r="O75"/>
      <c r="P75"/>
      <c r="Q75"/>
      <c r="R75"/>
      <c r="S75"/>
      <c r="T75"/>
      <c r="U75"/>
      <c r="V75"/>
      <c r="W75"/>
    </row>
    <row r="76" spans="11:23" x14ac:dyDescent="0.25">
      <c r="K76" s="247">
        <v>41640</v>
      </c>
      <c r="L76" s="246">
        <v>109.7</v>
      </c>
      <c r="M76" s="247">
        <v>41334</v>
      </c>
      <c r="N76">
        <v>116.443</v>
      </c>
      <c r="O76"/>
      <c r="P76"/>
      <c r="Q76"/>
      <c r="R76"/>
      <c r="S76"/>
      <c r="T76"/>
      <c r="U76"/>
      <c r="V76"/>
      <c r="W76"/>
    </row>
    <row r="77" spans="11:23" x14ac:dyDescent="0.25">
      <c r="K77" s="247">
        <v>41671</v>
      </c>
      <c r="L77" s="246">
        <v>109.7</v>
      </c>
      <c r="M77" s="247">
        <v>41365</v>
      </c>
      <c r="N77">
        <v>116.20100000000001</v>
      </c>
      <c r="O77"/>
      <c r="P77"/>
      <c r="Q77"/>
      <c r="R77"/>
      <c r="S77"/>
      <c r="T77"/>
      <c r="U77"/>
      <c r="V77"/>
      <c r="W77"/>
    </row>
    <row r="78" spans="11:23" x14ac:dyDescent="0.25">
      <c r="K78" s="247">
        <v>41699</v>
      </c>
      <c r="L78" s="246">
        <v>109.8</v>
      </c>
      <c r="M78" s="247">
        <v>41395</v>
      </c>
      <c r="N78">
        <v>116.61499999999999</v>
      </c>
      <c r="O78"/>
      <c r="P78"/>
      <c r="Q78"/>
      <c r="R78"/>
      <c r="S78"/>
      <c r="T78"/>
      <c r="U78"/>
      <c r="V78"/>
      <c r="W78"/>
    </row>
    <row r="79" spans="11:23" x14ac:dyDescent="0.25">
      <c r="K79" s="247">
        <v>41730</v>
      </c>
      <c r="L79" s="246">
        <v>110.1</v>
      </c>
      <c r="M79" s="247">
        <v>41426</v>
      </c>
      <c r="N79">
        <v>117.17399999999999</v>
      </c>
      <c r="O79"/>
      <c r="P79"/>
      <c r="Q79"/>
      <c r="R79"/>
      <c r="S79"/>
      <c r="T79"/>
      <c r="U79"/>
      <c r="V79"/>
      <c r="W79"/>
    </row>
    <row r="80" spans="11:23" x14ac:dyDescent="0.25">
      <c r="K80" s="247">
        <v>41760</v>
      </c>
      <c r="L80" s="246">
        <v>110.1</v>
      </c>
      <c r="M80" s="247">
        <v>41456</v>
      </c>
      <c r="N80">
        <v>117.26600000000001</v>
      </c>
      <c r="O80"/>
      <c r="P80"/>
      <c r="Q80"/>
      <c r="R80"/>
      <c r="S80"/>
      <c r="T80"/>
      <c r="U80"/>
      <c r="V80"/>
      <c r="W80"/>
    </row>
    <row r="81" spans="11:23" x14ac:dyDescent="0.25">
      <c r="K81" s="247">
        <v>41791</v>
      </c>
      <c r="L81" s="246">
        <v>110.2</v>
      </c>
      <c r="M81" s="247">
        <v>41487</v>
      </c>
      <c r="N81">
        <v>117.54700000000001</v>
      </c>
      <c r="O81"/>
      <c r="P81"/>
      <c r="Q81"/>
      <c r="R81"/>
      <c r="S81"/>
      <c r="T81"/>
      <c r="U81"/>
      <c r="V81"/>
      <c r="W81"/>
    </row>
    <row r="82" spans="11:23" x14ac:dyDescent="0.25">
      <c r="K82" s="247">
        <v>41821</v>
      </c>
      <c r="L82" s="246">
        <v>110.6</v>
      </c>
      <c r="M82" s="247">
        <v>41518</v>
      </c>
      <c r="N82">
        <v>117.819</v>
      </c>
      <c r="O82"/>
      <c r="P82"/>
      <c r="Q82"/>
      <c r="R82"/>
      <c r="S82"/>
      <c r="T82"/>
      <c r="U82"/>
      <c r="V82"/>
      <c r="W82"/>
    </row>
    <row r="83" spans="11:23" x14ac:dyDescent="0.25">
      <c r="K83" s="247">
        <v>41852</v>
      </c>
      <c r="L83" s="246">
        <v>110.7</v>
      </c>
      <c r="M83" s="247">
        <v>41548</v>
      </c>
      <c r="N83">
        <v>117.21599999999999</v>
      </c>
      <c r="O83"/>
      <c r="P83"/>
      <c r="Q83"/>
      <c r="R83"/>
      <c r="S83"/>
      <c r="T83"/>
      <c r="U83"/>
      <c r="V83"/>
      <c r="W83"/>
    </row>
    <row r="84" spans="11:23" x14ac:dyDescent="0.25">
      <c r="K84" s="247">
        <v>41883</v>
      </c>
      <c r="L84" s="246">
        <v>110.7</v>
      </c>
      <c r="M84" s="247">
        <v>41579</v>
      </c>
      <c r="N84">
        <v>116.73899999999999</v>
      </c>
      <c r="O84"/>
      <c r="P84"/>
      <c r="Q84"/>
      <c r="R84"/>
      <c r="S84"/>
      <c r="T84"/>
      <c r="U84"/>
      <c r="V84"/>
      <c r="W84"/>
    </row>
    <row r="85" spans="11:23" x14ac:dyDescent="0.25">
      <c r="K85" s="247">
        <v>41913</v>
      </c>
      <c r="L85" s="246">
        <v>111.3</v>
      </c>
      <c r="M85" s="247">
        <v>41609</v>
      </c>
      <c r="N85">
        <v>116.71900000000001</v>
      </c>
      <c r="O85"/>
      <c r="P85"/>
      <c r="Q85"/>
      <c r="R85"/>
      <c r="S85"/>
      <c r="T85"/>
      <c r="U85"/>
      <c r="V85"/>
      <c r="W85"/>
    </row>
    <row r="86" spans="11:23" x14ac:dyDescent="0.25">
      <c r="K86" s="247">
        <v>41944</v>
      </c>
      <c r="L86" s="246">
        <v>111.2</v>
      </c>
      <c r="M86" s="247">
        <v>41640</v>
      </c>
      <c r="N86">
        <v>117.586</v>
      </c>
      <c r="O86"/>
      <c r="P86"/>
      <c r="Q86"/>
      <c r="R86"/>
      <c r="S86"/>
      <c r="T86"/>
      <c r="U86"/>
      <c r="V86"/>
      <c r="W86"/>
    </row>
    <row r="87" spans="11:23" x14ac:dyDescent="0.25">
      <c r="K87" s="247">
        <v>41974</v>
      </c>
      <c r="L87" s="246">
        <v>111.4</v>
      </c>
      <c r="M87" s="247">
        <v>41671</v>
      </c>
      <c r="N87">
        <v>118.45100000000001</v>
      </c>
      <c r="O87"/>
      <c r="P87"/>
      <c r="Q87"/>
      <c r="R87"/>
      <c r="S87"/>
      <c r="T87"/>
      <c r="U87"/>
      <c r="V87"/>
      <c r="W87"/>
    </row>
    <row r="88" spans="11:23" x14ac:dyDescent="0.25">
      <c r="K88" s="247">
        <v>42005</v>
      </c>
      <c r="L88" s="246">
        <v>112</v>
      </c>
      <c r="M88" s="247">
        <v>41699</v>
      </c>
      <c r="N88">
        <v>119.96300000000001</v>
      </c>
      <c r="O88"/>
      <c r="P88"/>
      <c r="Q88"/>
      <c r="R88"/>
      <c r="S88"/>
      <c r="T88"/>
      <c r="U88"/>
      <c r="V88"/>
      <c r="W88"/>
    </row>
    <row r="89" spans="11:23" x14ac:dyDescent="0.25">
      <c r="K89" s="247">
        <v>42036</v>
      </c>
      <c r="L89" s="246">
        <v>112</v>
      </c>
      <c r="M89" s="247">
        <v>41730</v>
      </c>
      <c r="N89">
        <v>120.742</v>
      </c>
      <c r="O89"/>
      <c r="P89"/>
      <c r="Q89"/>
      <c r="R89"/>
      <c r="S89"/>
      <c r="T89"/>
      <c r="U89"/>
      <c r="V89"/>
      <c r="W89"/>
    </row>
    <row r="90" spans="11:23" x14ac:dyDescent="0.25">
      <c r="K90" s="247">
        <v>42064</v>
      </c>
      <c r="L90" s="246">
        <v>112</v>
      </c>
      <c r="M90" s="247">
        <v>41760</v>
      </c>
      <c r="N90">
        <v>121.57000000000001</v>
      </c>
      <c r="O90"/>
      <c r="P90"/>
      <c r="Q90"/>
      <c r="R90"/>
      <c r="S90"/>
      <c r="T90"/>
      <c r="U90"/>
      <c r="V90"/>
      <c r="W90"/>
    </row>
    <row r="91" spans="11:23" x14ac:dyDescent="0.25">
      <c r="K91" s="247">
        <v>42095</v>
      </c>
      <c r="L91" s="246">
        <v>111.9</v>
      </c>
      <c r="M91" s="247">
        <v>41791</v>
      </c>
      <c r="N91">
        <v>122.01299999999999</v>
      </c>
      <c r="O91"/>
      <c r="P91"/>
      <c r="Q91"/>
      <c r="R91"/>
      <c r="S91"/>
      <c r="T91"/>
      <c r="U91"/>
      <c r="V91"/>
      <c r="W91"/>
    </row>
    <row r="92" spans="11:23" x14ac:dyDescent="0.25">
      <c r="K92" s="247">
        <v>42125</v>
      </c>
      <c r="L92" s="246">
        <v>112</v>
      </c>
      <c r="M92" s="247">
        <v>41821</v>
      </c>
      <c r="N92">
        <v>121.92</v>
      </c>
      <c r="O92"/>
      <c r="P92"/>
      <c r="Q92"/>
      <c r="R92"/>
      <c r="S92"/>
      <c r="T92"/>
      <c r="U92"/>
      <c r="V92"/>
      <c r="W92"/>
    </row>
    <row r="93" spans="11:23" x14ac:dyDescent="0.25">
      <c r="K93" s="247">
        <v>42156</v>
      </c>
      <c r="L93" s="246">
        <v>112</v>
      </c>
      <c r="M93" s="247">
        <v>41852</v>
      </c>
      <c r="N93">
        <v>121.52200000000001</v>
      </c>
      <c r="O93"/>
      <c r="P93"/>
      <c r="Q93"/>
      <c r="R93"/>
      <c r="S93"/>
      <c r="T93"/>
      <c r="U93"/>
      <c r="V93"/>
      <c r="W93"/>
    </row>
    <row r="94" spans="11:23" x14ac:dyDescent="0.25">
      <c r="K94" s="247">
        <v>42186</v>
      </c>
      <c r="L94" s="246">
        <v>112.7</v>
      </c>
      <c r="M94" s="247">
        <v>41883</v>
      </c>
      <c r="N94">
        <v>121.70100000000001</v>
      </c>
      <c r="O94"/>
      <c r="P94"/>
      <c r="Q94"/>
      <c r="R94"/>
      <c r="S94"/>
      <c r="T94"/>
      <c r="U94"/>
      <c r="V94"/>
      <c r="W94"/>
    </row>
    <row r="95" spans="11:23" x14ac:dyDescent="0.25">
      <c r="K95" s="247">
        <v>42217</v>
      </c>
      <c r="L95" s="246">
        <v>112.7</v>
      </c>
      <c r="M95" s="247">
        <v>41913</v>
      </c>
      <c r="N95">
        <v>121.10299999999999</v>
      </c>
      <c r="O95"/>
      <c r="P95"/>
      <c r="Q95"/>
      <c r="R95"/>
      <c r="S95"/>
      <c r="T95"/>
      <c r="U95"/>
      <c r="V95"/>
      <c r="W95"/>
    </row>
    <row r="96" spans="11:23" x14ac:dyDescent="0.25">
      <c r="K96" s="247">
        <v>42248</v>
      </c>
      <c r="L96" s="246">
        <v>112.7</v>
      </c>
      <c r="M96" s="247">
        <v>41944</v>
      </c>
      <c r="N96">
        <v>119.82100000000001</v>
      </c>
      <c r="O96"/>
      <c r="P96"/>
      <c r="Q96"/>
      <c r="R96"/>
      <c r="S96"/>
      <c r="T96"/>
      <c r="U96"/>
      <c r="V96"/>
      <c r="W96"/>
    </row>
    <row r="97" spans="11:23" x14ac:dyDescent="0.25">
      <c r="K97" s="247">
        <v>42278</v>
      </c>
      <c r="L97" s="246">
        <v>113.7</v>
      </c>
      <c r="M97" s="247">
        <v>41974</v>
      </c>
      <c r="N97">
        <v>118.48200000000001</v>
      </c>
      <c r="O97"/>
      <c r="P97"/>
      <c r="Q97"/>
      <c r="R97"/>
      <c r="S97"/>
      <c r="T97"/>
      <c r="U97"/>
      <c r="V97"/>
      <c r="W97"/>
    </row>
    <row r="98" spans="11:23" x14ac:dyDescent="0.25">
      <c r="K98" s="247">
        <v>42309</v>
      </c>
      <c r="L98" s="246">
        <v>113.6</v>
      </c>
      <c r="M98" s="247">
        <v>42005</v>
      </c>
      <c r="N98">
        <v>117.377</v>
      </c>
      <c r="O98"/>
      <c r="P98"/>
      <c r="Q98"/>
      <c r="R98"/>
      <c r="S98"/>
      <c r="T98"/>
      <c r="U98"/>
      <c r="V98"/>
      <c r="W98"/>
    </row>
    <row r="99" spans="11:23" x14ac:dyDescent="0.25">
      <c r="K99" s="247">
        <v>42339</v>
      </c>
      <c r="L99" s="246">
        <v>113.6</v>
      </c>
      <c r="M99" s="247">
        <v>42036</v>
      </c>
      <c r="N99">
        <v>118.39200000000001</v>
      </c>
      <c r="O99"/>
      <c r="P99"/>
      <c r="Q99"/>
      <c r="R99"/>
      <c r="S99"/>
      <c r="T99"/>
      <c r="U99"/>
      <c r="V99"/>
      <c r="W99"/>
    </row>
    <row r="100" spans="11:23" x14ac:dyDescent="0.25">
      <c r="K100" s="247">
        <v>42370</v>
      </c>
      <c r="L100" s="246">
        <v>113.3</v>
      </c>
      <c r="M100" s="247">
        <v>42064</v>
      </c>
      <c r="N100">
        <v>119.789</v>
      </c>
      <c r="O100"/>
      <c r="P100"/>
      <c r="Q100"/>
      <c r="R100"/>
      <c r="S100"/>
      <c r="T100"/>
      <c r="U100"/>
      <c r="V100"/>
      <c r="W100"/>
    </row>
    <row r="101" spans="11:23" x14ac:dyDescent="0.25">
      <c r="K101" s="247">
        <v>42401</v>
      </c>
      <c r="L101" s="246">
        <v>113.2</v>
      </c>
      <c r="M101" s="247">
        <v>42095</v>
      </c>
      <c r="N101">
        <v>120.26899999999999</v>
      </c>
      <c r="O101"/>
      <c r="P101"/>
      <c r="Q101"/>
      <c r="R101"/>
      <c r="S101"/>
      <c r="T101"/>
      <c r="U101"/>
      <c r="V101"/>
      <c r="W101"/>
    </row>
    <row r="102" spans="11:23" x14ac:dyDescent="0.25">
      <c r="K102" s="247">
        <v>42430</v>
      </c>
      <c r="L102" s="246">
        <v>113.1</v>
      </c>
      <c r="M102" s="247">
        <v>42125</v>
      </c>
      <c r="N102">
        <v>121.47500000000001</v>
      </c>
      <c r="O102"/>
      <c r="P102"/>
      <c r="Q102"/>
      <c r="R102"/>
      <c r="S102"/>
      <c r="T102"/>
      <c r="U102"/>
      <c r="V102"/>
      <c r="W102"/>
    </row>
    <row r="103" spans="11:23" x14ac:dyDescent="0.25">
      <c r="K103" s="247">
        <v>42461</v>
      </c>
      <c r="L103" s="246">
        <v>114.2</v>
      </c>
      <c r="M103" s="247">
        <v>42156</v>
      </c>
      <c r="N103">
        <v>122.30800000000001</v>
      </c>
      <c r="O103"/>
      <c r="P103"/>
      <c r="Q103"/>
      <c r="R103"/>
      <c r="S103"/>
      <c r="T103"/>
      <c r="U103"/>
      <c r="V103"/>
      <c r="W103"/>
    </row>
    <row r="104" spans="11:23" x14ac:dyDescent="0.25">
      <c r="K104" s="247">
        <v>42491</v>
      </c>
      <c r="L104" s="246">
        <v>114.2</v>
      </c>
      <c r="M104" s="247">
        <v>42186</v>
      </c>
      <c r="N104">
        <v>122.324</v>
      </c>
      <c r="O104"/>
      <c r="P104"/>
      <c r="Q104"/>
      <c r="R104"/>
      <c r="S104"/>
      <c r="T104"/>
      <c r="U104"/>
      <c r="V104"/>
      <c r="W104"/>
    </row>
    <row r="105" spans="11:23" x14ac:dyDescent="0.25">
      <c r="K105" s="247">
        <v>42522</v>
      </c>
      <c r="L105" s="246">
        <v>114.2</v>
      </c>
      <c r="M105" s="247">
        <v>42217</v>
      </c>
      <c r="N105">
        <v>121.986</v>
      </c>
      <c r="O105"/>
      <c r="P105"/>
      <c r="Q105"/>
      <c r="R105"/>
      <c r="S105"/>
      <c r="T105"/>
      <c r="U105"/>
      <c r="V105"/>
      <c r="W105"/>
    </row>
    <row r="106" spans="11:23" x14ac:dyDescent="0.25">
      <c r="K106" s="247">
        <v>42552</v>
      </c>
      <c r="L106" s="246">
        <v>113.6</v>
      </c>
      <c r="M106" s="247">
        <v>42248</v>
      </c>
      <c r="N106">
        <v>121.61499999999999</v>
      </c>
      <c r="O106"/>
      <c r="P106"/>
      <c r="Q106"/>
      <c r="R106"/>
      <c r="S106"/>
      <c r="T106"/>
      <c r="U106"/>
      <c r="V106"/>
      <c r="W106"/>
    </row>
    <row r="107" spans="11:23" x14ac:dyDescent="0.25">
      <c r="K107" s="247">
        <v>42583</v>
      </c>
      <c r="L107" s="246">
        <v>113.6</v>
      </c>
      <c r="M107" s="247">
        <v>42278</v>
      </c>
      <c r="N107">
        <v>121.508</v>
      </c>
      <c r="O107"/>
      <c r="P107"/>
      <c r="Q107"/>
      <c r="R107"/>
      <c r="S107"/>
      <c r="T107"/>
      <c r="U107"/>
      <c r="V107"/>
      <c r="W107"/>
    </row>
    <row r="108" spans="11:23" x14ac:dyDescent="0.25">
      <c r="K108" s="247">
        <v>42614</v>
      </c>
      <c r="L108" s="246">
        <v>113.6</v>
      </c>
      <c r="M108" s="247">
        <v>42309</v>
      </c>
      <c r="N108">
        <v>121.00600000000001</v>
      </c>
      <c r="O108"/>
      <c r="P108"/>
      <c r="Q108"/>
      <c r="R108"/>
      <c r="S108"/>
      <c r="T108"/>
      <c r="U108"/>
      <c r="V108"/>
      <c r="W108"/>
    </row>
    <row r="109" spans="11:23" x14ac:dyDescent="0.25">
      <c r="K109" s="247">
        <v>42644</v>
      </c>
      <c r="L109" s="246">
        <v>114.6</v>
      </c>
      <c r="M109" s="247">
        <v>42339</v>
      </c>
      <c r="N109">
        <v>120.19500000000001</v>
      </c>
      <c r="O109"/>
      <c r="P109"/>
      <c r="Q109"/>
      <c r="R109"/>
      <c r="S109"/>
      <c r="T109"/>
      <c r="U109"/>
      <c r="V109"/>
      <c r="W109"/>
    </row>
    <row r="110" spans="11:23" x14ac:dyDescent="0.25">
      <c r="K110" s="247">
        <v>42675</v>
      </c>
      <c r="L110" s="246">
        <v>114.5</v>
      </c>
      <c r="M110" s="247">
        <v>42370</v>
      </c>
      <c r="N110">
        <v>120.586</v>
      </c>
      <c r="O110"/>
      <c r="P110"/>
      <c r="Q110"/>
      <c r="R110"/>
      <c r="S110"/>
      <c r="T110"/>
      <c r="U110"/>
      <c r="V110"/>
      <c r="W110"/>
    </row>
    <row r="111" spans="11:23" x14ac:dyDescent="0.25">
      <c r="K111" s="247">
        <v>42705</v>
      </c>
      <c r="L111" s="246">
        <v>114.5</v>
      </c>
      <c r="M111" s="247">
        <v>42401</v>
      </c>
      <c r="N111">
        <v>120.78099999999999</v>
      </c>
      <c r="O111"/>
      <c r="P111"/>
      <c r="Q111"/>
      <c r="R111"/>
      <c r="S111"/>
      <c r="T111"/>
      <c r="U111"/>
      <c r="V111"/>
      <c r="W111"/>
    </row>
    <row r="112" spans="11:23" x14ac:dyDescent="0.25">
      <c r="K112" s="247">
        <v>42736</v>
      </c>
      <c r="L112" s="246">
        <v>114.8</v>
      </c>
      <c r="M112" s="247">
        <v>42430</v>
      </c>
      <c r="N112">
        <v>121.80200000000001</v>
      </c>
      <c r="O112"/>
      <c r="P112"/>
      <c r="Q112"/>
      <c r="R112"/>
      <c r="S112"/>
      <c r="T112"/>
      <c r="U112"/>
      <c r="V112"/>
      <c r="W112"/>
    </row>
    <row r="113" spans="11:23" x14ac:dyDescent="0.25">
      <c r="K113" s="247">
        <v>42767</v>
      </c>
      <c r="L113" s="246">
        <v>114.9</v>
      </c>
      <c r="M113" s="247">
        <v>42461</v>
      </c>
      <c r="N113">
        <v>122.931</v>
      </c>
      <c r="O113"/>
      <c r="P113"/>
      <c r="Q113"/>
      <c r="R113"/>
      <c r="S113"/>
      <c r="T113"/>
      <c r="U113"/>
      <c r="V113"/>
      <c r="W113"/>
    </row>
    <row r="114" spans="11:23" x14ac:dyDescent="0.25">
      <c r="K114" s="247">
        <v>42795</v>
      </c>
      <c r="L114" s="246">
        <v>114.9</v>
      </c>
      <c r="M114" s="247">
        <v>42491</v>
      </c>
      <c r="N114">
        <v>123.89900000000002</v>
      </c>
      <c r="O114"/>
      <c r="P114"/>
      <c r="Q114"/>
      <c r="R114"/>
      <c r="S114"/>
      <c r="T114"/>
      <c r="U114"/>
      <c r="V114"/>
      <c r="W114"/>
    </row>
    <row r="115" spans="11:23" x14ac:dyDescent="0.25">
      <c r="K115" s="247">
        <v>42826</v>
      </c>
      <c r="L115" s="246">
        <v>115.5</v>
      </c>
      <c r="M115" s="247">
        <v>42522</v>
      </c>
      <c r="N115">
        <v>124.688</v>
      </c>
      <c r="O115"/>
      <c r="P115"/>
      <c r="Q115"/>
      <c r="R115"/>
      <c r="S115"/>
      <c r="T115"/>
      <c r="U115"/>
      <c r="V115"/>
      <c r="W115"/>
    </row>
    <row r="116" spans="11:23" x14ac:dyDescent="0.25">
      <c r="K116" s="247">
        <v>42856</v>
      </c>
      <c r="L116" s="246">
        <v>115.6</v>
      </c>
      <c r="M116" s="247">
        <v>42552</v>
      </c>
      <c r="N116">
        <v>124.29799999999999</v>
      </c>
      <c r="O116"/>
      <c r="P116"/>
      <c r="Q116"/>
      <c r="R116"/>
      <c r="S116"/>
      <c r="T116"/>
      <c r="U116"/>
      <c r="V116"/>
      <c r="W116"/>
    </row>
    <row r="117" spans="11:23" x14ac:dyDescent="0.25">
      <c r="K117" s="247">
        <v>42887</v>
      </c>
      <c r="L117" s="246">
        <v>115.7</v>
      </c>
      <c r="M117" s="247">
        <v>42583</v>
      </c>
      <c r="N117">
        <v>124.51899999999999</v>
      </c>
      <c r="O117"/>
      <c r="P117"/>
      <c r="Q117"/>
      <c r="R117"/>
      <c r="S117"/>
      <c r="T117"/>
      <c r="U117"/>
      <c r="V117"/>
      <c r="W117"/>
    </row>
    <row r="118" spans="11:23" x14ac:dyDescent="0.25">
      <c r="K118" s="247">
        <v>42917</v>
      </c>
      <c r="L118" s="246">
        <v>117.2</v>
      </c>
      <c r="M118" s="247">
        <v>42614</v>
      </c>
      <c r="N118">
        <v>125.098</v>
      </c>
      <c r="O118"/>
      <c r="P118"/>
      <c r="Q118"/>
      <c r="R118"/>
      <c r="S118"/>
      <c r="T118"/>
      <c r="U118"/>
      <c r="V118"/>
      <c r="W118"/>
    </row>
    <row r="119" spans="11:23" x14ac:dyDescent="0.25">
      <c r="K119" s="247">
        <v>42948</v>
      </c>
      <c r="L119" s="246">
        <v>117.2</v>
      </c>
      <c r="M119" s="247">
        <v>42644</v>
      </c>
      <c r="N119">
        <v>125.39900000000002</v>
      </c>
      <c r="O119"/>
      <c r="P119"/>
      <c r="Q119"/>
      <c r="R119"/>
      <c r="S119"/>
      <c r="T119"/>
      <c r="U119"/>
      <c r="V119"/>
      <c r="W119"/>
    </row>
    <row r="120" spans="11:23" x14ac:dyDescent="0.25">
      <c r="K120" s="247">
        <v>42979</v>
      </c>
      <c r="L120" s="246">
        <v>117.2</v>
      </c>
      <c r="M120" s="247">
        <v>42675</v>
      </c>
      <c r="N120">
        <v>125.02300000000001</v>
      </c>
      <c r="O120"/>
      <c r="P120"/>
      <c r="Q120"/>
      <c r="R120"/>
      <c r="S120"/>
      <c r="T120"/>
      <c r="U120"/>
      <c r="V120"/>
      <c r="W120"/>
    </row>
    <row r="121" spans="11:23" x14ac:dyDescent="0.25">
      <c r="K121" s="247">
        <v>43009</v>
      </c>
      <c r="L121" s="246">
        <v>117.9</v>
      </c>
      <c r="M121" s="247">
        <v>42705</v>
      </c>
      <c r="N121">
        <v>125.10199999999999</v>
      </c>
      <c r="O121"/>
      <c r="P121"/>
      <c r="Q121"/>
      <c r="R121"/>
      <c r="S121"/>
      <c r="T121"/>
      <c r="U121"/>
      <c r="V121"/>
      <c r="W121"/>
    </row>
    <row r="122" spans="11:23" x14ac:dyDescent="0.25">
      <c r="K122" s="247">
        <v>43040</v>
      </c>
      <c r="L122" s="246">
        <v>117.9</v>
      </c>
      <c r="M122" s="247">
        <v>42736</v>
      </c>
      <c r="N122">
        <v>126.509</v>
      </c>
      <c r="O122"/>
      <c r="P122"/>
      <c r="Q122"/>
      <c r="R122"/>
      <c r="S122"/>
      <c r="T122"/>
      <c r="U122"/>
      <c r="V122"/>
      <c r="W122"/>
    </row>
    <row r="123" spans="11:23" x14ac:dyDescent="0.25">
      <c r="K123" s="247">
        <v>43070</v>
      </c>
      <c r="L123" s="246">
        <v>118</v>
      </c>
      <c r="M123" s="247">
        <v>42767</v>
      </c>
      <c r="N123">
        <v>127.27300000000001</v>
      </c>
      <c r="O123"/>
      <c r="P123"/>
      <c r="Q123"/>
      <c r="R123"/>
      <c r="S123"/>
      <c r="T123"/>
      <c r="U123"/>
      <c r="V123"/>
      <c r="W123"/>
    </row>
    <row r="124" spans="11:23" x14ac:dyDescent="0.25">
      <c r="K124" s="247">
        <v>43101</v>
      </c>
      <c r="L124" s="246">
        <v>118.9</v>
      </c>
      <c r="M124" s="247">
        <v>42795</v>
      </c>
      <c r="N124">
        <v>127.47099999999999</v>
      </c>
      <c r="O124"/>
      <c r="P124"/>
      <c r="Q124"/>
      <c r="R124"/>
      <c r="S124"/>
      <c r="T124"/>
      <c r="U124"/>
      <c r="V124"/>
      <c r="W124"/>
    </row>
    <row r="125" spans="11:23" x14ac:dyDescent="0.25">
      <c r="K125" s="247">
        <v>43132</v>
      </c>
      <c r="L125" s="246">
        <v>119</v>
      </c>
      <c r="M125" s="247">
        <v>42826</v>
      </c>
      <c r="N125">
        <v>128.19399999999999</v>
      </c>
      <c r="O125"/>
      <c r="P125"/>
      <c r="Q125"/>
      <c r="R125"/>
      <c r="S125"/>
      <c r="T125"/>
      <c r="U125"/>
      <c r="V125"/>
      <c r="W125"/>
    </row>
    <row r="126" spans="11:23" x14ac:dyDescent="0.25">
      <c r="K126" s="247">
        <v>43160</v>
      </c>
      <c r="L126" s="246">
        <v>119</v>
      </c>
      <c r="M126" s="247">
        <v>42856</v>
      </c>
      <c r="N126">
        <v>128.40299999999999</v>
      </c>
      <c r="O126"/>
      <c r="P126"/>
      <c r="Q126"/>
      <c r="R126"/>
      <c r="S126"/>
      <c r="T126"/>
      <c r="U126"/>
      <c r="V126"/>
      <c r="W126"/>
    </row>
    <row r="127" spans="11:23" x14ac:dyDescent="0.25">
      <c r="K127" s="247">
        <v>43191</v>
      </c>
      <c r="L127" s="246">
        <v>120.4</v>
      </c>
      <c r="M127" s="247">
        <v>42887</v>
      </c>
      <c r="N127">
        <v>128.625</v>
      </c>
      <c r="O127"/>
      <c r="P127"/>
      <c r="Q127"/>
      <c r="R127"/>
      <c r="S127"/>
      <c r="T127"/>
      <c r="U127"/>
      <c r="V127"/>
      <c r="W127"/>
    </row>
    <row r="128" spans="11:23" x14ac:dyDescent="0.25">
      <c r="K128" s="247">
        <v>43221</v>
      </c>
      <c r="L128" s="246">
        <v>120.5</v>
      </c>
      <c r="M128" s="247">
        <v>42917</v>
      </c>
      <c r="N128">
        <v>128.45599999999999</v>
      </c>
      <c r="O128"/>
      <c r="P128"/>
      <c r="Q128"/>
      <c r="R128"/>
      <c r="S128"/>
      <c r="T128"/>
      <c r="U128"/>
      <c r="V128"/>
      <c r="W128"/>
    </row>
    <row r="129" spans="11:23" x14ac:dyDescent="0.25">
      <c r="K129" s="247">
        <v>43252</v>
      </c>
      <c r="L129" s="246">
        <v>120.8</v>
      </c>
      <c r="M129" s="247">
        <v>42948</v>
      </c>
      <c r="N129">
        <v>129.18899999999999</v>
      </c>
      <c r="O129"/>
      <c r="P129"/>
      <c r="Q129"/>
      <c r="R129"/>
      <c r="S129"/>
      <c r="T129"/>
      <c r="U129"/>
      <c r="V129"/>
      <c r="W129"/>
    </row>
    <row r="130" spans="11:23" x14ac:dyDescent="0.25">
      <c r="K130" s="247">
        <v>43282</v>
      </c>
      <c r="L130" s="246">
        <v>121.4</v>
      </c>
      <c r="M130" s="247">
        <v>42979</v>
      </c>
      <c r="N130">
        <v>130.48899999999998</v>
      </c>
      <c r="O130"/>
      <c r="P130"/>
      <c r="Q130"/>
      <c r="R130"/>
      <c r="S130"/>
      <c r="T130"/>
      <c r="U130"/>
      <c r="V130"/>
      <c r="W130"/>
    </row>
    <row r="131" spans="11:23" x14ac:dyDescent="0.25">
      <c r="K131" s="247">
        <v>43313</v>
      </c>
      <c r="L131" s="246">
        <v>121.5</v>
      </c>
      <c r="M131" s="247">
        <v>43009</v>
      </c>
      <c r="N131">
        <v>130.333</v>
      </c>
      <c r="O131"/>
      <c r="P131"/>
      <c r="Q131"/>
      <c r="R131"/>
      <c r="S131"/>
      <c r="T131"/>
      <c r="U131"/>
      <c r="V131"/>
      <c r="W131"/>
    </row>
    <row r="132" spans="11:23" x14ac:dyDescent="0.25">
      <c r="K132" s="247">
        <v>43344</v>
      </c>
      <c r="L132" s="246">
        <v>121.6</v>
      </c>
      <c r="M132" s="247">
        <v>43040</v>
      </c>
      <c r="N132">
        <v>130.339</v>
      </c>
      <c r="O132"/>
      <c r="P132"/>
      <c r="Q132"/>
      <c r="R132"/>
      <c r="S132"/>
      <c r="T132"/>
      <c r="U132"/>
      <c r="V132"/>
      <c r="W132"/>
    </row>
    <row r="133" spans="11:23" x14ac:dyDescent="0.25">
      <c r="K133" s="247">
        <v>43374</v>
      </c>
      <c r="L133" s="246">
        <v>123.9</v>
      </c>
      <c r="M133" s="247">
        <v>43070</v>
      </c>
      <c r="N133">
        <v>130.19399999999999</v>
      </c>
      <c r="O133"/>
      <c r="P133"/>
      <c r="Q133"/>
      <c r="R133"/>
      <c r="S133"/>
      <c r="T133"/>
      <c r="U133"/>
      <c r="V133"/>
      <c r="W133"/>
    </row>
    <row r="134" spans="11:23" x14ac:dyDescent="0.25">
      <c r="K134" s="247">
        <v>43405</v>
      </c>
      <c r="L134" s="246">
        <v>124.2</v>
      </c>
      <c r="M134" s="247">
        <v>43101</v>
      </c>
      <c r="N134">
        <v>131.53699999999998</v>
      </c>
      <c r="O134"/>
      <c r="P134"/>
      <c r="Q134"/>
      <c r="R134"/>
      <c r="S134"/>
      <c r="T134"/>
      <c r="U134"/>
      <c r="V134"/>
      <c r="W134"/>
    </row>
    <row r="135" spans="11:23" x14ac:dyDescent="0.25">
      <c r="K135" s="247">
        <v>43435</v>
      </c>
      <c r="L135" s="246">
        <v>124.3</v>
      </c>
      <c r="M135" s="247">
        <v>43132</v>
      </c>
      <c r="N135">
        <v>132.661</v>
      </c>
      <c r="O135"/>
      <c r="P135"/>
      <c r="Q135"/>
      <c r="R135"/>
      <c r="S135"/>
      <c r="T135"/>
      <c r="U135"/>
      <c r="V135"/>
      <c r="W135"/>
    </row>
    <row r="136" spans="11:23" x14ac:dyDescent="0.25">
      <c r="K136" s="247">
        <v>43466</v>
      </c>
      <c r="L136" s="246">
        <v>125.2</v>
      </c>
      <c r="M136" s="247">
        <v>43160</v>
      </c>
      <c r="N136">
        <v>133.22399999999999</v>
      </c>
      <c r="O136"/>
      <c r="P136"/>
      <c r="Q136"/>
      <c r="R136"/>
      <c r="S136"/>
      <c r="T136"/>
      <c r="U136"/>
      <c r="V136"/>
      <c r="W136"/>
    </row>
    <row r="137" spans="11:23" x14ac:dyDescent="0.25">
      <c r="K137" s="247">
        <v>43497</v>
      </c>
      <c r="L137" s="246">
        <v>125.2</v>
      </c>
      <c r="M137" s="247">
        <v>43191</v>
      </c>
      <c r="N137">
        <v>134.21599999999998</v>
      </c>
      <c r="O137"/>
      <c r="P137"/>
      <c r="Q137"/>
      <c r="R137"/>
      <c r="S137"/>
      <c r="T137"/>
      <c r="U137"/>
      <c r="V137"/>
      <c r="W137"/>
    </row>
    <row r="138" spans="11:23" x14ac:dyDescent="0.25">
      <c r="K138" s="247">
        <v>43525</v>
      </c>
      <c r="L138" s="246">
        <v>125.3</v>
      </c>
      <c r="M138" s="247">
        <v>43221</v>
      </c>
      <c r="N138">
        <v>135.25799999999998</v>
      </c>
      <c r="O138"/>
      <c r="P138"/>
      <c r="Q138"/>
      <c r="R138"/>
      <c r="S138"/>
      <c r="T138"/>
      <c r="U138"/>
      <c r="V138"/>
      <c r="W138"/>
    </row>
    <row r="139" spans="11:23" x14ac:dyDescent="0.25">
      <c r="K139" s="247">
        <v>43556</v>
      </c>
      <c r="L139" s="246">
        <v>127</v>
      </c>
      <c r="M139" s="247">
        <v>43252</v>
      </c>
      <c r="N139">
        <v>135.65899999999999</v>
      </c>
      <c r="O139"/>
      <c r="P139"/>
      <c r="Q139"/>
      <c r="R139"/>
      <c r="S139"/>
      <c r="T139"/>
      <c r="U139"/>
      <c r="V139"/>
      <c r="W139"/>
    </row>
    <row r="140" spans="11:23" x14ac:dyDescent="0.25">
      <c r="K140" s="247">
        <v>43586</v>
      </c>
      <c r="L140" s="246">
        <v>127.1</v>
      </c>
      <c r="M140" s="247">
        <v>43282</v>
      </c>
      <c r="N140">
        <v>135.67599999999999</v>
      </c>
      <c r="O140"/>
      <c r="P140"/>
      <c r="Q140"/>
      <c r="R140"/>
      <c r="S140"/>
      <c r="T140"/>
      <c r="U140"/>
      <c r="V140"/>
      <c r="W140"/>
    </row>
    <row r="141" spans="11:23" x14ac:dyDescent="0.25">
      <c r="K141" s="247">
        <v>43617</v>
      </c>
      <c r="L141" s="246">
        <v>127.1</v>
      </c>
      <c r="M141" s="247">
        <v>43313</v>
      </c>
      <c r="N141">
        <v>135.81599999999997</v>
      </c>
      <c r="O141"/>
      <c r="P141"/>
      <c r="Q141"/>
      <c r="R141"/>
      <c r="S141"/>
      <c r="T141"/>
      <c r="U141"/>
      <c r="V141"/>
      <c r="W141"/>
    </row>
    <row r="142" spans="11:23" x14ac:dyDescent="0.25">
      <c r="K142" s="247">
        <v>43647</v>
      </c>
      <c r="L142" s="246">
        <v>128.1</v>
      </c>
      <c r="M142" s="247">
        <v>43344</v>
      </c>
      <c r="N142">
        <v>136.10899999999998</v>
      </c>
      <c r="O142"/>
      <c r="P142"/>
      <c r="Q142"/>
      <c r="R142"/>
      <c r="S142"/>
      <c r="T142"/>
      <c r="U142"/>
      <c r="V142"/>
      <c r="W142"/>
    </row>
    <row r="143" spans="11:23" x14ac:dyDescent="0.25">
      <c r="K143" s="247">
        <v>43678</v>
      </c>
      <c r="L143" s="246">
        <v>128.1</v>
      </c>
      <c r="M143" s="247">
        <v>43374</v>
      </c>
      <c r="N143">
        <v>136.55499999999998</v>
      </c>
      <c r="O143"/>
      <c r="P143"/>
      <c r="Q143"/>
      <c r="R143"/>
      <c r="S143"/>
      <c r="T143"/>
      <c r="U143"/>
      <c r="V143"/>
      <c r="W143"/>
    </row>
    <row r="144" spans="11:23" x14ac:dyDescent="0.25">
      <c r="K144" s="247">
        <v>43709</v>
      </c>
      <c r="L144" s="246">
        <v>128.30000000000001</v>
      </c>
      <c r="M144" s="247">
        <v>43405</v>
      </c>
      <c r="N144">
        <v>135.708</v>
      </c>
      <c r="O144"/>
      <c r="P144"/>
      <c r="Q144"/>
      <c r="R144"/>
      <c r="S144"/>
      <c r="T144"/>
      <c r="U144"/>
      <c r="V144"/>
      <c r="W144"/>
    </row>
    <row r="145" spans="11:23" x14ac:dyDescent="0.25">
      <c r="K145" s="247">
        <v>43739</v>
      </c>
      <c r="L145" s="246">
        <v>128.80000000000001</v>
      </c>
      <c r="M145" s="247">
        <v>43435</v>
      </c>
      <c r="N145">
        <v>134.90299999999999</v>
      </c>
      <c r="O145"/>
      <c r="P145"/>
      <c r="Q145"/>
      <c r="R145"/>
      <c r="S145"/>
      <c r="T145"/>
      <c r="U145"/>
      <c r="V145"/>
      <c r="W145"/>
    </row>
    <row r="146" spans="11:23" x14ac:dyDescent="0.25">
      <c r="K146" s="247">
        <v>43770</v>
      </c>
      <c r="L146" s="246">
        <v>128.9</v>
      </c>
      <c r="M146" s="247">
        <v>43466</v>
      </c>
      <c r="N146">
        <v>135.38199999999998</v>
      </c>
      <c r="O146"/>
      <c r="P146"/>
      <c r="Q146"/>
      <c r="R146"/>
      <c r="S146"/>
      <c r="T146"/>
      <c r="U146"/>
      <c r="V146"/>
      <c r="W146"/>
    </row>
    <row r="147" spans="11:23" x14ac:dyDescent="0.25">
      <c r="K147" s="247">
        <v>43800</v>
      </c>
      <c r="L147" s="246">
        <v>129</v>
      </c>
      <c r="M147" s="247">
        <v>43497</v>
      </c>
      <c r="N147">
        <v>136.446</v>
      </c>
      <c r="O147"/>
      <c r="P147"/>
      <c r="Q147"/>
      <c r="R147"/>
      <c r="S147"/>
      <c r="T147"/>
      <c r="U147"/>
      <c r="V147"/>
      <c r="W147"/>
    </row>
    <row r="148" spans="11:23" x14ac:dyDescent="0.25">
      <c r="K148" s="247">
        <v>43831</v>
      </c>
      <c r="L148" s="246">
        <v>129.69999999999999</v>
      </c>
      <c r="M148" s="247">
        <v>43525</v>
      </c>
      <c r="N148">
        <v>137.87199999999999</v>
      </c>
      <c r="O148"/>
      <c r="P148"/>
      <c r="Q148"/>
      <c r="R148"/>
      <c r="S148"/>
      <c r="T148"/>
      <c r="U148"/>
      <c r="V148"/>
      <c r="W148"/>
    </row>
    <row r="149" spans="11:23" x14ac:dyDescent="0.25">
      <c r="K149" s="247">
        <v>43862</v>
      </c>
      <c r="L149" s="246">
        <v>129.9</v>
      </c>
      <c r="M149" s="247">
        <v>43556</v>
      </c>
      <c r="N149">
        <v>139.21799999999999</v>
      </c>
      <c r="O149"/>
      <c r="P149"/>
      <c r="Q149"/>
      <c r="R149"/>
      <c r="S149"/>
      <c r="T149"/>
      <c r="U149"/>
      <c r="V149"/>
      <c r="W149"/>
    </row>
    <row r="150" spans="11:23" x14ac:dyDescent="0.25">
      <c r="K150" s="247">
        <v>43891</v>
      </c>
      <c r="L150" s="246">
        <v>129.80000000000001</v>
      </c>
      <c r="M150" s="247">
        <v>43586</v>
      </c>
      <c r="N150">
        <v>139.76199999999997</v>
      </c>
      <c r="O150"/>
      <c r="P150"/>
      <c r="Q150"/>
      <c r="R150"/>
      <c r="S150"/>
      <c r="T150"/>
      <c r="U150"/>
      <c r="V150"/>
      <c r="W150"/>
    </row>
    <row r="151" spans="11:23" x14ac:dyDescent="0.25">
      <c r="K151" s="247">
        <v>43922</v>
      </c>
      <c r="L151" s="246">
        <v>130.5</v>
      </c>
      <c r="M151" s="247">
        <v>43617</v>
      </c>
      <c r="N151">
        <v>139.81299999999996</v>
      </c>
      <c r="O151"/>
      <c r="P151"/>
      <c r="Q151"/>
      <c r="R151"/>
      <c r="S151"/>
      <c r="T151"/>
      <c r="U151"/>
      <c r="V151"/>
      <c r="W151"/>
    </row>
    <row r="152" spans="11:23" x14ac:dyDescent="0.25">
      <c r="K152" s="247">
        <v>43952</v>
      </c>
      <c r="L152" s="246">
        <v>130.5</v>
      </c>
      <c r="M152" s="247">
        <v>43647</v>
      </c>
      <c r="N152">
        <v>140.24100000000001</v>
      </c>
      <c r="O152"/>
      <c r="P152"/>
      <c r="Q152"/>
      <c r="R152"/>
      <c r="S152"/>
      <c r="T152"/>
      <c r="U152"/>
      <c r="V152"/>
      <c r="W152"/>
    </row>
    <row r="153" spans="11:23" x14ac:dyDescent="0.25">
      <c r="K153" s="247">
        <v>43983</v>
      </c>
      <c r="L153" s="246">
        <v>130.4</v>
      </c>
      <c r="M153" s="247">
        <v>43678</v>
      </c>
      <c r="N153">
        <v>140.22799999999998</v>
      </c>
      <c r="O153"/>
      <c r="P153"/>
      <c r="Q153"/>
      <c r="R153"/>
      <c r="S153"/>
      <c r="T153"/>
      <c r="U153"/>
      <c r="V153"/>
      <c r="W153"/>
    </row>
    <row r="154" spans="11:23" x14ac:dyDescent="0.25">
      <c r="K154" s="247">
        <v>44013</v>
      </c>
      <c r="L154" s="246">
        <v>131.1</v>
      </c>
      <c r="M154" s="247">
        <v>43709</v>
      </c>
      <c r="N154">
        <v>140.429</v>
      </c>
      <c r="O154"/>
      <c r="P154"/>
      <c r="Q154"/>
      <c r="R154"/>
      <c r="S154"/>
      <c r="T154"/>
      <c r="U154"/>
      <c r="V154"/>
      <c r="W154"/>
    </row>
    <row r="155" spans="11:23" x14ac:dyDescent="0.25">
      <c r="K155" s="247">
        <v>44044</v>
      </c>
      <c r="L155" s="246">
        <v>130.80000000000001</v>
      </c>
      <c r="M155" s="247">
        <v>43739</v>
      </c>
      <c r="N155">
        <v>141.01599999999999</v>
      </c>
      <c r="O155"/>
      <c r="P155"/>
      <c r="Q155"/>
      <c r="R155"/>
      <c r="S155"/>
      <c r="T155"/>
      <c r="U155"/>
      <c r="V155"/>
      <c r="W155"/>
    </row>
    <row r="156" spans="11:23" x14ac:dyDescent="0.25">
      <c r="K156" s="247">
        <v>44075</v>
      </c>
      <c r="L156" s="246">
        <v>130.6</v>
      </c>
      <c r="M156" s="247">
        <v>43770</v>
      </c>
      <c r="N156">
        <v>140.87800000000001</v>
      </c>
      <c r="O156"/>
      <c r="P156"/>
      <c r="Q156"/>
      <c r="R156"/>
      <c r="S156"/>
      <c r="T156"/>
      <c r="U156"/>
      <c r="V156"/>
      <c r="W156"/>
    </row>
    <row r="157" spans="11:23" x14ac:dyDescent="0.25">
      <c r="K157" s="247">
        <v>44105</v>
      </c>
      <c r="L157" s="246">
        <v>130.6</v>
      </c>
      <c r="M157" s="247">
        <v>43800</v>
      </c>
      <c r="N157">
        <v>140.64399999999998</v>
      </c>
      <c r="O157"/>
      <c r="P157"/>
      <c r="Q157"/>
      <c r="R157"/>
      <c r="S157"/>
      <c r="T157"/>
      <c r="U157"/>
      <c r="V157"/>
      <c r="W157"/>
    </row>
    <row r="158" spans="11:23" x14ac:dyDescent="0.25">
      <c r="K158" s="247">
        <v>44136</v>
      </c>
      <c r="L158" s="246">
        <v>130.69999999999999</v>
      </c>
      <c r="M158" s="247">
        <v>43831</v>
      </c>
      <c r="N158">
        <v>141.64099999999999</v>
      </c>
      <c r="O158"/>
      <c r="P158"/>
      <c r="Q158"/>
      <c r="R158"/>
      <c r="S158"/>
      <c r="T158"/>
      <c r="U158"/>
      <c r="V158"/>
      <c r="W158"/>
    </row>
    <row r="159" spans="11:23" x14ac:dyDescent="0.25">
      <c r="K159" s="247">
        <v>44166</v>
      </c>
      <c r="L159" s="246">
        <v>130.69999999999999</v>
      </c>
      <c r="M159" s="247">
        <v>43862</v>
      </c>
      <c r="N159">
        <v>142.34799999999998</v>
      </c>
      <c r="O159"/>
      <c r="P159"/>
      <c r="Q159"/>
      <c r="R159"/>
      <c r="S159"/>
      <c r="T159"/>
      <c r="U159"/>
      <c r="V159"/>
      <c r="W159"/>
    </row>
    <row r="160" spans="11:23" x14ac:dyDescent="0.25">
      <c r="K160" s="247">
        <v>44197</v>
      </c>
      <c r="L160" s="246">
        <v>131.1</v>
      </c>
      <c r="M160" s="247">
        <v>43891</v>
      </c>
      <c r="N160">
        <v>141.785</v>
      </c>
      <c r="O160"/>
      <c r="P160"/>
      <c r="Q160"/>
      <c r="R160"/>
      <c r="S160"/>
      <c r="T160"/>
      <c r="U160"/>
      <c r="V160"/>
      <c r="W160"/>
    </row>
    <row r="161" spans="11:23" x14ac:dyDescent="0.25">
      <c r="K161" s="247">
        <v>44228</v>
      </c>
      <c r="L161" s="246">
        <v>131.30000000000001</v>
      </c>
      <c r="M161" s="247">
        <v>43922</v>
      </c>
      <c r="N161">
        <v>140.059</v>
      </c>
      <c r="O161"/>
      <c r="P161"/>
      <c r="Q161"/>
      <c r="R161"/>
      <c r="S161"/>
      <c r="T161"/>
      <c r="U161"/>
      <c r="V161"/>
      <c r="W161"/>
    </row>
    <row r="162" spans="11:23" x14ac:dyDescent="0.25">
      <c r="K162" s="247">
        <v>44256</v>
      </c>
      <c r="L162" s="246">
        <v>131.9</v>
      </c>
      <c r="M162" s="247">
        <v>43952</v>
      </c>
      <c r="N162">
        <v>140.06399999999999</v>
      </c>
      <c r="O162"/>
      <c r="P162"/>
      <c r="Q162"/>
      <c r="R162"/>
      <c r="S162"/>
      <c r="T162"/>
      <c r="U162"/>
      <c r="V162"/>
      <c r="W162"/>
    </row>
    <row r="163" spans="11:23" x14ac:dyDescent="0.25">
      <c r="K163" s="247">
        <v>44287</v>
      </c>
      <c r="L163" s="246">
        <v>133.69999999999999</v>
      </c>
      <c r="M163" s="247">
        <v>43983</v>
      </c>
      <c r="N163">
        <v>141.46700000000001</v>
      </c>
      <c r="O163"/>
      <c r="P163"/>
      <c r="Q163"/>
      <c r="R163"/>
      <c r="S163"/>
      <c r="T163"/>
      <c r="U163"/>
      <c r="V163"/>
      <c r="W163"/>
    </row>
    <row r="164" spans="11:23" x14ac:dyDescent="0.25">
      <c r="K164" s="247">
        <v>44317</v>
      </c>
      <c r="L164" s="246">
        <v>134.6</v>
      </c>
      <c r="M164" s="247">
        <v>44013</v>
      </c>
      <c r="N164">
        <v>142.77099999999999</v>
      </c>
      <c r="O164"/>
      <c r="P164"/>
      <c r="Q164"/>
      <c r="R164"/>
      <c r="S164"/>
      <c r="T164"/>
      <c r="U164"/>
      <c r="V164"/>
      <c r="W164"/>
    </row>
    <row r="165" spans="11:23" x14ac:dyDescent="0.25">
      <c r="K165" s="247">
        <v>44348</v>
      </c>
      <c r="L165" s="246">
        <v>134.69999999999999</v>
      </c>
      <c r="M165" s="247">
        <v>44044</v>
      </c>
      <c r="N165">
        <v>143.58799999999999</v>
      </c>
      <c r="O165"/>
      <c r="P165"/>
      <c r="Q165"/>
      <c r="R165"/>
      <c r="S165"/>
      <c r="T165"/>
      <c r="U165"/>
      <c r="V165"/>
      <c r="W165"/>
    </row>
    <row r="166" spans="11:23" x14ac:dyDescent="0.25">
      <c r="K166" s="247">
        <v>44378</v>
      </c>
      <c r="L166" s="246">
        <v>137.196</v>
      </c>
      <c r="M166" s="247">
        <v>44075</v>
      </c>
      <c r="N166">
        <v>143.94999999999996</v>
      </c>
      <c r="O166"/>
      <c r="P166"/>
      <c r="Q166"/>
      <c r="R166"/>
      <c r="S166"/>
      <c r="T166"/>
      <c r="U166"/>
      <c r="V166"/>
      <c r="W166"/>
    </row>
    <row r="167" spans="11:23" x14ac:dyDescent="0.25">
      <c r="K167" s="247">
        <v>44409</v>
      </c>
      <c r="L167" s="246">
        <v>137.55600000000001</v>
      </c>
      <c r="M167" s="247">
        <v>44105</v>
      </c>
      <c r="N167">
        <v>144.05799999999996</v>
      </c>
      <c r="O167"/>
      <c r="P167"/>
      <c r="Q167"/>
      <c r="R167"/>
      <c r="S167"/>
      <c r="T167"/>
      <c r="U167"/>
      <c r="V167"/>
      <c r="W167"/>
    </row>
    <row r="168" spans="11:23" x14ac:dyDescent="0.25">
      <c r="K168" s="247">
        <v>44440</v>
      </c>
      <c r="L168" s="246">
        <v>137.77199999999999</v>
      </c>
      <c r="M168" s="247">
        <v>44136</v>
      </c>
      <c r="N168">
        <v>143.89899999999997</v>
      </c>
      <c r="O168"/>
      <c r="P168"/>
      <c r="Q168"/>
      <c r="R168"/>
      <c r="S168"/>
      <c r="T168"/>
      <c r="U168"/>
      <c r="V168"/>
      <c r="W168"/>
    </row>
    <row r="169" spans="11:23" x14ac:dyDescent="0.25">
      <c r="K169" s="247">
        <v>44470</v>
      </c>
      <c r="L169" s="246">
        <v>147.209</v>
      </c>
      <c r="M169" s="247">
        <v>44166</v>
      </c>
      <c r="N169">
        <v>144.14399999999998</v>
      </c>
      <c r="O169"/>
      <c r="P169"/>
      <c r="Q169"/>
      <c r="R169"/>
      <c r="S169"/>
      <c r="T169"/>
      <c r="U169"/>
      <c r="V169"/>
      <c r="W169"/>
    </row>
    <row r="170" spans="11:23" x14ac:dyDescent="0.25">
      <c r="K170" s="247">
        <v>44501</v>
      </c>
      <c r="L170" s="246">
        <v>147.75700000000001</v>
      </c>
      <c r="M170" s="247">
        <v>44197</v>
      </c>
      <c r="N170">
        <v>145.25199999999998</v>
      </c>
      <c r="O170"/>
      <c r="P170"/>
      <c r="Q170"/>
      <c r="R170"/>
      <c r="S170"/>
      <c r="T170"/>
      <c r="U170"/>
      <c r="V170"/>
      <c r="W170"/>
    </row>
    <row r="171" spans="11:23" x14ac:dyDescent="0.25">
      <c r="K171" s="247">
        <v>44531</v>
      </c>
      <c r="L171" s="246">
        <v>148.19499999999999</v>
      </c>
      <c r="M171" s="247">
        <v>44228</v>
      </c>
      <c r="N171">
        <v>146.684</v>
      </c>
      <c r="O171"/>
      <c r="P171"/>
      <c r="Q171"/>
      <c r="R171"/>
      <c r="S171"/>
      <c r="T171"/>
      <c r="U171"/>
      <c r="V171"/>
      <c r="W171"/>
    </row>
    <row r="172" spans="11:23" x14ac:dyDescent="0.25">
      <c r="K172" s="247">
        <v>44562</v>
      </c>
      <c r="L172" s="246">
        <v>153.666</v>
      </c>
      <c r="M172" s="247">
        <v>44256</v>
      </c>
      <c r="N172">
        <v>148.547</v>
      </c>
      <c r="O172"/>
      <c r="P172"/>
      <c r="Q172"/>
      <c r="R172"/>
      <c r="S172"/>
      <c r="T172"/>
      <c r="U172"/>
      <c r="V172"/>
      <c r="W172"/>
    </row>
    <row r="173" spans="11:23" x14ac:dyDescent="0.25">
      <c r="K173" s="247">
        <v>44593</v>
      </c>
      <c r="L173" s="246">
        <v>154.63200000000001</v>
      </c>
      <c r="M173" s="247">
        <v>44287</v>
      </c>
      <c r="N173">
        <v>150.72399999999996</v>
      </c>
      <c r="O173"/>
      <c r="P173"/>
      <c r="Q173"/>
      <c r="R173"/>
      <c r="S173"/>
      <c r="T173"/>
      <c r="U173"/>
      <c r="V173"/>
      <c r="W173"/>
    </row>
    <row r="174" spans="11:23" x14ac:dyDescent="0.25">
      <c r="K174" s="247">
        <v>44621</v>
      </c>
      <c r="L174" s="246">
        <v>155.53200000000001</v>
      </c>
      <c r="M174" s="247">
        <v>44317</v>
      </c>
      <c r="N174">
        <v>152.86499999999998</v>
      </c>
      <c r="O174"/>
      <c r="P174"/>
      <c r="Q174"/>
      <c r="R174"/>
      <c r="S174"/>
      <c r="T174"/>
      <c r="U174"/>
      <c r="V174"/>
      <c r="W174"/>
    </row>
    <row r="175" spans="11:23" x14ac:dyDescent="0.25">
      <c r="K175" s="247">
        <v>44652</v>
      </c>
      <c r="L175" s="246">
        <v>161.477</v>
      </c>
      <c r="M175" s="247">
        <v>44348</v>
      </c>
      <c r="N175">
        <v>155.36600000000001</v>
      </c>
      <c r="O175"/>
      <c r="P175"/>
      <c r="Q175"/>
      <c r="R175"/>
      <c r="S175"/>
      <c r="T175"/>
      <c r="U175"/>
      <c r="V175"/>
      <c r="W175"/>
    </row>
    <row r="176" spans="11:23" x14ac:dyDescent="0.25">
      <c r="K176" s="247">
        <v>44682</v>
      </c>
      <c r="L176" s="246">
        <v>162.06200000000001</v>
      </c>
      <c r="M176" s="247">
        <v>44378</v>
      </c>
      <c r="N176">
        <v>156.67299999999997</v>
      </c>
      <c r="O176"/>
      <c r="P176"/>
      <c r="Q176"/>
      <c r="R176"/>
      <c r="S176"/>
      <c r="T176"/>
      <c r="U176"/>
      <c r="V176"/>
      <c r="W176"/>
    </row>
    <row r="177" spans="11:23" x14ac:dyDescent="0.25">
      <c r="K177" s="247">
        <v>44713</v>
      </c>
      <c r="L177" s="246">
        <v>163.02500000000001</v>
      </c>
      <c r="M177" s="247">
        <v>44409</v>
      </c>
      <c r="N177">
        <v>157.23699999999999</v>
      </c>
      <c r="O177"/>
      <c r="P177"/>
      <c r="Q177"/>
      <c r="R177"/>
      <c r="S177"/>
      <c r="T177"/>
      <c r="U177"/>
      <c r="V177"/>
      <c r="W177"/>
    </row>
    <row r="178" spans="11:23" x14ac:dyDescent="0.25">
      <c r="K178" s="247">
        <v>44743</v>
      </c>
      <c r="L178" s="246">
        <v>172.01900000000001</v>
      </c>
      <c r="M178" s="247">
        <v>44440</v>
      </c>
      <c r="N178">
        <v>157.97999999999999</v>
      </c>
      <c r="O178"/>
      <c r="P178"/>
      <c r="Q178"/>
      <c r="R178"/>
      <c r="S178"/>
      <c r="T178"/>
      <c r="U178"/>
      <c r="V178"/>
      <c r="W178"/>
    </row>
    <row r="179" spans="11:23" x14ac:dyDescent="0.25">
      <c r="K179" s="247">
        <v>44774</v>
      </c>
      <c r="L179" s="246">
        <v>172.298</v>
      </c>
      <c r="M179" s="247">
        <v>44470</v>
      </c>
      <c r="N179">
        <v>160.25899999999999</v>
      </c>
      <c r="O179"/>
      <c r="P179"/>
      <c r="Q179"/>
      <c r="R179"/>
      <c r="S179"/>
      <c r="T179"/>
      <c r="U179"/>
      <c r="V179"/>
      <c r="W179"/>
    </row>
    <row r="180" spans="11:23" x14ac:dyDescent="0.25">
      <c r="K180" s="247">
        <v>44805</v>
      </c>
      <c r="L180" s="246">
        <v>172.65799999999999</v>
      </c>
      <c r="M180" s="247">
        <v>44501</v>
      </c>
      <c r="N180">
        <v>161.61799999999997</v>
      </c>
      <c r="O180"/>
      <c r="P180"/>
      <c r="Q180"/>
      <c r="R180"/>
      <c r="S180"/>
      <c r="T180"/>
      <c r="U180"/>
      <c r="V180"/>
      <c r="W180"/>
    </row>
    <row r="181" spans="11:23" x14ac:dyDescent="0.25">
      <c r="K181" s="247">
        <v>44835</v>
      </c>
      <c r="L181" s="246">
        <v>177.22900000000001</v>
      </c>
      <c r="M181" s="247">
        <v>44531</v>
      </c>
      <c r="N181">
        <v>162.47200000000001</v>
      </c>
      <c r="O181"/>
      <c r="P181"/>
      <c r="Q181"/>
      <c r="R181"/>
      <c r="S181"/>
      <c r="T181"/>
      <c r="U181"/>
      <c r="V181"/>
      <c r="W181"/>
    </row>
    <row r="182" spans="11:23" x14ac:dyDescent="0.25">
      <c r="K182" s="247">
        <v>44866</v>
      </c>
      <c r="L182" s="246">
        <v>177.358</v>
      </c>
      <c r="M182" s="247">
        <v>44562</v>
      </c>
      <c r="N182">
        <v>164.81800000000001</v>
      </c>
      <c r="O182"/>
      <c r="P182"/>
      <c r="Q182"/>
      <c r="R182"/>
      <c r="S182"/>
      <c r="T182"/>
      <c r="U182"/>
      <c r="V182"/>
      <c r="W182"/>
    </row>
    <row r="183" spans="11:23" x14ac:dyDescent="0.25">
      <c r="K183" s="247">
        <v>44896</v>
      </c>
      <c r="L183" s="246">
        <v>177.47399999999999</v>
      </c>
      <c r="M183" s="247">
        <v>44593</v>
      </c>
      <c r="N183">
        <v>167.386</v>
      </c>
      <c r="O183"/>
      <c r="P183"/>
      <c r="Q183"/>
      <c r="R183"/>
      <c r="S183"/>
      <c r="T183"/>
      <c r="U183"/>
      <c r="V183"/>
      <c r="W183"/>
    </row>
    <row r="184" spans="11:23" x14ac:dyDescent="0.25">
      <c r="K184" s="247">
        <v>44927</v>
      </c>
      <c r="L184" s="246">
        <v>180.84899999999999</v>
      </c>
      <c r="M184" s="247">
        <v>44621</v>
      </c>
      <c r="N184">
        <v>171.17400000000001</v>
      </c>
      <c r="O184"/>
      <c r="P184"/>
      <c r="Q184"/>
      <c r="R184"/>
      <c r="S184"/>
      <c r="T184"/>
      <c r="U184"/>
      <c r="V184"/>
      <c r="W184"/>
    </row>
    <row r="185" spans="11:23" x14ac:dyDescent="0.25">
      <c r="K185" s="247">
        <v>44958</v>
      </c>
      <c r="L185" s="246">
        <v>180.876</v>
      </c>
      <c r="M185" s="247">
        <v>44652</v>
      </c>
      <c r="N185">
        <v>172.77899999999997</v>
      </c>
      <c r="O185"/>
      <c r="P185"/>
      <c r="Q185"/>
      <c r="R185"/>
      <c r="S185"/>
      <c r="T185"/>
      <c r="U185"/>
      <c r="V185"/>
      <c r="W185"/>
    </row>
    <row r="186" spans="11:23" x14ac:dyDescent="0.25">
      <c r="K186" s="247">
        <v>44986</v>
      </c>
      <c r="L186" s="246">
        <v>181.01599999999999</v>
      </c>
      <c r="M186" s="247">
        <v>44682</v>
      </c>
      <c r="N186">
        <v>175.96599999999998</v>
      </c>
      <c r="O186"/>
      <c r="P186"/>
      <c r="Q186"/>
      <c r="R186"/>
      <c r="S186"/>
      <c r="T186"/>
      <c r="U186"/>
      <c r="V186"/>
      <c r="W186"/>
    </row>
    <row r="187" spans="11:23" x14ac:dyDescent="0.25">
      <c r="K187" s="247">
        <v>45017</v>
      </c>
      <c r="L187" s="246">
        <v>180.75200000000001</v>
      </c>
      <c r="M187" s="247">
        <v>44713</v>
      </c>
      <c r="N187">
        <v>179.98099999999997</v>
      </c>
      <c r="O187"/>
      <c r="P187"/>
      <c r="Q187"/>
      <c r="R187"/>
      <c r="S187"/>
      <c r="T187"/>
      <c r="U187"/>
      <c r="V187"/>
      <c r="W187"/>
    </row>
    <row r="188" spans="11:23" x14ac:dyDescent="0.25">
      <c r="K188" s="247">
        <v>45047</v>
      </c>
      <c r="L188" s="246">
        <v>180.97499999999999</v>
      </c>
      <c r="M188" s="247">
        <v>44743</v>
      </c>
      <c r="N188">
        <v>179.946</v>
      </c>
      <c r="O188"/>
      <c r="P188"/>
      <c r="Q188"/>
      <c r="R188"/>
      <c r="S188"/>
      <c r="T188"/>
      <c r="U188"/>
      <c r="V188"/>
      <c r="W188"/>
    </row>
    <row r="189" spans="11:23" x14ac:dyDescent="0.25">
      <c r="K189" s="247">
        <v>45078</v>
      </c>
      <c r="L189" s="246">
        <v>181.04900000000001</v>
      </c>
      <c r="M189" s="247">
        <v>44774</v>
      </c>
      <c r="N189">
        <v>179.84099999999998</v>
      </c>
      <c r="O189"/>
      <c r="P189"/>
      <c r="Q189"/>
      <c r="R189"/>
      <c r="S189"/>
      <c r="T189"/>
      <c r="U189"/>
      <c r="V189"/>
      <c r="W189"/>
    </row>
    <row r="190" spans="11:23" x14ac:dyDescent="0.25">
      <c r="K190" s="247">
        <v>45108</v>
      </c>
      <c r="L190" s="246">
        <v>178.756</v>
      </c>
      <c r="M190" s="247">
        <v>44805</v>
      </c>
      <c r="N190">
        <v>180.47799999999998</v>
      </c>
      <c r="O190"/>
      <c r="P190"/>
      <c r="Q190"/>
      <c r="R190"/>
      <c r="S190"/>
      <c r="T190"/>
      <c r="U190"/>
      <c r="V190"/>
      <c r="W190"/>
    </row>
    <row r="191" spans="11:23" x14ac:dyDescent="0.25">
      <c r="K191" s="247">
        <v>45139</v>
      </c>
      <c r="L191" s="246">
        <v>178.94399999999999</v>
      </c>
      <c r="M191" s="247">
        <v>44835</v>
      </c>
      <c r="N191">
        <v>181.68199999999999</v>
      </c>
      <c r="O191"/>
      <c r="P191"/>
      <c r="Q191"/>
      <c r="R191"/>
      <c r="S191"/>
      <c r="T191"/>
      <c r="U191"/>
      <c r="V191"/>
      <c r="W191"/>
    </row>
    <row r="192" spans="11:23" x14ac:dyDescent="0.25">
      <c r="K192" s="247">
        <v>45170</v>
      </c>
      <c r="L192" s="246">
        <v>179.053</v>
      </c>
      <c r="M192" s="247">
        <v>44866</v>
      </c>
      <c r="N192">
        <v>181.381</v>
      </c>
      <c r="O192"/>
      <c r="P192"/>
      <c r="Q192"/>
      <c r="R192"/>
      <c r="S192"/>
      <c r="T192"/>
      <c r="U192"/>
      <c r="V192"/>
      <c r="W192"/>
    </row>
    <row r="193" spans="11:23" x14ac:dyDescent="0.25">
      <c r="K193" s="247">
        <v>45200</v>
      </c>
      <c r="L193" s="246">
        <v>178.55699999999999</v>
      </c>
      <c r="M193" s="247">
        <v>44896</v>
      </c>
      <c r="N193">
        <v>180.46700000000001</v>
      </c>
      <c r="O193"/>
      <c r="P193"/>
      <c r="Q193"/>
      <c r="R193"/>
      <c r="S193"/>
      <c r="T193"/>
      <c r="U193"/>
      <c r="V193"/>
      <c r="W193"/>
    </row>
    <row r="194" spans="11:23" x14ac:dyDescent="0.25">
      <c r="K194" s="247">
        <v>45231</v>
      </c>
      <c r="L194" s="246">
        <v>178.17099999999999</v>
      </c>
      <c r="M194" s="247">
        <v>44927</v>
      </c>
      <c r="N194">
        <v>182.84</v>
      </c>
      <c r="O194"/>
      <c r="P194"/>
      <c r="Q194"/>
      <c r="R194"/>
      <c r="S194"/>
      <c r="T194"/>
      <c r="U194"/>
      <c r="V194"/>
      <c r="W194"/>
    </row>
    <row r="195" spans="11:23" x14ac:dyDescent="0.25">
      <c r="K195" s="247">
        <v>45261</v>
      </c>
      <c r="L195" s="246">
        <v>178.291</v>
      </c>
      <c r="M195" s="247">
        <v>44958</v>
      </c>
      <c r="N195">
        <v>184.50999999999996</v>
      </c>
      <c r="O195"/>
      <c r="P195"/>
      <c r="Q195"/>
      <c r="R195"/>
      <c r="S195"/>
      <c r="T195"/>
      <c r="U195"/>
      <c r="V195"/>
      <c r="W195"/>
    </row>
    <row r="196" spans="11:23" x14ac:dyDescent="0.25">
      <c r="K196" s="247">
        <v>45292</v>
      </c>
      <c r="L196" s="246">
        <v>178.761</v>
      </c>
      <c r="M196" s="247">
        <v>44986</v>
      </c>
      <c r="N196">
        <v>185.506</v>
      </c>
      <c r="O196"/>
      <c r="P196"/>
      <c r="Q196"/>
      <c r="R196"/>
      <c r="S196"/>
      <c r="T196"/>
      <c r="U196"/>
      <c r="V196"/>
      <c r="W196"/>
    </row>
    <row r="197" spans="11:23" x14ac:dyDescent="0.25">
      <c r="K197" s="247">
        <v>45323</v>
      </c>
      <c r="L197" s="246">
        <v>178.69300000000001</v>
      </c>
      <c r="M197" s="247">
        <v>45017</v>
      </c>
      <c r="N197">
        <v>187.03299999999999</v>
      </c>
      <c r="O197"/>
      <c r="P197"/>
      <c r="Q197"/>
      <c r="R197"/>
      <c r="S197"/>
      <c r="T197"/>
      <c r="U197"/>
      <c r="V197"/>
      <c r="W197"/>
    </row>
    <row r="198" spans="11:23" x14ac:dyDescent="0.25">
      <c r="K198" s="247">
        <v>45352</v>
      </c>
      <c r="L198" s="246">
        <v>178.90700000000001</v>
      </c>
      <c r="M198" s="247">
        <v>45047</v>
      </c>
      <c r="N198">
        <v>187.797</v>
      </c>
      <c r="O198"/>
      <c r="P198"/>
      <c r="Q198"/>
      <c r="R198"/>
      <c r="S198"/>
      <c r="T198"/>
      <c r="U198"/>
      <c r="V198"/>
      <c r="W198"/>
    </row>
    <row r="199" spans="11:23" x14ac:dyDescent="0.25">
      <c r="K199" s="247">
        <v>45383</v>
      </c>
      <c r="L199" s="246">
        <v>178.874</v>
      </c>
      <c r="M199" s="247">
        <v>45078</v>
      </c>
      <c r="N199">
        <v>188.77899999999997</v>
      </c>
      <c r="O199"/>
      <c r="P199"/>
      <c r="Q199"/>
      <c r="R199"/>
      <c r="S199"/>
      <c r="T199"/>
      <c r="U199"/>
      <c r="V199"/>
      <c r="W199"/>
    </row>
    <row r="200" spans="11:23" x14ac:dyDescent="0.25">
      <c r="K200" s="247">
        <v>45413</v>
      </c>
      <c r="L200" s="246">
        <v>178.99700000000001</v>
      </c>
      <c r="M200" s="247">
        <v>45108</v>
      </c>
      <c r="N200">
        <v>189.36099999999996</v>
      </c>
      <c r="O200"/>
      <c r="P200"/>
      <c r="Q200"/>
      <c r="R200"/>
      <c r="S200"/>
      <c r="T200"/>
      <c r="U200"/>
      <c r="V200"/>
      <c r="W200"/>
    </row>
    <row r="201" spans="11:23" x14ac:dyDescent="0.25">
      <c r="K201" s="247">
        <v>45444</v>
      </c>
      <c r="L201" s="246">
        <v>179.66</v>
      </c>
      <c r="M201" s="247">
        <v>45139</v>
      </c>
      <c r="N201">
        <v>190.696</v>
      </c>
      <c r="O201"/>
      <c r="P201"/>
      <c r="Q201"/>
      <c r="R201"/>
      <c r="S201"/>
      <c r="T201"/>
      <c r="U201"/>
      <c r="V201"/>
      <c r="W201"/>
    </row>
    <row r="202" spans="11:23" x14ac:dyDescent="0.25">
      <c r="K202" s="247">
        <v>45474</v>
      </c>
      <c r="L202" s="246">
        <v>180.74700000000001</v>
      </c>
      <c r="M202" s="247">
        <v>45170</v>
      </c>
      <c r="N202">
        <v>191.45899999999997</v>
      </c>
      <c r="O202"/>
      <c r="P202"/>
      <c r="Q202"/>
      <c r="R202"/>
      <c r="S202"/>
      <c r="T202"/>
      <c r="U202"/>
      <c r="V202"/>
      <c r="W202"/>
    </row>
    <row r="203" spans="11:23" x14ac:dyDescent="0.25">
      <c r="K203" s="247">
        <v>45505</v>
      </c>
      <c r="L203" s="246">
        <v>180.67500000000001</v>
      </c>
      <c r="M203" s="247">
        <v>45200</v>
      </c>
      <c r="N203">
        <v>191.34099999999998</v>
      </c>
      <c r="O203"/>
      <c r="P203"/>
      <c r="Q203"/>
      <c r="R203"/>
      <c r="S203"/>
      <c r="T203"/>
      <c r="U203"/>
      <c r="V203"/>
      <c r="W203"/>
    </row>
    <row r="204" spans="11:23" x14ac:dyDescent="0.25">
      <c r="K204" s="247">
        <v>45536</v>
      </c>
      <c r="L204" s="246">
        <v>180.911</v>
      </c>
      <c r="M204" s="247">
        <v>45231</v>
      </c>
      <c r="N204">
        <v>190.72099999999998</v>
      </c>
      <c r="O204"/>
      <c r="P204"/>
      <c r="Q204"/>
      <c r="R204"/>
      <c r="S204"/>
      <c r="T204"/>
      <c r="U204"/>
      <c r="V204"/>
      <c r="W204"/>
    </row>
    <row r="205" spans="11:23" x14ac:dyDescent="0.25">
      <c r="K205" s="247">
        <v>45566</v>
      </c>
      <c r="L205" s="246">
        <v>180.411</v>
      </c>
      <c r="M205" s="247">
        <v>45261</v>
      </c>
      <c r="N205">
        <v>190.41599999999997</v>
      </c>
      <c r="O205"/>
      <c r="P205"/>
      <c r="Q205"/>
      <c r="R205"/>
      <c r="S205"/>
      <c r="T205"/>
      <c r="U205"/>
      <c r="V205"/>
      <c r="W205"/>
    </row>
    <row r="206" spans="11:23" x14ac:dyDescent="0.25">
      <c r="K206" s="247">
        <v>45597</v>
      </c>
      <c r="L206" s="246">
        <v>180.43600000000001</v>
      </c>
      <c r="M206" s="247">
        <v>45292</v>
      </c>
      <c r="N206">
        <v>192.08699999999996</v>
      </c>
      <c r="O206"/>
      <c r="P206"/>
      <c r="Q206"/>
      <c r="R206"/>
      <c r="S206"/>
      <c r="T206"/>
      <c r="U206"/>
      <c r="V206"/>
      <c r="W206"/>
    </row>
    <row r="207" spans="11:23" x14ac:dyDescent="0.25">
      <c r="K207" s="247">
        <v>45627</v>
      </c>
      <c r="L207" s="246">
        <v>180.75</v>
      </c>
      <c r="M207" s="247">
        <v>45323</v>
      </c>
      <c r="N207">
        <v>193.99600000000001</v>
      </c>
      <c r="O207"/>
      <c r="P207"/>
      <c r="Q207"/>
      <c r="R207"/>
      <c r="S207"/>
      <c r="T207"/>
      <c r="U207"/>
      <c r="V207"/>
      <c r="W207"/>
    </row>
    <row r="208" spans="11:23" x14ac:dyDescent="0.25">
      <c r="K208" s="247">
        <v>45658</v>
      </c>
      <c r="L208" s="246">
        <v>181.291</v>
      </c>
      <c r="M208" s="247">
        <v>45352</v>
      </c>
      <c r="N208">
        <v>196.00199999999998</v>
      </c>
      <c r="O208"/>
      <c r="P208"/>
      <c r="Q208"/>
      <c r="R208"/>
      <c r="S208"/>
      <c r="T208"/>
      <c r="U208"/>
      <c r="V208"/>
      <c r="W208"/>
    </row>
    <row r="209" spans="11:23" x14ac:dyDescent="0.25">
      <c r="K209" s="247">
        <v>45689</v>
      </c>
      <c r="L209" s="246">
        <v>181.09</v>
      </c>
      <c r="M209" s="247">
        <v>45383</v>
      </c>
      <c r="N209">
        <v>197.21799999999999</v>
      </c>
      <c r="O209"/>
      <c r="P209"/>
      <c r="Q209"/>
      <c r="R209"/>
      <c r="S209"/>
      <c r="T209"/>
      <c r="U209"/>
      <c r="V209"/>
      <c r="W209"/>
    </row>
    <row r="210" spans="11:23" x14ac:dyDescent="0.25">
      <c r="K210" s="247"/>
      <c r="L210" s="246"/>
      <c r="M210" s="247">
        <v>45413</v>
      </c>
      <c r="N210">
        <v>197.739</v>
      </c>
      <c r="O210"/>
      <c r="P210"/>
      <c r="Q210"/>
      <c r="R210"/>
      <c r="S210"/>
      <c r="T210"/>
      <c r="U210"/>
      <c r="V210"/>
      <c r="W210"/>
    </row>
    <row r="211" spans="11:23" x14ac:dyDescent="0.25">
      <c r="K211" s="247"/>
      <c r="L211" s="246"/>
      <c r="M211" s="247">
        <v>45444</v>
      </c>
      <c r="N211">
        <v>197.845</v>
      </c>
      <c r="O211"/>
      <c r="P211"/>
      <c r="Q211"/>
      <c r="R211"/>
      <c r="S211"/>
      <c r="T211"/>
      <c r="U211"/>
      <c r="V211"/>
      <c r="W211"/>
    </row>
    <row r="212" spans="11:23" x14ac:dyDescent="0.25">
      <c r="K212" s="247"/>
      <c r="L212" s="246"/>
      <c r="M212" s="247">
        <v>45474</v>
      </c>
      <c r="N212">
        <v>198.21</v>
      </c>
      <c r="O212"/>
      <c r="P212"/>
      <c r="Q212"/>
      <c r="R212"/>
      <c r="S212"/>
      <c r="T212"/>
      <c r="U212"/>
      <c r="V212"/>
      <c r="W212"/>
    </row>
    <row r="213" spans="11:23" x14ac:dyDescent="0.25">
      <c r="K213" s="247"/>
      <c r="L213" s="246"/>
      <c r="M213" s="247">
        <v>45505</v>
      </c>
      <c r="N213">
        <v>198.46599999999998</v>
      </c>
      <c r="O213"/>
      <c r="P213"/>
      <c r="Q213"/>
      <c r="R213"/>
      <c r="S213"/>
      <c r="T213"/>
      <c r="U213"/>
      <c r="V213"/>
      <c r="W213"/>
    </row>
    <row r="214" spans="11:23" x14ac:dyDescent="0.25">
      <c r="K214" s="247"/>
      <c r="L214" s="246"/>
      <c r="M214" s="247">
        <v>45536</v>
      </c>
      <c r="N214">
        <v>198.97099999999998</v>
      </c>
      <c r="O214"/>
      <c r="P214"/>
      <c r="Q214"/>
      <c r="R214"/>
      <c r="S214"/>
      <c r="T214"/>
      <c r="U214"/>
      <c r="V214"/>
      <c r="W214"/>
    </row>
    <row r="215" spans="11:23" x14ac:dyDescent="0.25">
      <c r="K215" s="247"/>
      <c r="L215" s="246"/>
      <c r="M215" s="247">
        <v>45566</v>
      </c>
      <c r="N215">
        <v>199.33399999999997</v>
      </c>
      <c r="O215"/>
      <c r="P215"/>
      <c r="Q215"/>
      <c r="R215"/>
      <c r="S215"/>
      <c r="T215"/>
      <c r="U215"/>
      <c r="V215"/>
      <c r="W215"/>
    </row>
    <row r="216" spans="11:23" x14ac:dyDescent="0.25">
      <c r="K216" s="247"/>
      <c r="L216" s="246"/>
      <c r="M216" s="247">
        <v>45597</v>
      </c>
      <c r="N216">
        <v>199.16299999999998</v>
      </c>
      <c r="O216"/>
      <c r="P216"/>
      <c r="Q216"/>
      <c r="R216"/>
      <c r="S216"/>
      <c r="T216"/>
      <c r="U216"/>
      <c r="V216"/>
      <c r="W216"/>
    </row>
    <row r="217" spans="11:23" x14ac:dyDescent="0.25">
      <c r="K217" s="247"/>
      <c r="L217"/>
      <c r="M217" s="247">
        <v>45627</v>
      </c>
      <c r="N217">
        <v>199.27500000000001</v>
      </c>
      <c r="O217"/>
      <c r="P217"/>
      <c r="Q217"/>
      <c r="R217"/>
      <c r="S217"/>
      <c r="T217"/>
      <c r="U217"/>
      <c r="V217"/>
      <c r="W217"/>
    </row>
    <row r="218" spans="11:23" x14ac:dyDescent="0.25">
      <c r="K218" s="247"/>
      <c r="L218"/>
      <c r="M218" s="247">
        <v>45658</v>
      </c>
      <c r="N218">
        <v>201.34099999999998</v>
      </c>
      <c r="O218"/>
      <c r="P218"/>
      <c r="Q218"/>
      <c r="R218"/>
      <c r="S218"/>
      <c r="T218"/>
      <c r="U218"/>
      <c r="V218"/>
      <c r="W218"/>
    </row>
    <row r="219" spans="11:23" x14ac:dyDescent="0.25">
      <c r="K219" s="247"/>
      <c r="L219"/>
      <c r="M219" s="247">
        <v>45689</v>
      </c>
      <c r="N219">
        <v>202.75199999999998</v>
      </c>
      <c r="O219"/>
      <c r="P219"/>
      <c r="Q219"/>
      <c r="R219"/>
      <c r="S219"/>
      <c r="T219"/>
      <c r="U219"/>
      <c r="V219"/>
      <c r="W219"/>
    </row>
  </sheetData>
  <mergeCells count="11">
    <mergeCell ref="K23:W23"/>
    <mergeCell ref="K2:W2"/>
    <mergeCell ref="Y2:AK2"/>
    <mergeCell ref="B60:I60"/>
    <mergeCell ref="B61:I61"/>
    <mergeCell ref="B2:I2"/>
    <mergeCell ref="B56:I56"/>
    <mergeCell ref="B57:I57"/>
    <mergeCell ref="B58:I58"/>
    <mergeCell ref="B59:I59"/>
    <mergeCell ref="P43:S43"/>
  </mergeCells>
  <conditionalFormatting sqref="B4:I54">
    <cfRule type="expression" dxfId="6" priority="9">
      <formula>MOD(ROW(),2)=0</formula>
    </cfRule>
  </conditionalFormatting>
  <conditionalFormatting sqref="K23">
    <cfRule type="expression" dxfId="5" priority="7">
      <formula>MOD(ROW(),2)=0</formula>
    </cfRule>
  </conditionalFormatting>
  <conditionalFormatting sqref="K4:W21">
    <cfRule type="expression" dxfId="4" priority="8">
      <formula>MOD(ROW(),2)=0</formula>
    </cfRule>
  </conditionalFormatting>
  <conditionalFormatting sqref="Y4:AK20">
    <cfRule type="expression" dxfId="3" priority="6">
      <formula>MOD(ROW(),2)=0</formula>
    </cfRule>
  </conditionalFormatting>
  <pageMargins left="0.7" right="0.7" top="0.75" bottom="0.75" header="0.3" footer="0.3"/>
  <pageSetup orientation="portrait" horizontalDpi="1200" verticalDpi="1200" r:id="rId1"/>
  <drawing r:id="rId2"/>
  <tableParts count="6">
    <tablePart r:id="rId3"/>
    <tablePart r:id="rId4"/>
    <tablePart r:id="rId5"/>
    <tablePart r:id="rId6"/>
    <tablePart r:id="rId7"/>
    <tablePart r:id="rId8"/>
  </tablePart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09988-E060-4FF4-94BE-8EC7CC1F3ADF}">
  <sheetPr codeName="Sheet19"/>
  <dimension ref="B2:V57"/>
  <sheetViews>
    <sheetView topLeftCell="A13" zoomScale="90" zoomScaleNormal="90" workbookViewId="0">
      <selection activeCell="I41" sqref="I41"/>
    </sheetView>
  </sheetViews>
  <sheetFormatPr defaultRowHeight="15" x14ac:dyDescent="0.25"/>
  <cols>
    <col min="1" max="1" width="4.42578125" customWidth="1"/>
    <col min="2" max="9" width="15.5703125" customWidth="1"/>
    <col min="10" max="10" width="7.140625" customWidth="1"/>
    <col min="11" max="12" width="15.5703125" customWidth="1"/>
    <col min="13" max="13" width="85.140625" customWidth="1"/>
    <col min="14" max="14" width="15" customWidth="1"/>
    <col min="17" max="17" width="15.140625" bestFit="1" customWidth="1"/>
    <col min="18" max="18" width="17.140625" customWidth="1"/>
    <col min="19" max="22" width="14.140625" bestFit="1" customWidth="1"/>
  </cols>
  <sheetData>
    <row r="2" spans="11:11" x14ac:dyDescent="0.25">
      <c r="K2" t="s">
        <v>579</v>
      </c>
    </row>
    <row r="3" spans="11:11" x14ac:dyDescent="0.25">
      <c r="K3" t="s">
        <v>6</v>
      </c>
    </row>
    <row r="4" spans="11:11" x14ac:dyDescent="0.25">
      <c r="K4" t="s">
        <v>580</v>
      </c>
    </row>
    <row r="5" spans="11:11" x14ac:dyDescent="0.25">
      <c r="K5" t="s">
        <v>49</v>
      </c>
    </row>
    <row r="6" spans="11:11" x14ac:dyDescent="0.25">
      <c r="K6" t="s">
        <v>581</v>
      </c>
    </row>
    <row r="7" spans="11:11" x14ac:dyDescent="0.25">
      <c r="K7" t="s">
        <v>582</v>
      </c>
    </row>
    <row r="8" spans="11:11" x14ac:dyDescent="0.25">
      <c r="K8" t="s">
        <v>30</v>
      </c>
    </row>
    <row r="9" spans="11:11" x14ac:dyDescent="0.25">
      <c r="K9" t="s">
        <v>128</v>
      </c>
    </row>
    <row r="10" spans="11:11" x14ac:dyDescent="0.25">
      <c r="K10" t="s">
        <v>583</v>
      </c>
    </row>
    <row r="12" spans="11:11" x14ac:dyDescent="0.25">
      <c r="K12" t="s">
        <v>56</v>
      </c>
    </row>
    <row r="18" spans="2:22" ht="30" x14ac:dyDescent="0.25">
      <c r="K18" s="50" t="s">
        <v>584</v>
      </c>
    </row>
    <row r="25" spans="2:22" x14ac:dyDescent="0.25">
      <c r="B25" s="43" t="s">
        <v>585</v>
      </c>
      <c r="C25" s="43"/>
      <c r="D25" s="43"/>
      <c r="E25" s="43"/>
      <c r="F25" s="43"/>
      <c r="G25" s="43"/>
      <c r="H25" s="43"/>
      <c r="I25" s="43"/>
      <c r="J25" s="43"/>
      <c r="K25" s="43"/>
      <c r="L25" s="43"/>
      <c r="M25" s="43"/>
      <c r="N25" s="43"/>
    </row>
    <row r="26" spans="2:22" x14ac:dyDescent="0.25">
      <c r="B26" s="113" t="s">
        <v>523</v>
      </c>
      <c r="C26" s="113" t="s">
        <v>586</v>
      </c>
      <c r="D26" s="113" t="s">
        <v>587</v>
      </c>
      <c r="E26" s="113" t="s">
        <v>588</v>
      </c>
      <c r="F26" s="113" t="s">
        <v>589</v>
      </c>
      <c r="G26" s="113" t="s">
        <v>4</v>
      </c>
      <c r="H26" s="113" t="s">
        <v>590</v>
      </c>
      <c r="I26" s="113" t="s">
        <v>105</v>
      </c>
      <c r="J26" s="113"/>
      <c r="K26" s="113" t="s">
        <v>591</v>
      </c>
      <c r="L26" s="113" t="s">
        <v>592</v>
      </c>
      <c r="M26" s="113" t="s">
        <v>593</v>
      </c>
      <c r="N26" s="113" t="s">
        <v>594</v>
      </c>
      <c r="P26" s="28" t="s">
        <v>165</v>
      </c>
      <c r="Q26" s="28" t="s">
        <v>595</v>
      </c>
      <c r="R26" s="92">
        <v>0.3</v>
      </c>
      <c r="S26" s="92">
        <v>0.6</v>
      </c>
      <c r="T26" t="s">
        <v>596</v>
      </c>
      <c r="U26" t="s">
        <v>597</v>
      </c>
      <c r="V26" t="s">
        <v>598</v>
      </c>
    </row>
    <row r="27" spans="2:22" x14ac:dyDescent="0.25">
      <c r="B27" s="167" t="s">
        <v>599</v>
      </c>
      <c r="C27" s="34" t="s">
        <v>600</v>
      </c>
      <c r="D27" s="34" t="s">
        <v>601</v>
      </c>
      <c r="E27" s="168">
        <v>0.3</v>
      </c>
      <c r="F27" s="106">
        <v>800</v>
      </c>
      <c r="G27" s="274">
        <v>6139406</v>
      </c>
      <c r="H27" s="274">
        <f>7131098</f>
        <v>7131098</v>
      </c>
      <c r="I27" s="112">
        <f>G27+H27</f>
        <v>13270504</v>
      </c>
      <c r="J27" s="112"/>
      <c r="K27" s="112" t="s">
        <v>602</v>
      </c>
      <c r="L27" s="112" t="s">
        <v>603</v>
      </c>
      <c r="M27" s="9" t="s">
        <v>604</v>
      </c>
      <c r="N27" s="169" t="s">
        <v>605</v>
      </c>
      <c r="P27" s="38">
        <f>F27</f>
        <v>800</v>
      </c>
      <c r="Q27" s="1" t="e">
        <f>IF($E27="Conceptual",$I27,NA())</f>
        <v>#N/A</v>
      </c>
      <c r="R27" s="1">
        <f>IF($E27=30%,$I27,NA())</f>
        <v>13270504</v>
      </c>
      <c r="S27" s="1" t="e">
        <f>IF($E27=60%,$I27,NA())</f>
        <v>#N/A</v>
      </c>
      <c r="T27" s="1" t="e">
        <f>IF($E27="IFC",$I27,NA())</f>
        <v>#N/A</v>
      </c>
      <c r="U27" s="1" t="e">
        <f>IF($E27="GUU4",$I27,NA())</f>
        <v>#N/A</v>
      </c>
      <c r="V27" s="1" t="e">
        <f>IF($E27="Capex Model",$I27,NA())</f>
        <v>#N/A</v>
      </c>
    </row>
    <row r="28" spans="2:22" x14ac:dyDescent="0.25">
      <c r="B28" s="167" t="s">
        <v>606</v>
      </c>
      <c r="C28" s="34" t="s">
        <v>607</v>
      </c>
      <c r="D28" s="34" t="s">
        <v>608</v>
      </c>
      <c r="E28" s="34" t="s">
        <v>595</v>
      </c>
      <c r="F28" s="106">
        <v>800</v>
      </c>
      <c r="G28" s="275">
        <v>5965067</v>
      </c>
      <c r="H28" s="274">
        <v>7655808.96</v>
      </c>
      <c r="I28" s="112">
        <f>G28+H28</f>
        <v>13620875.960000001</v>
      </c>
      <c r="J28" s="112"/>
      <c r="K28" s="112" t="s">
        <v>603</v>
      </c>
      <c r="L28" s="112" t="s">
        <v>602</v>
      </c>
      <c r="M28" s="9" t="s">
        <v>609</v>
      </c>
      <c r="N28" s="169" t="s">
        <v>605</v>
      </c>
      <c r="P28" s="38">
        <f>F28</f>
        <v>800</v>
      </c>
      <c r="Q28" s="1">
        <f t="shared" ref="Q28:Q49" si="0">IF($E28="Conceptual",$I28,NA())</f>
        <v>13620875.960000001</v>
      </c>
      <c r="R28" s="1" t="e">
        <f t="shared" ref="R28:R49" si="1">IF($E28=30%,$I28,NA())</f>
        <v>#N/A</v>
      </c>
      <c r="S28" s="1" t="e">
        <f t="shared" ref="S28:S49" si="2">IF($E28=60%,$I28,NA())</f>
        <v>#N/A</v>
      </c>
      <c r="T28" s="1" t="e">
        <f t="shared" ref="T28:T49" si="3">IF($E28="IFC",$I28,NA())</f>
        <v>#N/A</v>
      </c>
      <c r="U28" s="1" t="e">
        <f t="shared" ref="U28:U49" si="4">IF($E28="GUU4",$I28,NA())</f>
        <v>#N/A</v>
      </c>
      <c r="V28" s="1" t="e">
        <f t="shared" ref="V28:V49" si="5">IF($E28="Capex Model",$I28,NA())</f>
        <v>#N/A</v>
      </c>
    </row>
    <row r="29" spans="2:22" x14ac:dyDescent="0.25">
      <c r="B29" s="34" t="s">
        <v>610</v>
      </c>
      <c r="C29" s="34" t="s">
        <v>611</v>
      </c>
      <c r="D29" s="34" t="s">
        <v>612</v>
      </c>
      <c r="E29" s="168">
        <v>0.3</v>
      </c>
      <c r="F29" s="34">
        <v>400</v>
      </c>
      <c r="G29" s="274">
        <v>4304257</v>
      </c>
      <c r="H29" s="274">
        <v>8935000</v>
      </c>
      <c r="I29" s="112">
        <f>G29+H29</f>
        <v>13239257</v>
      </c>
      <c r="J29" s="112"/>
      <c r="K29" s="112" t="s">
        <v>602</v>
      </c>
      <c r="L29" s="112" t="s">
        <v>602</v>
      </c>
      <c r="M29" s="9" t="s">
        <v>613</v>
      </c>
      <c r="N29" s="169" t="s">
        <v>605</v>
      </c>
      <c r="P29" s="38">
        <f>F29</f>
        <v>400</v>
      </c>
      <c r="Q29" s="1" t="e">
        <f t="shared" si="0"/>
        <v>#N/A</v>
      </c>
      <c r="R29" s="1">
        <f t="shared" si="1"/>
        <v>13239257</v>
      </c>
      <c r="S29" s="1" t="e">
        <f t="shared" si="2"/>
        <v>#N/A</v>
      </c>
      <c r="T29" s="1" t="e">
        <f t="shared" si="3"/>
        <v>#N/A</v>
      </c>
      <c r="U29" s="1" t="e">
        <f t="shared" si="4"/>
        <v>#N/A</v>
      </c>
      <c r="V29" s="1" t="e">
        <f t="shared" si="5"/>
        <v>#N/A</v>
      </c>
    </row>
    <row r="30" spans="2:22" x14ac:dyDescent="0.25">
      <c r="B30" s="34" t="s">
        <v>614</v>
      </c>
      <c r="C30" s="34" t="s">
        <v>615</v>
      </c>
      <c r="D30" s="34" t="s">
        <v>616</v>
      </c>
      <c r="E30" s="34" t="s">
        <v>595</v>
      </c>
      <c r="F30" s="34">
        <v>1200</v>
      </c>
      <c r="G30" s="274">
        <v>6114347</v>
      </c>
      <c r="H30" s="274">
        <f>10951301+471142.91+800000</f>
        <v>12222443.91</v>
      </c>
      <c r="I30" s="112">
        <f>G30+H30</f>
        <v>18336790.91</v>
      </c>
      <c r="J30" s="112"/>
      <c r="K30" s="112" t="s">
        <v>617</v>
      </c>
      <c r="L30" s="112" t="s">
        <v>617</v>
      </c>
      <c r="M30" s="96" t="s">
        <v>618</v>
      </c>
      <c r="N30" s="169" t="s">
        <v>605</v>
      </c>
      <c r="P30" s="38">
        <f t="shared" ref="P30:P49" si="6">F30</f>
        <v>1200</v>
      </c>
      <c r="Q30" s="1">
        <f t="shared" si="0"/>
        <v>18336790.91</v>
      </c>
      <c r="R30" s="1" t="e">
        <f t="shared" si="1"/>
        <v>#N/A</v>
      </c>
      <c r="S30" s="1" t="e">
        <f t="shared" si="2"/>
        <v>#N/A</v>
      </c>
      <c r="T30" s="1" t="e">
        <f t="shared" si="3"/>
        <v>#N/A</v>
      </c>
      <c r="U30" s="1" t="e">
        <f t="shared" si="4"/>
        <v>#N/A</v>
      </c>
      <c r="V30" s="1" t="e">
        <f t="shared" si="5"/>
        <v>#N/A</v>
      </c>
    </row>
    <row r="31" spans="2:22" x14ac:dyDescent="0.25">
      <c r="B31" s="34" t="s">
        <v>619</v>
      </c>
      <c r="C31" s="34" t="s">
        <v>234</v>
      </c>
      <c r="D31" s="34" t="s">
        <v>513</v>
      </c>
      <c r="E31" s="34" t="s">
        <v>598</v>
      </c>
      <c r="F31" s="34">
        <v>400</v>
      </c>
      <c r="G31" s="274"/>
      <c r="H31" s="274"/>
      <c r="I31" s="112">
        <v>11271698</v>
      </c>
      <c r="J31" s="170">
        <f>I31/I34-1</f>
        <v>0.18250103361458359</v>
      </c>
      <c r="K31" s="112"/>
      <c r="L31" s="112"/>
      <c r="M31" s="9"/>
      <c r="N31" s="34" t="s">
        <v>603</v>
      </c>
      <c r="P31" s="38">
        <f t="shared" si="6"/>
        <v>400</v>
      </c>
      <c r="Q31" s="1" t="e">
        <f t="shared" si="0"/>
        <v>#N/A</v>
      </c>
      <c r="R31" s="1" t="e">
        <f t="shared" si="1"/>
        <v>#N/A</v>
      </c>
      <c r="S31" s="1" t="e">
        <f t="shared" si="2"/>
        <v>#N/A</v>
      </c>
      <c r="T31" s="1" t="e">
        <f t="shared" si="3"/>
        <v>#N/A</v>
      </c>
      <c r="U31" s="1" t="e">
        <f t="shared" si="4"/>
        <v>#N/A</v>
      </c>
      <c r="V31" s="1">
        <f t="shared" si="5"/>
        <v>11271698</v>
      </c>
    </row>
    <row r="32" spans="2:22" x14ac:dyDescent="0.25">
      <c r="B32" s="34" t="s">
        <v>619</v>
      </c>
      <c r="C32" s="34" t="s">
        <v>234</v>
      </c>
      <c r="D32" s="34" t="s">
        <v>513</v>
      </c>
      <c r="E32" s="34" t="s">
        <v>598</v>
      </c>
      <c r="F32" s="34">
        <v>800</v>
      </c>
      <c r="G32" s="274"/>
      <c r="H32" s="274"/>
      <c r="I32" s="112">
        <v>14700208</v>
      </c>
      <c r="J32" s="170">
        <f t="shared" ref="J32:J33" si="7">I32/I35-1</f>
        <v>0.16683097319311235</v>
      </c>
      <c r="K32" s="112"/>
      <c r="L32" s="112"/>
      <c r="M32" s="9"/>
      <c r="N32" s="34" t="s">
        <v>603</v>
      </c>
      <c r="P32" s="38">
        <f t="shared" si="6"/>
        <v>800</v>
      </c>
      <c r="Q32" s="1" t="e">
        <f t="shared" si="0"/>
        <v>#N/A</v>
      </c>
      <c r="R32" s="1" t="e">
        <f t="shared" si="1"/>
        <v>#N/A</v>
      </c>
      <c r="S32" s="1" t="e">
        <f t="shared" si="2"/>
        <v>#N/A</v>
      </c>
      <c r="T32" s="1" t="e">
        <f t="shared" si="3"/>
        <v>#N/A</v>
      </c>
      <c r="U32" s="1" t="e">
        <f t="shared" si="4"/>
        <v>#N/A</v>
      </c>
      <c r="V32" s="1">
        <f t="shared" si="5"/>
        <v>14700208</v>
      </c>
    </row>
    <row r="33" spans="2:22" x14ac:dyDescent="0.25">
      <c r="B33" s="34" t="s">
        <v>619</v>
      </c>
      <c r="C33" s="34" t="s">
        <v>234</v>
      </c>
      <c r="D33" s="34" t="s">
        <v>513</v>
      </c>
      <c r="E33" s="34" t="s">
        <v>598</v>
      </c>
      <c r="F33" s="34">
        <v>1200</v>
      </c>
      <c r="G33" s="274"/>
      <c r="H33" s="274"/>
      <c r="I33" s="112">
        <v>15810083</v>
      </c>
      <c r="J33" s="170">
        <f t="shared" si="7"/>
        <v>0.13518528158514398</v>
      </c>
      <c r="K33" s="112"/>
      <c r="L33" s="112"/>
      <c r="M33" s="9"/>
      <c r="N33" s="34" t="s">
        <v>603</v>
      </c>
      <c r="P33" s="38">
        <f t="shared" si="6"/>
        <v>1200</v>
      </c>
      <c r="Q33" s="1" t="e">
        <f t="shared" si="0"/>
        <v>#N/A</v>
      </c>
      <c r="R33" s="1" t="e">
        <f t="shared" si="1"/>
        <v>#N/A</v>
      </c>
      <c r="S33" s="1" t="e">
        <f t="shared" si="2"/>
        <v>#N/A</v>
      </c>
      <c r="T33" s="1" t="e">
        <f t="shared" si="3"/>
        <v>#N/A</v>
      </c>
      <c r="U33" s="1" t="e">
        <f t="shared" si="4"/>
        <v>#N/A</v>
      </c>
      <c r="V33" s="1">
        <f t="shared" si="5"/>
        <v>15810083</v>
      </c>
    </row>
    <row r="34" spans="2:22" x14ac:dyDescent="0.25">
      <c r="B34" s="34" t="s">
        <v>597</v>
      </c>
      <c r="C34" s="34" t="s">
        <v>234</v>
      </c>
      <c r="D34" s="9"/>
      <c r="E34" s="34" t="s">
        <v>597</v>
      </c>
      <c r="F34" s="34">
        <v>400</v>
      </c>
      <c r="G34" s="274"/>
      <c r="H34" s="274"/>
      <c r="I34" s="112">
        <f>9311500+102083+118500</f>
        <v>9532083</v>
      </c>
      <c r="J34" s="112"/>
      <c r="K34" s="112"/>
      <c r="L34" s="112"/>
      <c r="M34" s="9"/>
      <c r="N34" s="34" t="s">
        <v>603</v>
      </c>
      <c r="P34" s="38">
        <f t="shared" si="6"/>
        <v>400</v>
      </c>
      <c r="Q34" s="1" t="e">
        <f t="shared" si="0"/>
        <v>#N/A</v>
      </c>
      <c r="R34" s="1" t="e">
        <f t="shared" si="1"/>
        <v>#N/A</v>
      </c>
      <c r="S34" s="1" t="e">
        <f t="shared" si="2"/>
        <v>#N/A</v>
      </c>
      <c r="T34" s="1" t="e">
        <f t="shared" si="3"/>
        <v>#N/A</v>
      </c>
      <c r="U34" s="1">
        <f t="shared" si="4"/>
        <v>9532083</v>
      </c>
      <c r="V34" s="1" t="e">
        <f t="shared" si="5"/>
        <v>#N/A</v>
      </c>
    </row>
    <row r="35" spans="2:22" x14ac:dyDescent="0.25">
      <c r="B35" s="34" t="s">
        <v>597</v>
      </c>
      <c r="C35" s="34" t="s">
        <v>234</v>
      </c>
      <c r="D35" s="9"/>
      <c r="E35" s="34" t="s">
        <v>597</v>
      </c>
      <c r="F35" s="34">
        <v>800</v>
      </c>
      <c r="G35" s="274"/>
      <c r="H35" s="274"/>
      <c r="I35" s="112">
        <f>12326050+153854+118500</f>
        <v>12598404</v>
      </c>
      <c r="J35" s="112"/>
      <c r="K35" s="112"/>
      <c r="L35" s="112"/>
      <c r="M35" s="9"/>
      <c r="N35" s="34" t="s">
        <v>603</v>
      </c>
      <c r="P35" s="38">
        <f t="shared" si="6"/>
        <v>800</v>
      </c>
      <c r="Q35" s="1" t="e">
        <f t="shared" si="0"/>
        <v>#N/A</v>
      </c>
      <c r="R35" s="1" t="e">
        <f t="shared" si="1"/>
        <v>#N/A</v>
      </c>
      <c r="S35" s="1" t="e">
        <f t="shared" si="2"/>
        <v>#N/A</v>
      </c>
      <c r="T35" s="1" t="e">
        <f t="shared" si="3"/>
        <v>#N/A</v>
      </c>
      <c r="U35" s="1">
        <f t="shared" si="4"/>
        <v>12598404</v>
      </c>
      <c r="V35" s="1" t="e">
        <f t="shared" si="5"/>
        <v>#N/A</v>
      </c>
    </row>
    <row r="36" spans="2:22" x14ac:dyDescent="0.25">
      <c r="B36" s="34" t="s">
        <v>597</v>
      </c>
      <c r="C36" s="34" t="s">
        <v>234</v>
      </c>
      <c r="D36" s="9"/>
      <c r="E36" s="34" t="s">
        <v>597</v>
      </c>
      <c r="F36" s="34">
        <v>1200</v>
      </c>
      <c r="G36" s="274"/>
      <c r="H36" s="274"/>
      <c r="I36" s="112">
        <f>13636094+172721+118500</f>
        <v>13927315</v>
      </c>
      <c r="J36" s="112"/>
      <c r="K36" s="112"/>
      <c r="L36" s="112"/>
      <c r="M36" s="9"/>
      <c r="N36" s="34" t="s">
        <v>603</v>
      </c>
      <c r="P36" s="38">
        <f t="shared" si="6"/>
        <v>1200</v>
      </c>
      <c r="Q36" s="1" t="e">
        <f t="shared" si="0"/>
        <v>#N/A</v>
      </c>
      <c r="R36" s="1" t="e">
        <f t="shared" si="1"/>
        <v>#N/A</v>
      </c>
      <c r="S36" s="1" t="e">
        <f t="shared" si="2"/>
        <v>#N/A</v>
      </c>
      <c r="T36" s="1" t="e">
        <f t="shared" si="3"/>
        <v>#N/A</v>
      </c>
      <c r="U36" s="1">
        <f t="shared" si="4"/>
        <v>13927315</v>
      </c>
      <c r="V36" s="1" t="e">
        <f t="shared" si="5"/>
        <v>#N/A</v>
      </c>
    </row>
    <row r="37" spans="2:22" x14ac:dyDescent="0.25">
      <c r="B37" s="34" t="s">
        <v>620</v>
      </c>
      <c r="C37" s="34" t="s">
        <v>600</v>
      </c>
      <c r="D37" s="34" t="s">
        <v>621</v>
      </c>
      <c r="E37" s="99">
        <v>0.3</v>
      </c>
      <c r="F37" s="34">
        <v>800</v>
      </c>
      <c r="G37" s="274">
        <v>5600000</v>
      </c>
      <c r="H37" s="274">
        <v>6689041</v>
      </c>
      <c r="I37" s="274">
        <f>SUM(G37,H37)</f>
        <v>12289041</v>
      </c>
      <c r="J37" s="34"/>
      <c r="K37" s="34"/>
      <c r="L37" s="34"/>
      <c r="M37" s="9" t="s">
        <v>698</v>
      </c>
      <c r="N37" s="238" t="s">
        <v>605</v>
      </c>
      <c r="P37" s="38">
        <f t="shared" si="6"/>
        <v>800</v>
      </c>
      <c r="Q37" s="1" t="e">
        <f t="shared" si="0"/>
        <v>#N/A</v>
      </c>
      <c r="R37" s="1">
        <f t="shared" si="1"/>
        <v>12289041</v>
      </c>
      <c r="S37" s="1" t="e">
        <f t="shared" si="2"/>
        <v>#N/A</v>
      </c>
      <c r="T37" s="1" t="e">
        <f t="shared" si="3"/>
        <v>#N/A</v>
      </c>
      <c r="U37" s="1" t="e">
        <f t="shared" si="4"/>
        <v>#N/A</v>
      </c>
      <c r="V37" s="1" t="e">
        <f t="shared" si="5"/>
        <v>#N/A</v>
      </c>
    </row>
    <row r="38" spans="2:22" x14ac:dyDescent="0.25">
      <c r="B38" s="34" t="s">
        <v>699</v>
      </c>
      <c r="C38" s="34" t="s">
        <v>700</v>
      </c>
      <c r="D38" s="34" t="s">
        <v>701</v>
      </c>
      <c r="E38" s="99">
        <v>0.3</v>
      </c>
      <c r="F38" s="34">
        <v>1200</v>
      </c>
      <c r="G38" s="274">
        <f>6114347+100000</f>
        <v>6214347</v>
      </c>
      <c r="H38" s="274">
        <v>8365095</v>
      </c>
      <c r="I38" s="274">
        <f>SUM(G38,H38)</f>
        <v>14579442</v>
      </c>
      <c r="J38" s="34"/>
      <c r="K38" s="34"/>
      <c r="L38" s="34"/>
      <c r="M38" s="9" t="s">
        <v>702</v>
      </c>
      <c r="N38" s="9"/>
      <c r="P38" s="38">
        <f t="shared" si="6"/>
        <v>1200</v>
      </c>
      <c r="Q38" s="1" t="e">
        <f t="shared" si="0"/>
        <v>#N/A</v>
      </c>
      <c r="R38" s="1">
        <f t="shared" si="1"/>
        <v>14579442</v>
      </c>
      <c r="S38" s="1" t="e">
        <f t="shared" si="2"/>
        <v>#N/A</v>
      </c>
      <c r="T38" s="1" t="e">
        <f t="shared" si="3"/>
        <v>#N/A</v>
      </c>
      <c r="U38" s="1" t="e">
        <f t="shared" si="4"/>
        <v>#N/A</v>
      </c>
      <c r="V38" s="1" t="e">
        <f t="shared" si="5"/>
        <v>#N/A</v>
      </c>
    </row>
    <row r="39" spans="2:22" x14ac:dyDescent="0.25">
      <c r="B39" s="34" t="s">
        <v>699</v>
      </c>
      <c r="C39" s="34" t="s">
        <v>615</v>
      </c>
      <c r="D39" s="34" t="s">
        <v>701</v>
      </c>
      <c r="E39" s="99">
        <v>0.3</v>
      </c>
      <c r="F39" s="34">
        <v>1200</v>
      </c>
      <c r="G39" s="274">
        <f>6114347+100000</f>
        <v>6214347</v>
      </c>
      <c r="H39" s="274">
        <v>9828921</v>
      </c>
      <c r="I39" s="274">
        <f>SUM(G39,H39)</f>
        <v>16043268</v>
      </c>
      <c r="J39" s="34"/>
      <c r="K39" s="34"/>
      <c r="L39" s="34"/>
      <c r="M39" s="9" t="s">
        <v>702</v>
      </c>
      <c r="N39" s="9"/>
      <c r="P39" s="38">
        <f t="shared" si="6"/>
        <v>1200</v>
      </c>
      <c r="Q39" s="1" t="e">
        <f t="shared" si="0"/>
        <v>#N/A</v>
      </c>
      <c r="R39" s="1">
        <f t="shared" si="1"/>
        <v>16043268</v>
      </c>
      <c r="S39" s="1" t="e">
        <f t="shared" si="2"/>
        <v>#N/A</v>
      </c>
      <c r="T39" s="1" t="e">
        <f t="shared" si="3"/>
        <v>#N/A</v>
      </c>
      <c r="U39" s="1" t="e">
        <f t="shared" si="4"/>
        <v>#N/A</v>
      </c>
      <c r="V39" s="1" t="e">
        <f t="shared" si="5"/>
        <v>#N/A</v>
      </c>
    </row>
    <row r="40" spans="2:22" x14ac:dyDescent="0.25">
      <c r="B40" s="34"/>
      <c r="C40" s="34"/>
      <c r="D40" s="34"/>
      <c r="E40" s="34"/>
      <c r="F40" s="34"/>
      <c r="G40" s="34"/>
      <c r="H40" s="34"/>
      <c r="I40" s="34"/>
      <c r="J40" s="34"/>
      <c r="K40" s="34"/>
      <c r="L40" s="34"/>
      <c r="M40" s="9"/>
      <c r="N40" s="9"/>
      <c r="P40" s="38">
        <f t="shared" si="6"/>
        <v>0</v>
      </c>
      <c r="Q40" s="1" t="e">
        <f t="shared" si="0"/>
        <v>#N/A</v>
      </c>
      <c r="R40" s="1" t="e">
        <f t="shared" si="1"/>
        <v>#N/A</v>
      </c>
      <c r="S40" s="1" t="e">
        <f t="shared" si="2"/>
        <v>#N/A</v>
      </c>
      <c r="T40" s="1" t="e">
        <f t="shared" si="3"/>
        <v>#N/A</v>
      </c>
      <c r="U40" s="1" t="e">
        <f t="shared" si="4"/>
        <v>#N/A</v>
      </c>
      <c r="V40" s="1" t="e">
        <f t="shared" si="5"/>
        <v>#N/A</v>
      </c>
    </row>
    <row r="41" spans="2:22" x14ac:dyDescent="0.25">
      <c r="B41" s="34"/>
      <c r="C41" s="34"/>
      <c r="D41" s="34"/>
      <c r="E41" s="34"/>
      <c r="F41" s="34"/>
      <c r="G41" s="34"/>
      <c r="H41" s="34"/>
      <c r="I41" s="34"/>
      <c r="J41" s="34"/>
      <c r="K41" s="34"/>
      <c r="L41" s="34"/>
      <c r="M41" s="9"/>
      <c r="N41" s="9"/>
      <c r="P41" s="38">
        <f t="shared" si="6"/>
        <v>0</v>
      </c>
      <c r="Q41" s="1" t="e">
        <f t="shared" si="0"/>
        <v>#N/A</v>
      </c>
      <c r="R41" s="1" t="e">
        <f t="shared" si="1"/>
        <v>#N/A</v>
      </c>
      <c r="S41" s="1" t="e">
        <f t="shared" si="2"/>
        <v>#N/A</v>
      </c>
      <c r="T41" s="1" t="e">
        <f t="shared" si="3"/>
        <v>#N/A</v>
      </c>
      <c r="U41" s="1" t="e">
        <f t="shared" si="4"/>
        <v>#N/A</v>
      </c>
      <c r="V41" s="1" t="e">
        <f t="shared" si="5"/>
        <v>#N/A</v>
      </c>
    </row>
    <row r="42" spans="2:22" x14ac:dyDescent="0.25">
      <c r="B42" s="34"/>
      <c r="C42" s="34"/>
      <c r="D42" s="34"/>
      <c r="E42" s="34"/>
      <c r="F42" s="34"/>
      <c r="G42" s="34"/>
      <c r="H42" s="34"/>
      <c r="I42" s="34"/>
      <c r="J42" s="34"/>
      <c r="K42" s="34"/>
      <c r="L42" s="34"/>
      <c r="M42" s="9"/>
      <c r="N42" s="9"/>
      <c r="P42" s="38">
        <f t="shared" si="6"/>
        <v>0</v>
      </c>
      <c r="Q42" s="1" t="e">
        <f t="shared" si="0"/>
        <v>#N/A</v>
      </c>
      <c r="R42" s="1" t="e">
        <f t="shared" si="1"/>
        <v>#N/A</v>
      </c>
      <c r="S42" s="1" t="e">
        <f t="shared" si="2"/>
        <v>#N/A</v>
      </c>
      <c r="T42" s="1" t="e">
        <f t="shared" si="3"/>
        <v>#N/A</v>
      </c>
      <c r="U42" s="1" t="e">
        <f t="shared" si="4"/>
        <v>#N/A</v>
      </c>
      <c r="V42" s="1" t="e">
        <f t="shared" si="5"/>
        <v>#N/A</v>
      </c>
    </row>
    <row r="43" spans="2:22" x14ac:dyDescent="0.25">
      <c r="B43" s="34"/>
      <c r="C43" s="34"/>
      <c r="D43" s="34"/>
      <c r="E43" s="34"/>
      <c r="F43" s="34"/>
      <c r="G43" s="34"/>
      <c r="H43" s="34"/>
      <c r="I43" s="34"/>
      <c r="J43" s="34"/>
      <c r="K43" s="34"/>
      <c r="L43" s="34"/>
      <c r="M43" s="9"/>
      <c r="N43" s="9"/>
      <c r="P43" s="38">
        <f t="shared" si="6"/>
        <v>0</v>
      </c>
      <c r="Q43" s="1" t="e">
        <f t="shared" si="0"/>
        <v>#N/A</v>
      </c>
      <c r="R43" s="1" t="e">
        <f t="shared" si="1"/>
        <v>#N/A</v>
      </c>
      <c r="S43" s="1" t="e">
        <f t="shared" si="2"/>
        <v>#N/A</v>
      </c>
      <c r="T43" s="1" t="e">
        <f t="shared" si="3"/>
        <v>#N/A</v>
      </c>
      <c r="U43" s="1" t="e">
        <f t="shared" si="4"/>
        <v>#N/A</v>
      </c>
      <c r="V43" s="1" t="e">
        <f t="shared" si="5"/>
        <v>#N/A</v>
      </c>
    </row>
    <row r="44" spans="2:22" x14ac:dyDescent="0.25">
      <c r="B44" s="34"/>
      <c r="C44" s="34"/>
      <c r="D44" s="34"/>
      <c r="E44" s="34"/>
      <c r="F44" s="34"/>
      <c r="G44" s="34"/>
      <c r="H44" s="34"/>
      <c r="I44" s="34"/>
      <c r="J44" s="34"/>
      <c r="K44" s="34"/>
      <c r="L44" s="34"/>
      <c r="M44" s="9"/>
      <c r="N44" s="9"/>
      <c r="P44" s="38">
        <f t="shared" si="6"/>
        <v>0</v>
      </c>
      <c r="Q44" s="1" t="e">
        <f t="shared" si="0"/>
        <v>#N/A</v>
      </c>
      <c r="R44" s="1" t="e">
        <f t="shared" si="1"/>
        <v>#N/A</v>
      </c>
      <c r="S44" s="1" t="e">
        <f t="shared" si="2"/>
        <v>#N/A</v>
      </c>
      <c r="T44" s="1" t="e">
        <f t="shared" si="3"/>
        <v>#N/A</v>
      </c>
      <c r="U44" s="1" t="e">
        <f t="shared" si="4"/>
        <v>#N/A</v>
      </c>
      <c r="V44" s="1" t="e">
        <f t="shared" si="5"/>
        <v>#N/A</v>
      </c>
    </row>
    <row r="45" spans="2:22" x14ac:dyDescent="0.25">
      <c r="B45" s="34"/>
      <c r="C45" s="34"/>
      <c r="D45" s="34"/>
      <c r="E45" s="34"/>
      <c r="F45" s="34"/>
      <c r="G45" s="34"/>
      <c r="H45" s="34"/>
      <c r="I45" s="34"/>
      <c r="J45" s="34"/>
      <c r="K45" s="34"/>
      <c r="L45" s="34"/>
      <c r="M45" s="9"/>
      <c r="N45" s="9"/>
      <c r="P45" s="38">
        <f t="shared" si="6"/>
        <v>0</v>
      </c>
      <c r="Q45" s="1" t="e">
        <f t="shared" si="0"/>
        <v>#N/A</v>
      </c>
      <c r="R45" s="1" t="e">
        <f t="shared" si="1"/>
        <v>#N/A</v>
      </c>
      <c r="S45" s="1" t="e">
        <f t="shared" si="2"/>
        <v>#N/A</v>
      </c>
      <c r="T45" s="1" t="e">
        <f t="shared" si="3"/>
        <v>#N/A</v>
      </c>
      <c r="U45" s="1" t="e">
        <f t="shared" si="4"/>
        <v>#N/A</v>
      </c>
      <c r="V45" s="1" t="e">
        <f t="shared" si="5"/>
        <v>#N/A</v>
      </c>
    </row>
    <row r="46" spans="2:22" x14ac:dyDescent="0.25">
      <c r="B46" s="34"/>
      <c r="C46" s="34"/>
      <c r="D46" s="34"/>
      <c r="E46" s="34"/>
      <c r="F46" s="34"/>
      <c r="G46" s="34"/>
      <c r="H46" s="34"/>
      <c r="I46" s="34"/>
      <c r="J46" s="34"/>
      <c r="K46" s="34"/>
      <c r="L46" s="34"/>
      <c r="M46" s="9"/>
      <c r="N46" s="9"/>
      <c r="P46" s="38">
        <f t="shared" si="6"/>
        <v>0</v>
      </c>
      <c r="Q46" s="1" t="e">
        <f t="shared" si="0"/>
        <v>#N/A</v>
      </c>
      <c r="R46" s="1" t="e">
        <f t="shared" si="1"/>
        <v>#N/A</v>
      </c>
      <c r="S46" s="1" t="e">
        <f t="shared" si="2"/>
        <v>#N/A</v>
      </c>
      <c r="T46" s="1" t="e">
        <f t="shared" si="3"/>
        <v>#N/A</v>
      </c>
      <c r="U46" s="1" t="e">
        <f t="shared" si="4"/>
        <v>#N/A</v>
      </c>
      <c r="V46" s="1" t="e">
        <f t="shared" si="5"/>
        <v>#N/A</v>
      </c>
    </row>
    <row r="47" spans="2:22" x14ac:dyDescent="0.25">
      <c r="B47" s="34"/>
      <c r="C47" s="34"/>
      <c r="D47" s="34"/>
      <c r="E47" s="34"/>
      <c r="F47" s="34"/>
      <c r="G47" s="34"/>
      <c r="H47" s="34"/>
      <c r="I47" s="34"/>
      <c r="J47" s="34"/>
      <c r="K47" s="34"/>
      <c r="L47" s="34"/>
      <c r="M47" s="9"/>
      <c r="N47" s="9"/>
      <c r="P47" s="38">
        <f t="shared" si="6"/>
        <v>0</v>
      </c>
      <c r="Q47" s="1" t="e">
        <f t="shared" si="0"/>
        <v>#N/A</v>
      </c>
      <c r="R47" s="1" t="e">
        <f t="shared" si="1"/>
        <v>#N/A</v>
      </c>
      <c r="S47" s="1" t="e">
        <f t="shared" si="2"/>
        <v>#N/A</v>
      </c>
      <c r="T47" s="1" t="e">
        <f t="shared" si="3"/>
        <v>#N/A</v>
      </c>
      <c r="U47" s="1" t="e">
        <f t="shared" si="4"/>
        <v>#N/A</v>
      </c>
      <c r="V47" s="1" t="e">
        <f t="shared" si="5"/>
        <v>#N/A</v>
      </c>
    </row>
    <row r="48" spans="2:22" x14ac:dyDescent="0.25">
      <c r="B48" s="9"/>
      <c r="C48" s="9"/>
      <c r="D48" s="9"/>
      <c r="E48" s="9"/>
      <c r="F48" s="9"/>
      <c r="G48" s="9"/>
      <c r="H48" s="9"/>
      <c r="I48" s="9"/>
      <c r="J48" s="9"/>
      <c r="K48" s="9"/>
      <c r="L48" s="9"/>
      <c r="M48" s="9"/>
      <c r="N48" s="9"/>
      <c r="P48" s="38">
        <f t="shared" si="6"/>
        <v>0</v>
      </c>
      <c r="Q48" s="1" t="e">
        <f t="shared" si="0"/>
        <v>#N/A</v>
      </c>
      <c r="R48" s="1" t="e">
        <f t="shared" si="1"/>
        <v>#N/A</v>
      </c>
      <c r="S48" s="1" t="e">
        <f t="shared" si="2"/>
        <v>#N/A</v>
      </c>
      <c r="T48" s="1" t="e">
        <f t="shared" si="3"/>
        <v>#N/A</v>
      </c>
      <c r="U48" s="1" t="e">
        <f t="shared" si="4"/>
        <v>#N/A</v>
      </c>
      <c r="V48" s="1" t="e">
        <f t="shared" si="5"/>
        <v>#N/A</v>
      </c>
    </row>
    <row r="49" spans="16:22" x14ac:dyDescent="0.25">
      <c r="P49" s="38">
        <f t="shared" si="6"/>
        <v>0</v>
      </c>
      <c r="Q49" s="1" t="e">
        <f t="shared" si="0"/>
        <v>#N/A</v>
      </c>
      <c r="R49" s="1" t="e">
        <f t="shared" si="1"/>
        <v>#N/A</v>
      </c>
      <c r="S49" s="1" t="e">
        <f t="shared" si="2"/>
        <v>#N/A</v>
      </c>
      <c r="T49" s="1" t="e">
        <f t="shared" si="3"/>
        <v>#N/A</v>
      </c>
      <c r="U49" s="1" t="e">
        <f t="shared" si="4"/>
        <v>#N/A</v>
      </c>
      <c r="V49" s="1" t="e">
        <f t="shared" si="5"/>
        <v>#N/A</v>
      </c>
    </row>
    <row r="50" spans="16:22" x14ac:dyDescent="0.25">
      <c r="R50" s="1"/>
    </row>
    <row r="56" spans="16:22" x14ac:dyDescent="0.25">
      <c r="P56" t="s">
        <v>622</v>
      </c>
    </row>
    <row r="57" spans="16:22" x14ac:dyDescent="0.25">
      <c r="P57" t="s">
        <v>623</v>
      </c>
    </row>
  </sheetData>
  <conditionalFormatting sqref="B27:N49">
    <cfRule type="expression" dxfId="2" priority="1">
      <formula>MOD(ROW(),2)=0</formula>
    </cfRule>
  </conditionalFormatting>
  <dataValidations count="1">
    <dataValidation type="list" allowBlank="1" showInputMessage="1" showErrorMessage="1" sqref="E27:E44" xr:uid="{78D21B21-7936-4BB5-B2E7-0B26F8BE5AC4}">
      <formula1>$Q$26:$V$26</formula1>
    </dataValidation>
  </dataValidations>
  <hyperlinks>
    <hyperlink ref="N27" r:id="rId1" xr:uid="{5BA0F8C2-D69B-4A2E-87CA-BDE8557026E5}"/>
    <hyperlink ref="N28" r:id="rId2" xr:uid="{C596F7E5-1AD7-4734-B077-FE326E90E87A}"/>
    <hyperlink ref="N29" r:id="rId3" xr:uid="{ACAE9252-79AC-49BC-919C-44A0A6036EE9}"/>
    <hyperlink ref="N30" r:id="rId4" xr:uid="{36EB8AAE-AC7F-431D-9B51-0C989AD95C6E}"/>
    <hyperlink ref="N37" r:id="rId5" xr:uid="{A57F6A48-21B0-4F49-8888-17185E6903B9}"/>
  </hyperlinks>
  <pageMargins left="0.7" right="0.7" top="0.75" bottom="0.75" header="0.3" footer="0.3"/>
  <drawing r:id="rId6"/>
  <legacyDrawing r:id="rId7"/>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D4569-ECA3-40F4-A5CE-272913DFF988}">
  <dimension ref="B25:T57"/>
  <sheetViews>
    <sheetView zoomScale="120" zoomScaleNormal="120" workbookViewId="0">
      <selection activeCell="H21" sqref="H21"/>
    </sheetView>
  </sheetViews>
  <sheetFormatPr defaultRowHeight="15" x14ac:dyDescent="0.25"/>
  <cols>
    <col min="1" max="1" width="4.42578125" customWidth="1"/>
    <col min="2" max="3" width="15.5703125" customWidth="1"/>
    <col min="4" max="4" width="11.140625" bestFit="1" customWidth="1"/>
    <col min="5" max="8" width="15.5703125" customWidth="1"/>
    <col min="9" max="9" width="22.140625" bestFit="1" customWidth="1"/>
    <col min="10" max="10" width="15.5703125" customWidth="1"/>
    <col min="11" max="11" width="19.7109375" bestFit="1" customWidth="1"/>
    <col min="12" max="12" width="15.5703125" customWidth="1"/>
    <col min="13" max="13" width="85.140625" customWidth="1"/>
    <col min="14" max="14" width="15" customWidth="1"/>
    <col min="16" max="16" width="14.140625" bestFit="1" customWidth="1"/>
    <col min="17" max="17" width="20.140625" customWidth="1"/>
    <col min="18" max="18" width="15.140625" bestFit="1" customWidth="1"/>
    <col min="19" max="23" width="14.140625" bestFit="1" customWidth="1"/>
  </cols>
  <sheetData>
    <row r="25" spans="2:20" x14ac:dyDescent="0.25">
      <c r="B25" s="43" t="s">
        <v>585</v>
      </c>
      <c r="C25" s="43"/>
      <c r="D25" s="43"/>
      <c r="E25" s="43"/>
      <c r="F25" s="43"/>
      <c r="G25" s="43"/>
      <c r="H25" s="43"/>
      <c r="I25" s="43"/>
      <c r="J25" s="43"/>
      <c r="K25" s="43"/>
      <c r="L25" s="43"/>
      <c r="M25" s="43"/>
      <c r="N25" s="43"/>
    </row>
    <row r="26" spans="2:20" x14ac:dyDescent="0.25">
      <c r="B26" s="113" t="s">
        <v>523</v>
      </c>
      <c r="C26" s="113" t="s">
        <v>624</v>
      </c>
      <c r="D26" s="113" t="s">
        <v>625</v>
      </c>
      <c r="E26" s="113" t="s">
        <v>587</v>
      </c>
      <c r="F26" s="113" t="s">
        <v>589</v>
      </c>
      <c r="G26" s="113" t="s">
        <v>626</v>
      </c>
      <c r="H26" s="113" t="s">
        <v>627</v>
      </c>
      <c r="I26" s="113" t="s">
        <v>628</v>
      </c>
      <c r="J26" s="113" t="s">
        <v>629</v>
      </c>
      <c r="K26" s="113" t="s">
        <v>630</v>
      </c>
      <c r="L26" s="113" t="s">
        <v>593</v>
      </c>
      <c r="M26" s="113" t="s">
        <v>594</v>
      </c>
      <c r="O26" s="28" t="s">
        <v>165</v>
      </c>
      <c r="P26" s="92" t="s">
        <v>595</v>
      </c>
      <c r="Q26" s="29">
        <v>0.3</v>
      </c>
      <c r="R26" s="92">
        <v>0.6</v>
      </c>
      <c r="S26" t="s">
        <v>596</v>
      </c>
      <c r="T26" t="s">
        <v>559</v>
      </c>
    </row>
    <row r="27" spans="2:20" x14ac:dyDescent="0.25">
      <c r="B27" s="213">
        <v>45582</v>
      </c>
      <c r="C27" s="34" t="s">
        <v>631</v>
      </c>
      <c r="D27" s="34" t="s">
        <v>595</v>
      </c>
      <c r="E27" s="34" t="s">
        <v>616</v>
      </c>
      <c r="F27" s="106">
        <v>1200</v>
      </c>
      <c r="G27" s="214">
        <v>1535000</v>
      </c>
      <c r="H27" s="214">
        <v>535000</v>
      </c>
      <c r="I27" s="216">
        <f>2400/5280</f>
        <v>0.45454545454545453</v>
      </c>
      <c r="J27" s="215">
        <f>535000/0.454545</f>
        <v>1177001.1770011771</v>
      </c>
      <c r="K27" s="215">
        <f t="shared" ref="K27:K32" si="0">G27-H27</f>
        <v>1000000</v>
      </c>
      <c r="L27" s="9"/>
      <c r="M27" s="169"/>
      <c r="O27" s="38">
        <f t="shared" ref="O27:O48" si="1">F27</f>
        <v>1200</v>
      </c>
      <c r="P27" s="1">
        <f>IF(D27="Conceptual",K27,NA())</f>
        <v>1000000</v>
      </c>
      <c r="Q27" s="1" t="e">
        <f>IF(D27="30%",K27,NA())</f>
        <v>#N/A</v>
      </c>
      <c r="R27" s="1" t="e">
        <f>IF(D27="60%",K27,NA())</f>
        <v>#N/A</v>
      </c>
      <c r="S27" s="1" t="e">
        <f>IF(D27="IFC",K27,NA())</f>
        <v>#N/A</v>
      </c>
      <c r="T27" s="1" t="e">
        <f>IF(D27="Actual",K27,NA())</f>
        <v>#N/A</v>
      </c>
    </row>
    <row r="28" spans="2:20" x14ac:dyDescent="0.25">
      <c r="B28" s="213">
        <v>44957</v>
      </c>
      <c r="C28" s="34"/>
      <c r="D28" s="34" t="s">
        <v>596</v>
      </c>
      <c r="E28" s="34" t="s">
        <v>632</v>
      </c>
      <c r="F28" s="106">
        <v>2500</v>
      </c>
      <c r="G28" s="132">
        <v>4096735</v>
      </c>
      <c r="H28" s="132">
        <f>J28*I28</f>
        <v>2025000.0000000002</v>
      </c>
      <c r="I28" s="216">
        <v>2.7</v>
      </c>
      <c r="J28" s="215">
        <v>750000</v>
      </c>
      <c r="K28" s="215">
        <f t="shared" si="0"/>
        <v>2071734.9999999998</v>
      </c>
      <c r="L28" s="9"/>
      <c r="M28" s="169"/>
      <c r="O28" s="38">
        <f t="shared" si="1"/>
        <v>2500</v>
      </c>
      <c r="P28" s="1" t="e">
        <f t="shared" ref="P28:P49" si="2">IF(D28="Conceptual",K28,NA())</f>
        <v>#N/A</v>
      </c>
      <c r="Q28" s="1" t="e">
        <f t="shared" ref="Q28:Q49" si="3">IF(D28="30%",K28,NA())</f>
        <v>#N/A</v>
      </c>
      <c r="R28" s="1" t="e">
        <f t="shared" ref="R28:R49" si="4">IF(D28="60%",K28,NA())</f>
        <v>#N/A</v>
      </c>
      <c r="S28" s="1">
        <f t="shared" ref="S28:S49" si="5">IF(D28="IFC",K28,NA())</f>
        <v>2071734.9999999998</v>
      </c>
      <c r="T28" s="1" t="e">
        <f t="shared" ref="T28:T49" si="6">IF(D28="Actual",K28,NA())</f>
        <v>#N/A</v>
      </c>
    </row>
    <row r="29" spans="2:20" x14ac:dyDescent="0.25">
      <c r="B29" s="213"/>
      <c r="C29" s="34"/>
      <c r="D29" s="34" t="s">
        <v>595</v>
      </c>
      <c r="E29" s="34" t="s">
        <v>633</v>
      </c>
      <c r="F29" s="34">
        <v>800</v>
      </c>
      <c r="G29" s="214">
        <f>2699795+178000</f>
        <v>2877795</v>
      </c>
      <c r="H29" s="214">
        <f>192400+390400</f>
        <v>582800</v>
      </c>
      <c r="I29" s="216">
        <v>0.6</v>
      </c>
      <c r="J29" s="215">
        <f>H29/I29</f>
        <v>971333.33333333337</v>
      </c>
      <c r="K29" s="215">
        <f t="shared" si="0"/>
        <v>2294995</v>
      </c>
      <c r="L29" s="9"/>
      <c r="M29" s="169"/>
      <c r="O29" s="38">
        <f t="shared" si="1"/>
        <v>800</v>
      </c>
      <c r="P29" s="1">
        <f t="shared" si="2"/>
        <v>2294995</v>
      </c>
      <c r="Q29" s="1" t="e">
        <f t="shared" si="3"/>
        <v>#N/A</v>
      </c>
      <c r="R29" s="1" t="e">
        <f t="shared" si="4"/>
        <v>#N/A</v>
      </c>
      <c r="S29" s="1" t="e">
        <f t="shared" si="5"/>
        <v>#N/A</v>
      </c>
      <c r="T29" s="1" t="e">
        <f t="shared" si="6"/>
        <v>#N/A</v>
      </c>
    </row>
    <row r="30" spans="2:20" x14ac:dyDescent="0.25">
      <c r="B30" s="213">
        <v>45603</v>
      </c>
      <c r="C30" s="34" t="s">
        <v>634</v>
      </c>
      <c r="D30" s="34" t="s">
        <v>595</v>
      </c>
      <c r="E30" s="34" t="s">
        <v>601</v>
      </c>
      <c r="F30" s="34">
        <v>800</v>
      </c>
      <c r="G30" s="214">
        <v>3632550</v>
      </c>
      <c r="H30" s="214"/>
      <c r="I30" s="216">
        <v>0</v>
      </c>
      <c r="J30" s="215"/>
      <c r="K30" s="215">
        <f t="shared" si="0"/>
        <v>3632550</v>
      </c>
      <c r="L30" s="96"/>
      <c r="M30" s="238"/>
      <c r="O30" s="38">
        <f t="shared" si="1"/>
        <v>800</v>
      </c>
      <c r="P30" s="1">
        <f t="shared" si="2"/>
        <v>3632550</v>
      </c>
      <c r="Q30" s="1" t="e">
        <f t="shared" si="3"/>
        <v>#N/A</v>
      </c>
      <c r="R30" s="1" t="e">
        <f t="shared" si="4"/>
        <v>#N/A</v>
      </c>
      <c r="S30" s="1" t="e">
        <f t="shared" si="5"/>
        <v>#N/A</v>
      </c>
      <c r="T30" s="1" t="e">
        <f t="shared" si="6"/>
        <v>#N/A</v>
      </c>
    </row>
    <row r="31" spans="2:20" x14ac:dyDescent="0.25">
      <c r="B31" s="213">
        <v>45327</v>
      </c>
      <c r="C31" s="34" t="s">
        <v>635</v>
      </c>
      <c r="D31" s="34" t="s">
        <v>595</v>
      </c>
      <c r="E31" s="34" t="s">
        <v>612</v>
      </c>
      <c r="F31" s="34">
        <v>800</v>
      </c>
      <c r="G31" s="214">
        <v>3500000</v>
      </c>
      <c r="H31" s="214">
        <f>J31*I31</f>
        <v>1140000</v>
      </c>
      <c r="I31" s="216">
        <v>1.52</v>
      </c>
      <c r="J31" s="215">
        <v>750000</v>
      </c>
      <c r="K31" s="215">
        <f t="shared" si="0"/>
        <v>2360000</v>
      </c>
      <c r="L31" s="9"/>
      <c r="M31" s="34"/>
      <c r="O31" s="38">
        <f t="shared" si="1"/>
        <v>800</v>
      </c>
      <c r="P31" s="1">
        <f t="shared" si="2"/>
        <v>2360000</v>
      </c>
      <c r="Q31" s="1" t="e">
        <f t="shared" si="3"/>
        <v>#N/A</v>
      </c>
      <c r="R31" s="1" t="e">
        <f t="shared" si="4"/>
        <v>#N/A</v>
      </c>
      <c r="S31" s="1" t="e">
        <f t="shared" si="5"/>
        <v>#N/A</v>
      </c>
      <c r="T31" s="1" t="e">
        <f t="shared" si="6"/>
        <v>#N/A</v>
      </c>
    </row>
    <row r="32" spans="2:20" x14ac:dyDescent="0.25">
      <c r="B32" s="213"/>
      <c r="C32" s="34"/>
      <c r="D32" s="34" t="s">
        <v>595</v>
      </c>
      <c r="E32" s="34" t="s">
        <v>633</v>
      </c>
      <c r="F32" s="34">
        <v>800</v>
      </c>
      <c r="G32" s="214">
        <v>3700000</v>
      </c>
      <c r="H32" s="214">
        <f>J32*I32</f>
        <v>450000</v>
      </c>
      <c r="I32" s="216">
        <v>0.6</v>
      </c>
      <c r="J32" s="215">
        <v>750000</v>
      </c>
      <c r="K32" s="215">
        <f t="shared" si="0"/>
        <v>3250000</v>
      </c>
      <c r="L32" s="9"/>
      <c r="M32" s="34"/>
      <c r="O32" s="38">
        <f t="shared" si="1"/>
        <v>800</v>
      </c>
      <c r="P32" s="1">
        <f t="shared" si="2"/>
        <v>3250000</v>
      </c>
      <c r="Q32" s="1" t="e">
        <f t="shared" si="3"/>
        <v>#N/A</v>
      </c>
      <c r="R32" s="1" t="e">
        <f t="shared" si="4"/>
        <v>#N/A</v>
      </c>
      <c r="S32" s="1" t="e">
        <f t="shared" si="5"/>
        <v>#N/A</v>
      </c>
      <c r="T32" s="1" t="e">
        <f t="shared" si="6"/>
        <v>#N/A</v>
      </c>
    </row>
    <row r="33" spans="2:20" x14ac:dyDescent="0.25">
      <c r="B33" s="213">
        <v>45757</v>
      </c>
      <c r="C33" s="34" t="s">
        <v>695</v>
      </c>
      <c r="D33" s="34" t="s">
        <v>595</v>
      </c>
      <c r="E33" s="34" t="s">
        <v>616</v>
      </c>
      <c r="F33" s="34">
        <v>1200</v>
      </c>
      <c r="G33" s="214">
        <v>1850000</v>
      </c>
      <c r="H33" s="214">
        <v>1000000</v>
      </c>
      <c r="I33" s="216">
        <v>1</v>
      </c>
      <c r="J33" s="215">
        <v>1000000</v>
      </c>
      <c r="K33" s="273">
        <v>850000</v>
      </c>
      <c r="L33" s="9"/>
      <c r="M33" s="34"/>
      <c r="O33" s="38">
        <f t="shared" si="1"/>
        <v>1200</v>
      </c>
      <c r="P33" s="1">
        <f t="shared" si="2"/>
        <v>850000</v>
      </c>
      <c r="Q33" s="1" t="e">
        <f t="shared" si="3"/>
        <v>#N/A</v>
      </c>
      <c r="R33" s="1" t="e">
        <f t="shared" si="4"/>
        <v>#N/A</v>
      </c>
      <c r="S33" s="1" t="e">
        <f t="shared" si="5"/>
        <v>#N/A</v>
      </c>
      <c r="T33" s="1" t="e">
        <f t="shared" si="6"/>
        <v>#N/A</v>
      </c>
    </row>
    <row r="34" spans="2:20" x14ac:dyDescent="0.25">
      <c r="B34" s="213">
        <v>45820</v>
      </c>
      <c r="C34" s="34" t="s">
        <v>703</v>
      </c>
      <c r="D34" s="34" t="s">
        <v>595</v>
      </c>
      <c r="E34" s="34" t="s">
        <v>704</v>
      </c>
      <c r="F34" s="34">
        <v>800</v>
      </c>
      <c r="G34" s="214">
        <v>3746071</v>
      </c>
      <c r="H34" s="214">
        <f>I34*J34</f>
        <v>37500</v>
      </c>
      <c r="I34" s="216">
        <v>0.05</v>
      </c>
      <c r="J34" s="215">
        <v>750000</v>
      </c>
      <c r="K34" s="215">
        <f>G34-H34</f>
        <v>3708571</v>
      </c>
      <c r="L34" s="9"/>
      <c r="M34" s="34"/>
      <c r="O34" s="38">
        <f t="shared" si="1"/>
        <v>800</v>
      </c>
      <c r="P34" s="1">
        <f t="shared" si="2"/>
        <v>3708571</v>
      </c>
      <c r="Q34" s="1" t="e">
        <f t="shared" si="3"/>
        <v>#N/A</v>
      </c>
      <c r="R34" s="1" t="e">
        <f t="shared" si="4"/>
        <v>#N/A</v>
      </c>
      <c r="S34" s="1" t="e">
        <f t="shared" si="5"/>
        <v>#N/A</v>
      </c>
      <c r="T34" s="1" t="e">
        <f t="shared" si="6"/>
        <v>#N/A</v>
      </c>
    </row>
    <row r="35" spans="2:20" x14ac:dyDescent="0.25">
      <c r="B35" s="213">
        <v>45833</v>
      </c>
      <c r="C35" s="34" t="s">
        <v>695</v>
      </c>
      <c r="D35" s="34" t="s">
        <v>595</v>
      </c>
      <c r="E35" s="34" t="s">
        <v>616</v>
      </c>
      <c r="F35" s="34">
        <v>1200</v>
      </c>
      <c r="G35" s="214">
        <v>3200000</v>
      </c>
      <c r="H35" s="214">
        <v>955710</v>
      </c>
      <c r="I35" s="216">
        <v>1</v>
      </c>
      <c r="J35" s="215">
        <f>H35*I35</f>
        <v>955710</v>
      </c>
      <c r="K35" s="215">
        <f>G35-H35</f>
        <v>2244290</v>
      </c>
      <c r="L35" s="9"/>
      <c r="M35" s="34"/>
      <c r="O35" s="38">
        <f t="shared" si="1"/>
        <v>1200</v>
      </c>
      <c r="P35" s="1">
        <f t="shared" si="2"/>
        <v>2244290</v>
      </c>
      <c r="Q35" s="1" t="e">
        <f t="shared" si="3"/>
        <v>#N/A</v>
      </c>
      <c r="R35" s="1" t="e">
        <f t="shared" si="4"/>
        <v>#N/A</v>
      </c>
      <c r="S35" s="1" t="e">
        <f t="shared" si="5"/>
        <v>#N/A</v>
      </c>
      <c r="T35" s="1" t="e">
        <f t="shared" si="6"/>
        <v>#N/A</v>
      </c>
    </row>
    <row r="36" spans="2:20" x14ac:dyDescent="0.25">
      <c r="B36" s="213">
        <v>45940</v>
      </c>
      <c r="C36" s="34" t="s">
        <v>706</v>
      </c>
      <c r="D36" s="34" t="s">
        <v>595</v>
      </c>
      <c r="E36" s="34" t="s">
        <v>705</v>
      </c>
      <c r="F36" s="34">
        <v>1525</v>
      </c>
      <c r="G36" s="214">
        <v>6529000</v>
      </c>
      <c r="H36" s="214">
        <f>I36*J36</f>
        <v>255000.00000000003</v>
      </c>
      <c r="I36" s="216">
        <v>0.34</v>
      </c>
      <c r="J36" s="215">
        <v>750000</v>
      </c>
      <c r="K36" s="215">
        <f>G36-H36</f>
        <v>6274000</v>
      </c>
      <c r="L36" s="9"/>
      <c r="M36" s="34"/>
      <c r="O36" s="38">
        <f t="shared" si="1"/>
        <v>1525</v>
      </c>
      <c r="P36" s="1">
        <f t="shared" si="2"/>
        <v>6274000</v>
      </c>
      <c r="Q36" s="1" t="e">
        <f t="shared" si="3"/>
        <v>#N/A</v>
      </c>
      <c r="R36" s="1" t="e">
        <f t="shared" si="4"/>
        <v>#N/A</v>
      </c>
      <c r="S36" s="1" t="e">
        <f t="shared" si="5"/>
        <v>#N/A</v>
      </c>
      <c r="T36" s="1" t="e">
        <f t="shared" si="6"/>
        <v>#N/A</v>
      </c>
    </row>
    <row r="37" spans="2:20" x14ac:dyDescent="0.25">
      <c r="B37" s="158"/>
      <c r="C37" s="9"/>
      <c r="D37" s="34"/>
      <c r="E37" s="9"/>
      <c r="F37" s="34"/>
      <c r="G37" s="100"/>
      <c r="H37" s="100"/>
      <c r="I37" s="217"/>
      <c r="J37" s="100"/>
      <c r="K37" s="100"/>
      <c r="L37" s="9"/>
      <c r="M37" s="9"/>
      <c r="O37" s="38">
        <f t="shared" si="1"/>
        <v>0</v>
      </c>
      <c r="P37" s="1" t="e">
        <f t="shared" si="2"/>
        <v>#N/A</v>
      </c>
      <c r="Q37" s="1" t="e">
        <f t="shared" si="3"/>
        <v>#N/A</v>
      </c>
      <c r="R37" s="1" t="e">
        <f t="shared" si="4"/>
        <v>#N/A</v>
      </c>
      <c r="S37" s="1" t="e">
        <f t="shared" si="5"/>
        <v>#N/A</v>
      </c>
      <c r="T37" s="1" t="e">
        <f t="shared" si="6"/>
        <v>#N/A</v>
      </c>
    </row>
    <row r="38" spans="2:20" x14ac:dyDescent="0.25">
      <c r="B38" s="158"/>
      <c r="C38" s="9"/>
      <c r="D38" s="34"/>
      <c r="E38" s="9"/>
      <c r="F38" s="9"/>
      <c r="G38" s="100"/>
      <c r="H38" s="100"/>
      <c r="I38" s="217"/>
      <c r="J38" s="100"/>
      <c r="K38" s="100"/>
      <c r="L38" s="9"/>
      <c r="M38" s="9"/>
      <c r="O38" s="38">
        <f t="shared" si="1"/>
        <v>0</v>
      </c>
      <c r="P38" s="1" t="e">
        <f t="shared" si="2"/>
        <v>#N/A</v>
      </c>
      <c r="Q38" s="1" t="e">
        <f t="shared" si="3"/>
        <v>#N/A</v>
      </c>
      <c r="R38" s="1" t="e">
        <f t="shared" si="4"/>
        <v>#N/A</v>
      </c>
      <c r="S38" s="1" t="e">
        <f t="shared" si="5"/>
        <v>#N/A</v>
      </c>
      <c r="T38" s="1" t="e">
        <f t="shared" si="6"/>
        <v>#N/A</v>
      </c>
    </row>
    <row r="39" spans="2:20" x14ac:dyDescent="0.25">
      <c r="B39" s="158"/>
      <c r="C39" s="9"/>
      <c r="D39" s="34"/>
      <c r="E39" s="9"/>
      <c r="F39" s="9"/>
      <c r="G39" s="100"/>
      <c r="H39" s="100"/>
      <c r="I39" s="217"/>
      <c r="J39" s="100"/>
      <c r="K39" s="100"/>
      <c r="L39" s="9"/>
      <c r="M39" s="9"/>
      <c r="O39" s="38">
        <f t="shared" si="1"/>
        <v>0</v>
      </c>
      <c r="P39" s="1" t="e">
        <f t="shared" si="2"/>
        <v>#N/A</v>
      </c>
      <c r="Q39" s="1" t="e">
        <f t="shared" si="3"/>
        <v>#N/A</v>
      </c>
      <c r="R39" s="1" t="e">
        <f t="shared" si="4"/>
        <v>#N/A</v>
      </c>
      <c r="S39" s="1" t="e">
        <f t="shared" si="5"/>
        <v>#N/A</v>
      </c>
      <c r="T39" s="1" t="e">
        <f t="shared" si="6"/>
        <v>#N/A</v>
      </c>
    </row>
    <row r="40" spans="2:20" x14ac:dyDescent="0.25">
      <c r="B40" s="158"/>
      <c r="C40" s="9"/>
      <c r="D40" s="34"/>
      <c r="E40" s="9"/>
      <c r="F40" s="9"/>
      <c r="G40" s="100"/>
      <c r="H40" s="100"/>
      <c r="I40" s="217"/>
      <c r="J40" s="100"/>
      <c r="K40" s="100"/>
      <c r="L40" s="9"/>
      <c r="M40" s="9"/>
      <c r="O40" s="38">
        <f t="shared" si="1"/>
        <v>0</v>
      </c>
      <c r="P40" s="1" t="e">
        <f t="shared" si="2"/>
        <v>#N/A</v>
      </c>
      <c r="Q40" s="1" t="e">
        <f t="shared" si="3"/>
        <v>#N/A</v>
      </c>
      <c r="R40" s="1" t="e">
        <f t="shared" si="4"/>
        <v>#N/A</v>
      </c>
      <c r="S40" s="1" t="e">
        <f t="shared" si="5"/>
        <v>#N/A</v>
      </c>
      <c r="T40" s="1" t="e">
        <f t="shared" si="6"/>
        <v>#N/A</v>
      </c>
    </row>
    <row r="41" spans="2:20" x14ac:dyDescent="0.25">
      <c r="B41" s="158"/>
      <c r="C41" s="9"/>
      <c r="D41" s="34"/>
      <c r="E41" s="9"/>
      <c r="F41" s="9"/>
      <c r="G41" s="100"/>
      <c r="H41" s="100"/>
      <c r="I41" s="217"/>
      <c r="J41" s="100"/>
      <c r="K41" s="100"/>
      <c r="L41" s="9"/>
      <c r="M41" s="9"/>
      <c r="O41" s="38">
        <f t="shared" si="1"/>
        <v>0</v>
      </c>
      <c r="P41" s="1" t="e">
        <f t="shared" si="2"/>
        <v>#N/A</v>
      </c>
      <c r="Q41" s="1" t="e">
        <f t="shared" si="3"/>
        <v>#N/A</v>
      </c>
      <c r="R41" s="1" t="e">
        <f t="shared" si="4"/>
        <v>#N/A</v>
      </c>
      <c r="S41" s="1" t="e">
        <f t="shared" si="5"/>
        <v>#N/A</v>
      </c>
      <c r="T41" s="1" t="e">
        <f t="shared" si="6"/>
        <v>#N/A</v>
      </c>
    </row>
    <row r="42" spans="2:20" x14ac:dyDescent="0.25">
      <c r="B42" s="158"/>
      <c r="C42" s="9"/>
      <c r="D42" s="34"/>
      <c r="E42" s="9"/>
      <c r="F42" s="9"/>
      <c r="G42" s="100"/>
      <c r="H42" s="100"/>
      <c r="I42" s="217"/>
      <c r="J42" s="100"/>
      <c r="K42" s="100"/>
      <c r="L42" s="9"/>
      <c r="M42" s="9"/>
      <c r="O42" s="38">
        <f t="shared" si="1"/>
        <v>0</v>
      </c>
      <c r="P42" s="1" t="e">
        <f t="shared" si="2"/>
        <v>#N/A</v>
      </c>
      <c r="Q42" s="1" t="e">
        <f t="shared" si="3"/>
        <v>#N/A</v>
      </c>
      <c r="R42" s="1" t="e">
        <f t="shared" si="4"/>
        <v>#N/A</v>
      </c>
      <c r="S42" s="1" t="e">
        <f t="shared" si="5"/>
        <v>#N/A</v>
      </c>
      <c r="T42" s="1" t="e">
        <f t="shared" si="6"/>
        <v>#N/A</v>
      </c>
    </row>
    <row r="43" spans="2:20" x14ac:dyDescent="0.25">
      <c r="B43" s="158"/>
      <c r="C43" s="9"/>
      <c r="D43" s="34"/>
      <c r="E43" s="9"/>
      <c r="F43" s="9"/>
      <c r="G43" s="100"/>
      <c r="H43" s="100"/>
      <c r="I43" s="217"/>
      <c r="J43" s="100"/>
      <c r="K43" s="100"/>
      <c r="L43" s="9"/>
      <c r="M43" s="9"/>
      <c r="O43" s="38">
        <f t="shared" si="1"/>
        <v>0</v>
      </c>
      <c r="P43" s="1" t="e">
        <f t="shared" si="2"/>
        <v>#N/A</v>
      </c>
      <c r="Q43" s="1" t="e">
        <f t="shared" si="3"/>
        <v>#N/A</v>
      </c>
      <c r="R43" s="1" t="e">
        <f t="shared" si="4"/>
        <v>#N/A</v>
      </c>
      <c r="S43" s="1" t="e">
        <f t="shared" si="5"/>
        <v>#N/A</v>
      </c>
      <c r="T43" s="1" t="e">
        <f t="shared" si="6"/>
        <v>#N/A</v>
      </c>
    </row>
    <row r="44" spans="2:20" x14ac:dyDescent="0.25">
      <c r="B44" s="158"/>
      <c r="C44" s="9"/>
      <c r="D44" s="34"/>
      <c r="E44" s="9"/>
      <c r="F44" s="9"/>
      <c r="G44" s="100"/>
      <c r="H44" s="100"/>
      <c r="I44" s="217"/>
      <c r="J44" s="100"/>
      <c r="K44" s="100"/>
      <c r="L44" s="9"/>
      <c r="M44" s="9"/>
      <c r="O44" s="38">
        <f t="shared" si="1"/>
        <v>0</v>
      </c>
      <c r="P44" s="1" t="e">
        <f t="shared" si="2"/>
        <v>#N/A</v>
      </c>
      <c r="Q44" s="1" t="e">
        <f t="shared" si="3"/>
        <v>#N/A</v>
      </c>
      <c r="R44" s="1" t="e">
        <f t="shared" si="4"/>
        <v>#N/A</v>
      </c>
      <c r="S44" s="1" t="e">
        <f t="shared" si="5"/>
        <v>#N/A</v>
      </c>
      <c r="T44" s="1" t="e">
        <f t="shared" si="6"/>
        <v>#N/A</v>
      </c>
    </row>
    <row r="45" spans="2:20" x14ac:dyDescent="0.25">
      <c r="B45" s="158"/>
      <c r="C45" s="9"/>
      <c r="D45" s="34"/>
      <c r="E45" s="9"/>
      <c r="F45" s="9"/>
      <c r="G45" s="100"/>
      <c r="H45" s="100"/>
      <c r="I45" s="217"/>
      <c r="J45" s="100"/>
      <c r="K45" s="100"/>
      <c r="L45" s="9"/>
      <c r="M45" s="9"/>
      <c r="O45" s="38">
        <f t="shared" si="1"/>
        <v>0</v>
      </c>
      <c r="P45" s="1" t="e">
        <f t="shared" si="2"/>
        <v>#N/A</v>
      </c>
      <c r="Q45" s="1" t="e">
        <f t="shared" si="3"/>
        <v>#N/A</v>
      </c>
      <c r="R45" s="1" t="e">
        <f t="shared" si="4"/>
        <v>#N/A</v>
      </c>
      <c r="S45" s="1" t="e">
        <f t="shared" si="5"/>
        <v>#N/A</v>
      </c>
      <c r="T45" s="1" t="e">
        <f t="shared" si="6"/>
        <v>#N/A</v>
      </c>
    </row>
    <row r="46" spans="2:20" x14ac:dyDescent="0.25">
      <c r="B46" s="158"/>
      <c r="C46" s="9"/>
      <c r="D46" s="34"/>
      <c r="E46" s="9"/>
      <c r="F46" s="9"/>
      <c r="G46" s="100"/>
      <c r="H46" s="100"/>
      <c r="I46" s="217"/>
      <c r="J46" s="100"/>
      <c r="K46" s="100"/>
      <c r="L46" s="9"/>
      <c r="M46" s="9"/>
      <c r="O46" s="38">
        <f t="shared" si="1"/>
        <v>0</v>
      </c>
      <c r="P46" s="1" t="e">
        <f t="shared" si="2"/>
        <v>#N/A</v>
      </c>
      <c r="Q46" s="1" t="e">
        <f t="shared" si="3"/>
        <v>#N/A</v>
      </c>
      <c r="R46" s="1" t="e">
        <f t="shared" si="4"/>
        <v>#N/A</v>
      </c>
      <c r="S46" s="1" t="e">
        <f t="shared" si="5"/>
        <v>#N/A</v>
      </c>
      <c r="T46" s="1" t="e">
        <f t="shared" si="6"/>
        <v>#N/A</v>
      </c>
    </row>
    <row r="47" spans="2:20" x14ac:dyDescent="0.25">
      <c r="B47" s="158"/>
      <c r="C47" s="9"/>
      <c r="D47" s="34"/>
      <c r="E47" s="9"/>
      <c r="F47" s="9"/>
      <c r="G47" s="100"/>
      <c r="H47" s="100"/>
      <c r="I47" s="217"/>
      <c r="J47" s="100"/>
      <c r="K47" s="100"/>
      <c r="L47" s="9"/>
      <c r="M47" s="9"/>
      <c r="O47" s="38">
        <f t="shared" si="1"/>
        <v>0</v>
      </c>
      <c r="P47" s="1" t="e">
        <f t="shared" si="2"/>
        <v>#N/A</v>
      </c>
      <c r="Q47" s="1" t="e">
        <f t="shared" si="3"/>
        <v>#N/A</v>
      </c>
      <c r="R47" s="1" t="e">
        <f t="shared" si="4"/>
        <v>#N/A</v>
      </c>
      <c r="S47" s="1" t="e">
        <f t="shared" si="5"/>
        <v>#N/A</v>
      </c>
      <c r="T47" s="1" t="e">
        <f t="shared" si="6"/>
        <v>#N/A</v>
      </c>
    </row>
    <row r="48" spans="2:20" x14ac:dyDescent="0.25">
      <c r="B48" s="158"/>
      <c r="C48" s="9"/>
      <c r="D48" s="34"/>
      <c r="E48" s="9"/>
      <c r="F48" s="9"/>
      <c r="G48" s="100"/>
      <c r="H48" s="100"/>
      <c r="I48" s="217"/>
      <c r="J48" s="100"/>
      <c r="K48" s="9"/>
      <c r="L48" s="9"/>
      <c r="M48" s="9"/>
      <c r="O48" s="38">
        <f t="shared" si="1"/>
        <v>0</v>
      </c>
      <c r="P48" s="1" t="e">
        <f t="shared" si="2"/>
        <v>#N/A</v>
      </c>
      <c r="Q48" s="1" t="e">
        <f t="shared" si="3"/>
        <v>#N/A</v>
      </c>
      <c r="R48" s="1" t="e">
        <f t="shared" si="4"/>
        <v>#N/A</v>
      </c>
      <c r="S48" s="1" t="e">
        <f t="shared" si="5"/>
        <v>#N/A</v>
      </c>
      <c r="T48" s="1" t="e">
        <f t="shared" si="6"/>
        <v>#N/A</v>
      </c>
    </row>
    <row r="49" spans="2:20" x14ac:dyDescent="0.25">
      <c r="B49" s="43" t="s">
        <v>636</v>
      </c>
      <c r="C49" s="43"/>
      <c r="D49" s="43"/>
      <c r="E49" s="43"/>
      <c r="F49" s="43"/>
      <c r="G49" s="43"/>
      <c r="H49" s="43"/>
      <c r="I49" s="43"/>
      <c r="J49" s="240">
        <f>AVERAGE(J27:J48)</f>
        <v>872671.61225939007</v>
      </c>
      <c r="K49" s="239">
        <f>AVERAGE(K27:K48)</f>
        <v>2768614.1</v>
      </c>
      <c r="L49" s="43"/>
      <c r="M49" s="43"/>
      <c r="N49" s="9"/>
      <c r="P49" s="1" t="e">
        <f t="shared" si="2"/>
        <v>#N/A</v>
      </c>
      <c r="Q49" s="1" t="e">
        <f t="shared" si="3"/>
        <v>#N/A</v>
      </c>
      <c r="R49" s="1" t="e">
        <f t="shared" si="4"/>
        <v>#N/A</v>
      </c>
      <c r="S49" s="1" t="e">
        <f t="shared" si="5"/>
        <v>#N/A</v>
      </c>
      <c r="T49" s="1" t="e">
        <f t="shared" si="6"/>
        <v>#N/A</v>
      </c>
    </row>
    <row r="50" spans="2:20" x14ac:dyDescent="0.25">
      <c r="S50" s="1"/>
    </row>
    <row r="53" spans="2:20" x14ac:dyDescent="0.25">
      <c r="K53" s="269"/>
    </row>
    <row r="56" spans="2:20" x14ac:dyDescent="0.25">
      <c r="Q56" t="s">
        <v>622</v>
      </c>
    </row>
    <row r="57" spans="2:20" x14ac:dyDescent="0.25">
      <c r="Q57" t="s">
        <v>623</v>
      </c>
    </row>
  </sheetData>
  <conditionalFormatting sqref="B27:M48">
    <cfRule type="expression" dxfId="1" priority="1">
      <formula>MOD(ROW(),2)=0</formula>
    </cfRule>
  </conditionalFormatting>
  <conditionalFormatting sqref="N49">
    <cfRule type="expression" dxfId="0" priority="2">
      <formula>MOD(ROW(),2)=0</formula>
    </cfRule>
  </conditionalFormatting>
  <dataValidations count="1">
    <dataValidation type="list" allowBlank="1" showInputMessage="1" showErrorMessage="1" sqref="D27:D48" xr:uid="{9D5DFD1E-B8B1-4526-A967-7067F9B0E769}">
      <formula1>$P$26:$T$26</formula1>
    </dataValidation>
  </dataValidations>
  <pageMargins left="0.7" right="0.7" top="0.75" bottom="0.75" header="0.3" footer="0.3"/>
  <drawing r:id="rId1"/>
  <legacy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7A1D8-C0AF-4707-BC57-81141E358094}">
  <sheetPr>
    <pageSetUpPr fitToPage="1"/>
  </sheetPr>
  <dimension ref="B2:U41"/>
  <sheetViews>
    <sheetView showGridLines="0" view="pageBreakPreview" zoomScaleNormal="100" zoomScaleSheetLayoutView="100" workbookViewId="0">
      <selection activeCell="I10" sqref="I10"/>
    </sheetView>
  </sheetViews>
  <sheetFormatPr defaultRowHeight="15" x14ac:dyDescent="0.25"/>
  <cols>
    <col min="1" max="2" width="1.7109375" customWidth="1"/>
    <col min="3" max="3" width="5.7109375" customWidth="1"/>
    <col min="4" max="4" width="32.7109375" customWidth="1"/>
    <col min="6" max="6" width="2.7109375" customWidth="1"/>
    <col min="7" max="7" width="9.140625" style="28"/>
    <col min="8" max="8" width="2.7109375" style="28" customWidth="1"/>
    <col min="9" max="9" width="13.85546875" customWidth="1"/>
    <col min="15" max="15" width="3.7109375" customWidth="1"/>
    <col min="17" max="17" width="18.7109375" customWidth="1"/>
    <col min="18" max="21" width="12.7109375" customWidth="1"/>
    <col min="22" max="22" width="3.7109375" customWidth="1"/>
  </cols>
  <sheetData>
    <row r="2" spans="2:21" x14ac:dyDescent="0.25">
      <c r="B2" s="3" t="s">
        <v>637</v>
      </c>
    </row>
    <row r="4" spans="2:21" ht="17.25" x14ac:dyDescent="0.4">
      <c r="D4" s="43" t="s">
        <v>638</v>
      </c>
      <c r="E4" s="41" t="s">
        <v>639</v>
      </c>
      <c r="F4" s="41"/>
      <c r="G4" s="41" t="s">
        <v>640</v>
      </c>
      <c r="H4" s="41"/>
      <c r="I4" s="41" t="s">
        <v>641</v>
      </c>
      <c r="J4" s="211" t="s">
        <v>3</v>
      </c>
      <c r="K4" s="181"/>
      <c r="L4" s="181"/>
      <c r="M4" s="181"/>
      <c r="N4" s="181"/>
      <c r="P4" s="41" t="s">
        <v>639</v>
      </c>
      <c r="Q4" s="211" t="s">
        <v>642</v>
      </c>
      <c r="R4" s="211"/>
      <c r="S4" s="211"/>
      <c r="T4" s="211"/>
      <c r="U4" s="211"/>
    </row>
    <row r="6" spans="2:21" s="3" customFormat="1" x14ac:dyDescent="0.25">
      <c r="D6" t="s">
        <v>74</v>
      </c>
      <c r="E6"/>
      <c r="F6"/>
      <c r="G6" s="28"/>
      <c r="H6" s="28"/>
      <c r="I6" s="177">
        <f>'Pretty Picture'!$V$10</f>
        <v>6747182.176721313</v>
      </c>
      <c r="P6" s="182" t="s">
        <v>643</v>
      </c>
      <c r="Q6" s="185" t="s">
        <v>644</v>
      </c>
      <c r="R6" s="186"/>
      <c r="S6" s="186"/>
      <c r="T6" s="186"/>
      <c r="U6" s="186"/>
    </row>
    <row r="7" spans="2:21" s="3" customFormat="1" x14ac:dyDescent="0.25">
      <c r="D7" t="s">
        <v>645</v>
      </c>
      <c r="E7"/>
      <c r="F7"/>
      <c r="G7" s="28"/>
      <c r="H7" s="28"/>
      <c r="I7" s="177">
        <f>'Pretty Picture'!$V$20</f>
        <v>7231469.9837197978</v>
      </c>
      <c r="Q7" s="187"/>
      <c r="R7" s="188" t="s">
        <v>646</v>
      </c>
      <c r="S7" s="188" t="s">
        <v>647</v>
      </c>
      <c r="T7" s="188" t="s">
        <v>648</v>
      </c>
      <c r="U7" s="188" t="s">
        <v>2</v>
      </c>
    </row>
    <row r="8" spans="2:21" x14ac:dyDescent="0.25">
      <c r="D8" t="s">
        <v>96</v>
      </c>
      <c r="I8" s="177">
        <f>'Pretty Picture'!V29</f>
        <v>4046804.9792531119</v>
      </c>
      <c r="P8" s="3"/>
      <c r="Q8" s="187"/>
      <c r="R8" s="189" t="s">
        <v>649</v>
      </c>
      <c r="S8" s="189" t="s">
        <v>650</v>
      </c>
      <c r="T8" s="189" t="s">
        <v>651</v>
      </c>
      <c r="U8" s="189" t="s">
        <v>649</v>
      </c>
    </row>
    <row r="9" spans="2:21" s="3" customFormat="1" x14ac:dyDescent="0.25">
      <c r="D9" t="s">
        <v>652</v>
      </c>
      <c r="E9"/>
      <c r="F9"/>
      <c r="G9" s="28"/>
      <c r="H9" s="28"/>
      <c r="I9" s="177">
        <f>'Pretty Picture'!V25</f>
        <v>2697879.8669651346</v>
      </c>
      <c r="P9"/>
      <c r="Q9" s="186" t="s">
        <v>653</v>
      </c>
      <c r="R9" s="190">
        <f>200*1.5</f>
        <v>300</v>
      </c>
      <c r="S9" s="191">
        <v>0.2</v>
      </c>
      <c r="T9" s="192">
        <f>12*1.5</f>
        <v>18</v>
      </c>
      <c r="U9" s="193">
        <f>R9/12*T9*S9</f>
        <v>90</v>
      </c>
    </row>
    <row r="10" spans="2:21" x14ac:dyDescent="0.25">
      <c r="D10" s="175" t="s">
        <v>654</v>
      </c>
      <c r="E10" s="175"/>
      <c r="F10" s="175"/>
      <c r="G10" s="176"/>
      <c r="H10" s="176"/>
      <c r="I10" s="178">
        <f>SUM(I6:I9)</f>
        <v>20723337.006659359</v>
      </c>
      <c r="P10" s="3"/>
      <c r="Q10" s="186" t="s">
        <v>655</v>
      </c>
      <c r="R10" s="190">
        <f>165*1.5</f>
        <v>247.5</v>
      </c>
      <c r="S10" s="191">
        <v>1</v>
      </c>
      <c r="T10" s="192">
        <v>14</v>
      </c>
      <c r="U10" s="193">
        <f>R10/12*T10*S10</f>
        <v>288.75</v>
      </c>
    </row>
    <row r="11" spans="2:21" x14ac:dyDescent="0.25">
      <c r="Q11" s="186" t="s">
        <v>656</v>
      </c>
      <c r="R11" s="190">
        <f>125*1.5</f>
        <v>187.5</v>
      </c>
      <c r="S11" s="191">
        <v>1</v>
      </c>
      <c r="T11" s="192">
        <v>12</v>
      </c>
      <c r="U11" s="193">
        <f>R11/12*T11*S11</f>
        <v>187.5</v>
      </c>
    </row>
    <row r="12" spans="2:21" ht="14.65" customHeight="1" x14ac:dyDescent="0.25">
      <c r="Q12" s="186" t="s">
        <v>657</v>
      </c>
      <c r="R12" s="190">
        <f>5*12</f>
        <v>60</v>
      </c>
      <c r="S12" s="191">
        <v>1</v>
      </c>
      <c r="T12" s="192">
        <v>14</v>
      </c>
      <c r="U12" s="193">
        <f>R12/12*T12*S12</f>
        <v>70</v>
      </c>
    </row>
    <row r="13" spans="2:21" ht="14.65" customHeight="1" thickBot="1" x14ac:dyDescent="0.3">
      <c r="D13" t="s">
        <v>99</v>
      </c>
      <c r="I13" s="253">
        <v>250000</v>
      </c>
      <c r="J13" s="172" t="s">
        <v>658</v>
      </c>
      <c r="Q13" s="194" t="s">
        <v>53</v>
      </c>
      <c r="R13" s="195">
        <f>5*12</f>
        <v>60</v>
      </c>
      <c r="S13" s="196">
        <v>1</v>
      </c>
      <c r="T13" s="197">
        <v>14</v>
      </c>
      <c r="U13" s="198">
        <f>R13/12*T13*S13</f>
        <v>70</v>
      </c>
    </row>
    <row r="14" spans="2:21" ht="14.65" customHeight="1" x14ac:dyDescent="0.25">
      <c r="D14" t="s">
        <v>100</v>
      </c>
      <c r="G14" s="183">
        <v>1.4999999999999999E-2</v>
      </c>
      <c r="H14" s="174"/>
      <c r="I14" s="179">
        <f>$G14*$I$10</f>
        <v>310850.05509989039</v>
      </c>
      <c r="J14" s="172" t="s">
        <v>659</v>
      </c>
      <c r="Q14" s="199" t="s">
        <v>105</v>
      </c>
      <c r="R14" s="186"/>
      <c r="S14" s="186"/>
      <c r="T14" s="186"/>
      <c r="U14" s="200">
        <f>SUM(U9:U13)</f>
        <v>706.25</v>
      </c>
    </row>
    <row r="15" spans="2:21" ht="14.65" customHeight="1" x14ac:dyDescent="0.25">
      <c r="D15" t="s">
        <v>101</v>
      </c>
      <c r="E15" s="182" t="s">
        <v>660</v>
      </c>
      <c r="F15" s="180"/>
      <c r="G15" s="184"/>
      <c r="H15" s="173"/>
      <c r="I15" s="179">
        <v>1360000</v>
      </c>
      <c r="J15" s="172" t="s">
        <v>756</v>
      </c>
    </row>
    <row r="16" spans="2:21" ht="14.65" customHeight="1" x14ac:dyDescent="0.25">
      <c r="D16" s="226" t="s">
        <v>102</v>
      </c>
      <c r="E16" s="252"/>
      <c r="G16" s="183">
        <v>0.03</v>
      </c>
      <c r="H16" s="174"/>
      <c r="I16" s="179">
        <f>$G16*$I$10</f>
        <v>621700.11019978079</v>
      </c>
      <c r="J16" s="172" t="s">
        <v>661</v>
      </c>
    </row>
    <row r="17" spans="4:21" ht="14.65" customHeight="1" x14ac:dyDescent="0.25">
      <c r="D17" t="s">
        <v>135</v>
      </c>
      <c r="E17" s="3"/>
      <c r="G17" s="183">
        <v>0</v>
      </c>
      <c r="H17" s="174"/>
      <c r="I17" s="253">
        <f>$G17*$I$10</f>
        <v>0</v>
      </c>
      <c r="J17" s="172" t="s">
        <v>662</v>
      </c>
    </row>
    <row r="18" spans="4:21" ht="14.65" customHeight="1" x14ac:dyDescent="0.25">
      <c r="D18" t="s">
        <v>103</v>
      </c>
      <c r="E18" s="182" t="s">
        <v>663</v>
      </c>
      <c r="F18" s="180"/>
      <c r="G18" s="184"/>
      <c r="I18" s="179">
        <v>426000</v>
      </c>
      <c r="J18" s="172" t="s">
        <v>756</v>
      </c>
    </row>
    <row r="19" spans="4:21" ht="14.65" customHeight="1" x14ac:dyDescent="0.25">
      <c r="D19" t="s">
        <v>757</v>
      </c>
      <c r="E19" s="182"/>
      <c r="F19" s="180"/>
      <c r="G19" s="184"/>
      <c r="I19" s="179">
        <v>247000</v>
      </c>
      <c r="J19" s="172" t="s">
        <v>756</v>
      </c>
    </row>
    <row r="20" spans="4:21" ht="14.65" customHeight="1" x14ac:dyDescent="0.25">
      <c r="D20" t="s">
        <v>30</v>
      </c>
      <c r="E20" s="182"/>
      <c r="F20" s="180"/>
      <c r="G20" s="183">
        <v>7.4999999999999997E-2</v>
      </c>
      <c r="I20" s="179">
        <f>$G$20*$I$10</f>
        <v>1554250.2754994519</v>
      </c>
      <c r="J20" s="172" t="s">
        <v>661</v>
      </c>
    </row>
    <row r="21" spans="4:21" x14ac:dyDescent="0.25">
      <c r="E21" s="3"/>
      <c r="I21" s="171"/>
      <c r="P21" s="182" t="s">
        <v>664</v>
      </c>
      <c r="Q21" s="185" t="s">
        <v>103</v>
      </c>
      <c r="R21" s="186"/>
      <c r="S21" s="186"/>
      <c r="T21" s="186"/>
      <c r="U21" s="186"/>
    </row>
    <row r="22" spans="4:21" x14ac:dyDescent="0.25">
      <c r="D22" s="175" t="s">
        <v>136</v>
      </c>
      <c r="E22" s="175"/>
      <c r="F22" s="175"/>
      <c r="G22" s="176"/>
      <c r="H22" s="176"/>
      <c r="I22" s="178">
        <f>SUM(I13:I21)</f>
        <v>4769800.4407991227</v>
      </c>
      <c r="Q22" s="187"/>
      <c r="R22" s="188" t="s">
        <v>646</v>
      </c>
      <c r="S22" s="188" t="s">
        <v>647</v>
      </c>
      <c r="T22" s="188" t="s">
        <v>648</v>
      </c>
      <c r="U22" s="188" t="s">
        <v>2</v>
      </c>
    </row>
    <row r="23" spans="4:21" x14ac:dyDescent="0.25">
      <c r="E23" s="3"/>
      <c r="I23" s="171"/>
      <c r="Q23" s="187"/>
      <c r="R23" s="189" t="s">
        <v>649</v>
      </c>
      <c r="S23" s="189" t="s">
        <v>650</v>
      </c>
      <c r="T23" s="189" t="s">
        <v>651</v>
      </c>
      <c r="U23" s="189" t="s">
        <v>649</v>
      </c>
    </row>
    <row r="24" spans="4:21" x14ac:dyDescent="0.25">
      <c r="E24" s="3"/>
      <c r="Q24" s="186" t="s">
        <v>665</v>
      </c>
      <c r="R24" s="190">
        <v>150</v>
      </c>
      <c r="S24" s="191">
        <v>1</v>
      </c>
      <c r="T24" s="192">
        <v>6</v>
      </c>
      <c r="U24" s="193">
        <f>R24/12*T24*S24</f>
        <v>75</v>
      </c>
    </row>
    <row r="25" spans="4:21" x14ac:dyDescent="0.25">
      <c r="E25" s="3"/>
      <c r="Q25" s="186" t="s">
        <v>666</v>
      </c>
      <c r="R25" s="190">
        <v>150</v>
      </c>
      <c r="S25" s="191">
        <v>1</v>
      </c>
      <c r="T25" s="192">
        <v>4</v>
      </c>
      <c r="U25" s="193">
        <f>R25/12*T25*S25</f>
        <v>50</v>
      </c>
    </row>
    <row r="26" spans="4:21" ht="15.75" thickBot="1" x14ac:dyDescent="0.3">
      <c r="E26" s="3"/>
      <c r="Q26" s="194" t="s">
        <v>667</v>
      </c>
      <c r="R26" s="195">
        <v>15</v>
      </c>
      <c r="S26" s="196">
        <v>1</v>
      </c>
      <c r="T26" s="197">
        <v>12</v>
      </c>
      <c r="U26" s="198">
        <f>R26/12*T26*S26</f>
        <v>15</v>
      </c>
    </row>
    <row r="27" spans="4:21" x14ac:dyDescent="0.25">
      <c r="D27" t="s">
        <v>668</v>
      </c>
      <c r="E27" s="182" t="s">
        <v>669</v>
      </c>
      <c r="G27" s="173">
        <f>$S$41</f>
        <v>5.8333333333333348E-2</v>
      </c>
      <c r="I27" s="212">
        <f>$G$27*SUM(I6:I7)</f>
        <v>815421.37602573168</v>
      </c>
      <c r="J27" s="172" t="s">
        <v>670</v>
      </c>
      <c r="Q27" s="199" t="s">
        <v>105</v>
      </c>
      <c r="R27" s="186"/>
      <c r="S27" s="186"/>
      <c r="T27" s="186"/>
      <c r="U27" s="200">
        <f>SUM(U24:U26)</f>
        <v>140</v>
      </c>
    </row>
    <row r="29" spans="4:21" x14ac:dyDescent="0.25">
      <c r="P29" s="182" t="s">
        <v>669</v>
      </c>
      <c r="Q29" s="230" t="s">
        <v>671</v>
      </c>
      <c r="R29" s="186"/>
      <c r="S29" s="186"/>
      <c r="T29" s="186"/>
    </row>
    <row r="30" spans="4:21" x14ac:dyDescent="0.25">
      <c r="Q30" s="231"/>
      <c r="R30" s="232"/>
      <c r="S30" s="232"/>
      <c r="T30" s="186"/>
    </row>
    <row r="31" spans="4:21" x14ac:dyDescent="0.25">
      <c r="Q31" s="201" t="s">
        <v>672</v>
      </c>
      <c r="R31" s="233"/>
      <c r="S31" s="233"/>
      <c r="T31" s="186"/>
    </row>
    <row r="32" spans="4:21" x14ac:dyDescent="0.25">
      <c r="Q32" s="199" t="s">
        <v>673</v>
      </c>
      <c r="R32" s="186" t="s">
        <v>523</v>
      </c>
      <c r="S32" s="202">
        <f>EOMONTH('Pretty Picture'!E7,16)</f>
        <v>46568</v>
      </c>
      <c r="T32" s="199" t="s">
        <v>674</v>
      </c>
    </row>
    <row r="33" spans="17:20" x14ac:dyDescent="0.25">
      <c r="Q33" s="186" t="s">
        <v>675</v>
      </c>
      <c r="R33" s="186" t="s">
        <v>650</v>
      </c>
      <c r="S33" s="203">
        <v>2.5000000000000001E-2</v>
      </c>
      <c r="T33" s="186"/>
    </row>
    <row r="34" spans="17:20" x14ac:dyDescent="0.25">
      <c r="Q34" s="186" t="s">
        <v>676</v>
      </c>
      <c r="R34" s="186" t="s">
        <v>651</v>
      </c>
      <c r="S34" s="204">
        <f>DATEDIF(R40, S40,"m")</f>
        <v>28</v>
      </c>
      <c r="T34" s="186"/>
    </row>
    <row r="35" spans="17:20" ht="15.75" thickBot="1" x14ac:dyDescent="0.3">
      <c r="Q35" s="194" t="s">
        <v>677</v>
      </c>
      <c r="R35" s="194" t="s">
        <v>209</v>
      </c>
      <c r="S35" s="205">
        <f>1+(S33*S34/12)</f>
        <v>1.0583333333333333</v>
      </c>
      <c r="T35" s="186"/>
    </row>
    <row r="36" spans="17:20" x14ac:dyDescent="0.25">
      <c r="Q36" s="186"/>
      <c r="R36" s="186"/>
      <c r="S36" s="186"/>
      <c r="T36" s="186"/>
    </row>
    <row r="37" spans="17:20" x14ac:dyDescent="0.25">
      <c r="Q37" s="201"/>
      <c r="R37" s="206" t="s">
        <v>678</v>
      </c>
      <c r="S37" s="206" t="s">
        <v>679</v>
      </c>
      <c r="T37" s="186"/>
    </row>
    <row r="38" spans="17:20" x14ac:dyDescent="0.25">
      <c r="Q38" s="186" t="s">
        <v>551</v>
      </c>
      <c r="R38" s="234">
        <v>319.08199999999999</v>
      </c>
      <c r="S38" s="207">
        <f>R38*S35</f>
        <v>337.69511666666665</v>
      </c>
      <c r="T38" s="208"/>
    </row>
    <row r="39" spans="17:20" x14ac:dyDescent="0.25">
      <c r="Q39" s="186" t="s">
        <v>680</v>
      </c>
      <c r="R39" s="235">
        <v>45689</v>
      </c>
      <c r="S39" s="236">
        <f>S32</f>
        <v>46568</v>
      </c>
      <c r="T39" s="208"/>
    </row>
    <row r="40" spans="17:20" ht="15.75" thickBot="1" x14ac:dyDescent="0.3">
      <c r="Q40" s="194" t="s">
        <v>681</v>
      </c>
      <c r="R40" s="237">
        <f>EOMONTH(R39,0)</f>
        <v>45716</v>
      </c>
      <c r="S40" s="237">
        <f>EOMONTH(S39,0)</f>
        <v>46568</v>
      </c>
      <c r="T40" s="208"/>
    </row>
    <row r="41" spans="17:20" x14ac:dyDescent="0.25">
      <c r="Q41" s="209" t="s">
        <v>682</v>
      </c>
      <c r="R41" s="186"/>
      <c r="S41" s="210">
        <f>S38/R38-1</f>
        <v>5.8333333333333348E-2</v>
      </c>
      <c r="T41" s="208"/>
    </row>
  </sheetData>
  <pageMargins left="0.7" right="0.7" top="0.75" bottom="0.75" header="0.3" footer="0.3"/>
  <pageSetup scale="43" fitToHeight="0"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8C70E1-CB7A-4551-BE6C-C6ADA295988A}">
  <sheetPr>
    <pageSetUpPr fitToPage="1"/>
  </sheetPr>
  <dimension ref="A1:L32"/>
  <sheetViews>
    <sheetView showGridLines="0" view="pageBreakPreview" zoomScaleNormal="100" zoomScaleSheetLayoutView="100" workbookViewId="0">
      <selection activeCell="G31" sqref="G31"/>
    </sheetView>
  </sheetViews>
  <sheetFormatPr defaultRowHeight="15" x14ac:dyDescent="0.25"/>
  <cols>
    <col min="1" max="1" width="32.85546875" bestFit="1" customWidth="1"/>
    <col min="2" max="5" width="13.7109375" customWidth="1"/>
    <col min="6" max="6" width="28.85546875" bestFit="1" customWidth="1"/>
    <col min="7" max="10" width="13.7109375" customWidth="1"/>
    <col min="11" max="11" width="9.140625" bestFit="1" customWidth="1"/>
    <col min="12" max="12" width="10.7109375" bestFit="1" customWidth="1"/>
  </cols>
  <sheetData>
    <row r="1" spans="1:12" x14ac:dyDescent="0.25">
      <c r="A1" s="219" t="str">
        <f>'Pretty Picture'!U3</f>
        <v>Discipline</v>
      </c>
      <c r="B1" s="220" t="str">
        <f>'Pretty Picture'!V3</f>
        <v>Estimate ($)</v>
      </c>
      <c r="C1" s="250" t="s">
        <v>683</v>
      </c>
      <c r="D1" s="250" t="s">
        <v>684</v>
      </c>
      <c r="E1" s="250" t="s">
        <v>685</v>
      </c>
      <c r="F1" s="219" t="s">
        <v>638</v>
      </c>
      <c r="G1" s="224" t="str">
        <f>B1</f>
        <v>Estimate ($)</v>
      </c>
      <c r="H1" s="250" t="s">
        <v>686</v>
      </c>
      <c r="I1" s="250" t="s">
        <v>687</v>
      </c>
      <c r="J1" s="250" t="s">
        <v>688</v>
      </c>
      <c r="K1" s="229" t="s">
        <v>689</v>
      </c>
      <c r="L1" s="229" t="s">
        <v>690</v>
      </c>
    </row>
    <row r="2" spans="1:12" x14ac:dyDescent="0.25">
      <c r="A2" s="30" t="str">
        <f>'Pretty Picture'!U4</f>
        <v>Major Equipment</v>
      </c>
      <c r="B2" s="218">
        <f>'Pretty Picture'!V4</f>
        <v>6747182.176721313</v>
      </c>
      <c r="C2" s="218">
        <f>'Pretty Picture'!AC4</f>
        <v>4129717.9839803865</v>
      </c>
      <c r="D2" s="218">
        <f>'Pretty Picture'!AD4</f>
        <v>6223596.1085348139</v>
      </c>
      <c r="E2" s="218">
        <f>'Pretty Picture'!AE4</f>
        <v>6747182.176721313</v>
      </c>
      <c r="F2" s="30" t="str">
        <f>'Pretty Picture'!AA32</f>
        <v>Utility Connection Fee</v>
      </c>
      <c r="G2" s="218">
        <f>'Pretty Picture'!AB32</f>
        <v>250000</v>
      </c>
      <c r="H2" s="218">
        <f>'Pretty Picture'!AC32</f>
        <v>250000</v>
      </c>
      <c r="I2" s="218">
        <f>'Pretty Picture'!AD32</f>
        <v>250000</v>
      </c>
      <c r="J2" s="218">
        <f>'Pretty Picture'!AE32</f>
        <v>250000</v>
      </c>
      <c r="K2" s="223">
        <f>'Pretty Picture'!E7</f>
        <v>46065</v>
      </c>
      <c r="L2" s="268" t="str">
        <f>INDEX('Gas Upgrader'!$C$5:$C$7,MATCH('Gas Upgrader'!$D$9,'Gas Upgrader'!D5:D7,0))</f>
        <v>1200 SCFM</v>
      </c>
    </row>
    <row r="3" spans="1:12" x14ac:dyDescent="0.25">
      <c r="A3" s="30" t="str">
        <f>'Pretty Picture'!U5</f>
        <v>GUU</v>
      </c>
      <c r="B3" s="228">
        <f>'Pretty Picture'!V5</f>
        <v>6113160.8192202281</v>
      </c>
      <c r="C3" s="228">
        <f>'Pretty Picture'!AC5</f>
        <v>3495696.6264793021</v>
      </c>
      <c r="D3" s="228">
        <f>'Pretty Picture'!AD5</f>
        <v>5589574.7510337289</v>
      </c>
      <c r="E3" s="228">
        <f>'Pretty Picture'!AE5</f>
        <v>6113160.8192202281</v>
      </c>
      <c r="F3" s="30" t="str">
        <f>'Pretty Picture'!AA33</f>
        <v>Insurance</v>
      </c>
      <c r="G3" s="218">
        <f>'Pretty Picture'!AB33</f>
        <v>310850.05509989039</v>
      </c>
      <c r="H3" s="218">
        <f>'Pretty Picture'!AC33</f>
        <v>235371.44400338604</v>
      </c>
      <c r="I3" s="218">
        <f>'Pretty Picture'!AD33</f>
        <v>296910.71871280903</v>
      </c>
      <c r="J3" s="218">
        <f>'Pretty Picture'!AE33</f>
        <v>310850.05509989039</v>
      </c>
    </row>
    <row r="4" spans="1:12" x14ac:dyDescent="0.25">
      <c r="A4" s="30" t="str">
        <f>'Pretty Picture'!U6</f>
        <v>Flare</v>
      </c>
      <c r="B4" s="228">
        <f>'Pretty Picture'!V6</f>
        <v>142425.47008752974</v>
      </c>
      <c r="C4" s="228">
        <f>'Pretty Picture'!AC6</f>
        <v>142425.47008752974</v>
      </c>
      <c r="D4" s="228">
        <f>'Pretty Picture'!AD6</f>
        <v>142425.47008752974</v>
      </c>
      <c r="E4" s="228">
        <f>'Pretty Picture'!AE6</f>
        <v>142425.47008752974</v>
      </c>
      <c r="F4" s="30" t="str">
        <f>'Pretty Picture'!AA34</f>
        <v>Project Delivery</v>
      </c>
      <c r="G4" s="218">
        <f>'Pretty Picture'!AB34</f>
        <v>1360000</v>
      </c>
      <c r="H4" s="218">
        <f>'Pretty Picture'!AC34</f>
        <v>1360000</v>
      </c>
      <c r="I4" s="218">
        <f>'Pretty Picture'!AD34</f>
        <v>1360000</v>
      </c>
      <c r="J4" s="218">
        <f>'Pretty Picture'!AE34</f>
        <v>1360000</v>
      </c>
    </row>
    <row r="5" spans="1:12" x14ac:dyDescent="0.25">
      <c r="A5" s="30" t="str">
        <f>'Pretty Picture'!U7</f>
        <v>Compressor</v>
      </c>
      <c r="B5" s="228">
        <f>'Pretty Picture'!V7</f>
        <v>491595.88741355459</v>
      </c>
      <c r="C5" s="228">
        <f>'Pretty Picture'!AC7</f>
        <v>491595.88741355459</v>
      </c>
      <c r="D5" s="228">
        <f>'Pretty Picture'!AD7</f>
        <v>491595.88741355459</v>
      </c>
      <c r="E5" s="228">
        <f>'Pretty Picture'!AE7</f>
        <v>491595.88741355459</v>
      </c>
      <c r="F5" s="30" t="str">
        <f>'Pretty Picture'!AA35</f>
        <v>Dev Costs</v>
      </c>
      <c r="G5" s="218">
        <f>'Pretty Picture'!AB35</f>
        <v>621700.11019978079</v>
      </c>
      <c r="H5" s="218">
        <f>'Pretty Picture'!AC35</f>
        <v>470742.88800677209</v>
      </c>
      <c r="I5" s="218">
        <f>'Pretty Picture'!AD35</f>
        <v>593821.43742561806</v>
      </c>
      <c r="J5" s="218">
        <f>'Pretty Picture'!AE35</f>
        <v>621700.11019978079</v>
      </c>
    </row>
    <row r="6" spans="1:12" x14ac:dyDescent="0.25">
      <c r="A6" s="30" t="str">
        <f>'Pretty Picture'!U8</f>
        <v>User-Additional Equip</v>
      </c>
      <c r="B6" s="228">
        <f>'Pretty Picture'!V8</f>
        <v>0</v>
      </c>
      <c r="C6" s="228">
        <f>'Pretty Picture'!AC8</f>
        <v>0</v>
      </c>
      <c r="D6" s="228">
        <f>'Pretty Picture'!AD8</f>
        <v>0</v>
      </c>
      <c r="E6" s="228">
        <f>'Pretty Picture'!AE8</f>
        <v>0</v>
      </c>
      <c r="F6" s="30" t="str">
        <f>'Pretty Picture'!AA36</f>
        <v xml:space="preserve">   Fixtures and Furnishings</v>
      </c>
      <c r="G6" s="218">
        <f>'Pretty Picture'!AB36</f>
        <v>247000</v>
      </c>
      <c r="H6" s="218">
        <f>'Pretty Picture'!AC36</f>
        <v>247000</v>
      </c>
      <c r="I6" s="218">
        <f>'Pretty Picture'!AD36</f>
        <v>247000</v>
      </c>
      <c r="J6" s="218">
        <f>'Pretty Picture'!AE36</f>
        <v>247000</v>
      </c>
    </row>
    <row r="7" spans="1:12" x14ac:dyDescent="0.25">
      <c r="A7" s="30" t="str">
        <f>'Pretty Picture'!U9</f>
        <v>User-Additional Equip</v>
      </c>
      <c r="B7" s="228">
        <f>'Pretty Picture'!V9</f>
        <v>0</v>
      </c>
      <c r="C7" s="228">
        <f>'Pretty Picture'!AC9</f>
        <v>0</v>
      </c>
      <c r="D7" s="228">
        <f>'Pretty Picture'!AD9</f>
        <v>0</v>
      </c>
      <c r="E7" s="228">
        <f>'Pretty Picture'!AE9</f>
        <v>0</v>
      </c>
      <c r="F7" s="30" t="str">
        <f>'Pretty Picture'!AA37</f>
        <v>Ops During Construction</v>
      </c>
      <c r="G7" s="218">
        <f>'Pretty Picture'!AB37</f>
        <v>426000</v>
      </c>
      <c r="H7" s="218">
        <f>'Pretty Picture'!AC37</f>
        <v>426000</v>
      </c>
      <c r="I7" s="218">
        <f>'Pretty Picture'!AD37</f>
        <v>426000</v>
      </c>
      <c r="J7" s="218">
        <f>'Pretty Picture'!AE37</f>
        <v>426000</v>
      </c>
    </row>
    <row r="8" spans="1:12" x14ac:dyDescent="0.25">
      <c r="A8" t="str">
        <f>'Pretty Picture'!U10</f>
        <v>Subtotal Equipment</v>
      </c>
      <c r="B8" s="228">
        <f>'Pretty Picture'!V10</f>
        <v>6747182.176721313</v>
      </c>
      <c r="C8" s="228">
        <f>'Pretty Picture'!AC10</f>
        <v>4129717.9839803865</v>
      </c>
      <c r="D8" s="228">
        <f>'Pretty Picture'!AD10</f>
        <v>6223596.1085348139</v>
      </c>
      <c r="E8" s="228">
        <f>'Pretty Picture'!AE10</f>
        <v>6747182.176721313</v>
      </c>
      <c r="F8" s="30" t="str">
        <f>'Pretty Picture'!AA38</f>
        <v>Contingency</v>
      </c>
      <c r="G8" s="218">
        <f>'Pretty Picture'!AB38</f>
        <v>1554250.2754994519</v>
      </c>
      <c r="H8" s="218">
        <f>'Pretty Picture'!AC38</f>
        <v>1176857.2200169303</v>
      </c>
      <c r="I8" s="218">
        <f>'Pretty Picture'!AD38</f>
        <v>1484553.5935640454</v>
      </c>
      <c r="J8" s="218">
        <f>'Pretty Picture'!AE38</f>
        <v>1554250.2754994519</v>
      </c>
    </row>
    <row r="9" spans="1:12" x14ac:dyDescent="0.25">
      <c r="A9" s="30" t="str">
        <f>'Pretty Picture'!U11</f>
        <v>Engineering</v>
      </c>
      <c r="B9" s="228">
        <f>'Pretty Picture'!V11</f>
        <v>923758.38433609949</v>
      </c>
      <c r="C9" s="228">
        <f>'Pretty Picture'!AC11</f>
        <v>672788.48893499305</v>
      </c>
      <c r="D9" s="228">
        <f>'Pretty Picture'!AD11</f>
        <v>769258.14253112022</v>
      </c>
      <c r="E9" s="228">
        <f>'Pretty Picture'!AE11</f>
        <v>923758.38433609949</v>
      </c>
      <c r="F9" s="175" t="s">
        <v>691</v>
      </c>
      <c r="G9" s="221">
        <f>SUM(G2:G8)</f>
        <v>4769800.4407991227</v>
      </c>
      <c r="H9" s="221">
        <f t="shared" ref="H9:J9" si="0">SUM(H2:H8)</f>
        <v>4165971.5520270881</v>
      </c>
      <c r="I9" s="221">
        <f t="shared" si="0"/>
        <v>4658285.7497024722</v>
      </c>
      <c r="J9" s="221">
        <f t="shared" si="0"/>
        <v>4769800.4407991227</v>
      </c>
    </row>
    <row r="10" spans="1:12" x14ac:dyDescent="0.25">
      <c r="A10" s="30" t="str">
        <f>'Pretty Picture'!U12</f>
        <v>Civil/Structural</v>
      </c>
      <c r="B10" s="228">
        <f>'Pretty Picture'!V12</f>
        <v>1102429.1993084371</v>
      </c>
      <c r="C10" s="228">
        <f>'Pretty Picture'!AC12</f>
        <v>821871.82088520052</v>
      </c>
      <c r="D10" s="228">
        <f>'Pretty Picture'!AD12</f>
        <v>1102429.1993084371</v>
      </c>
      <c r="E10" s="228">
        <f>'Pretty Picture'!AE12</f>
        <v>1102429.1993084371</v>
      </c>
    </row>
    <row r="11" spans="1:12" x14ac:dyDescent="0.25">
      <c r="A11" s="30" t="str">
        <f>'Pretty Picture'!U13</f>
        <v>Process Piping / Mechanical</v>
      </c>
      <c r="B11" s="228">
        <f>'Pretty Picture'!V13</f>
        <v>1312220.6019363762</v>
      </c>
      <c r="C11" s="228">
        <f>'Pretty Picture'!AC13</f>
        <v>1002638.3747579529</v>
      </c>
      <c r="D11" s="228">
        <f>'Pretty Picture'!AD13</f>
        <v>1312220.6019363762</v>
      </c>
      <c r="E11" s="228">
        <f>'Pretty Picture'!AE13</f>
        <v>1312220.6019363762</v>
      </c>
    </row>
    <row r="12" spans="1:12" x14ac:dyDescent="0.25">
      <c r="A12" s="30" t="str">
        <f>'Pretty Picture'!U14</f>
        <v>Electrical</v>
      </c>
      <c r="B12" s="228">
        <f>'Pretty Picture'!V14</f>
        <v>1274795.3220971632</v>
      </c>
      <c r="C12" s="228">
        <f>'Pretty Picture'!AC14</f>
        <v>925603.97110806825</v>
      </c>
      <c r="D12" s="228">
        <f>'Pretty Picture'!AD14</f>
        <v>1238247.2645839436</v>
      </c>
      <c r="E12" s="228">
        <f>'Pretty Picture'!AE14</f>
        <v>1274795.3220971632</v>
      </c>
    </row>
    <row r="13" spans="1:12" x14ac:dyDescent="0.25">
      <c r="A13" s="30" t="str">
        <f>'Pretty Picture'!U15</f>
        <v>Instrumentation / Controls / Automation</v>
      </c>
      <c r="B13" s="228">
        <f>'Pretty Picture'!V15</f>
        <v>972528.01507607184</v>
      </c>
      <c r="C13" s="228">
        <f>'Pretty Picture'!AC15</f>
        <v>972528.01507607184</v>
      </c>
      <c r="D13" s="228">
        <f>'Pretty Picture'!AD15</f>
        <v>972528.01507607184</v>
      </c>
      <c r="E13" s="228">
        <f>'Pretty Picture'!AE15</f>
        <v>972528.01507607184</v>
      </c>
    </row>
    <row r="14" spans="1:12" x14ac:dyDescent="0.25">
      <c r="A14" s="30" t="str">
        <f>'Pretty Picture'!U16</f>
        <v>Non-Process Infrastructure</v>
      </c>
      <c r="B14" s="228">
        <f>'Pretty Picture'!V16</f>
        <v>491537.82386500679</v>
      </c>
      <c r="C14" s="228">
        <f>'Pretty Picture'!AC16</f>
        <v>429706.21039004141</v>
      </c>
      <c r="D14" s="228">
        <f>'Pretty Picture'!AD16</f>
        <v>491537.82386500679</v>
      </c>
      <c r="E14" s="228">
        <f>'Pretty Picture'!AE16</f>
        <v>491537.82386500679</v>
      </c>
    </row>
    <row r="15" spans="1:12" x14ac:dyDescent="0.25">
      <c r="A15" s="30" t="str">
        <f>'Pretty Picture'!U17</f>
        <v>General Requirements</v>
      </c>
      <c r="B15" s="228">
        <f>'Pretty Picture'!V17</f>
        <v>1154200.6371006421</v>
      </c>
      <c r="C15" s="228">
        <f>'Pretty Picture'!AC17</f>
        <v>805936.93786194408</v>
      </c>
      <c r="D15" s="228">
        <f>'Pretty Picture'!AD17</f>
        <v>1089883.5440252193</v>
      </c>
      <c r="E15" s="228">
        <f>'Pretty Picture'!AE17</f>
        <v>1154200.6371006421</v>
      </c>
    </row>
    <row r="16" spans="1:12" x14ac:dyDescent="0.25">
      <c r="A16" s="30" t="str">
        <f>'Pretty Picture'!U18</f>
        <v>User -Additional Direct Costs</v>
      </c>
      <c r="B16" s="228">
        <f>'Pretty Picture'!V18</f>
        <v>0</v>
      </c>
      <c r="C16" s="228">
        <f>'Pretty Picture'!AC18</f>
        <v>0</v>
      </c>
      <c r="D16" s="228">
        <f>'Pretty Picture'!AD18</f>
        <v>0</v>
      </c>
      <c r="E16" s="228">
        <f>'Pretty Picture'!AE18</f>
        <v>0</v>
      </c>
    </row>
    <row r="17" spans="1:10" x14ac:dyDescent="0.25">
      <c r="A17" s="30" t="str">
        <f>'Pretty Picture'!U19</f>
        <v>User -Additional Direct Costs</v>
      </c>
      <c r="B17" s="228">
        <f>'Pretty Picture'!V19</f>
        <v>0</v>
      </c>
      <c r="C17" s="228">
        <f>'Pretty Picture'!AC19</f>
        <v>0</v>
      </c>
      <c r="D17" s="228">
        <f>'Pretty Picture'!AD19</f>
        <v>0</v>
      </c>
      <c r="E17" s="228">
        <f>'Pretty Picture'!AE19</f>
        <v>0</v>
      </c>
    </row>
    <row r="18" spans="1:10" x14ac:dyDescent="0.25">
      <c r="A18" t="str">
        <f>'Pretty Picture'!U20</f>
        <v>Subtotal Construction Directs</v>
      </c>
      <c r="B18" s="228">
        <f>'Pretty Picture'!V20</f>
        <v>7231469.9837197978</v>
      </c>
      <c r="C18" s="228">
        <f>'Pretty Picture'!AC20</f>
        <v>5631073.8190142717</v>
      </c>
      <c r="D18" s="228">
        <f>'Pretty Picture'!AD20</f>
        <v>6976104.5913261743</v>
      </c>
      <c r="E18" s="228">
        <f>'Pretty Picture'!AE20</f>
        <v>7231469.9837197978</v>
      </c>
    </row>
    <row r="19" spans="1:10" x14ac:dyDescent="0.25">
      <c r="A19" s="30" t="str">
        <f>'Pretty Picture'!U21</f>
        <v>General Conditions</v>
      </c>
      <c r="B19" s="228">
        <f>'Pretty Picture'!V21</f>
        <v>1481737.1290067576</v>
      </c>
      <c r="C19" s="228">
        <f>'Pretty Picture'!AC21</f>
        <v>1034643.9311174335</v>
      </c>
      <c r="D19" s="228">
        <f>'Pretty Picture'!AD21</f>
        <v>1399168.2741852649</v>
      </c>
      <c r="E19" s="228">
        <f>'Pretty Picture'!AE21</f>
        <v>1481737.1290067576</v>
      </c>
    </row>
    <row r="20" spans="1:10" x14ac:dyDescent="0.25">
      <c r="A20" s="30" t="str">
        <f>'Pretty Picture'!U22</f>
        <v>Building Permits</v>
      </c>
      <c r="B20" s="228">
        <f>'Pretty Picture'!V22</f>
        <v>69893.26080220555</v>
      </c>
      <c r="C20" s="228">
        <f>'Pretty Picture'!AC22</f>
        <v>48803.959014973276</v>
      </c>
      <c r="D20" s="228">
        <f>'Pretty Picture'!AD22</f>
        <v>65998.503499304948</v>
      </c>
      <c r="E20" s="228">
        <f>'Pretty Picture'!AE22</f>
        <v>69893.26080220555</v>
      </c>
    </row>
    <row r="21" spans="1:10" x14ac:dyDescent="0.25">
      <c r="A21" s="30" t="str">
        <f>'Pretty Picture'!U23</f>
        <v>Insurance / G&amp;A</v>
      </c>
      <c r="B21" s="228">
        <f>'Pretty Picture'!V23</f>
        <v>377423.60833190999</v>
      </c>
      <c r="C21" s="228">
        <f>'Pretty Picture'!AC23</f>
        <v>263541.37868085568</v>
      </c>
      <c r="D21" s="228">
        <f>'Pretty Picture'!AD23</f>
        <v>356391.9188962467</v>
      </c>
      <c r="E21" s="228">
        <f>'Pretty Picture'!AE23</f>
        <v>377423.60833190999</v>
      </c>
    </row>
    <row r="22" spans="1:10" x14ac:dyDescent="0.25">
      <c r="A22" s="30" t="str">
        <f>'Pretty Picture'!U24</f>
        <v>EPC Profit</v>
      </c>
      <c r="B22" s="228">
        <f>'Pretty Picture'!V24</f>
        <v>768825.86882426101</v>
      </c>
      <c r="C22" s="228">
        <f>'Pretty Picture'!AC24</f>
        <v>536843.54916470603</v>
      </c>
      <c r="D22" s="228">
        <f>'Pretty Picture'!AD24</f>
        <v>725983.53849235445</v>
      </c>
      <c r="E22" s="228">
        <f>'Pretty Picture'!AE24</f>
        <v>768825.86882426101</v>
      </c>
    </row>
    <row r="23" spans="1:10" x14ac:dyDescent="0.25">
      <c r="A23" t="str">
        <f>'Pretty Picture'!U25</f>
        <v>Subtotal: Const Mgmt and Indirects</v>
      </c>
      <c r="B23" s="228">
        <f>'Pretty Picture'!V25</f>
        <v>2697879.8669651346</v>
      </c>
      <c r="C23" s="228">
        <f>'Pretty Picture'!AC25</f>
        <v>1883832.8179779686</v>
      </c>
      <c r="D23" s="228">
        <f>'Pretty Picture'!AD25</f>
        <v>2547542.2350731711</v>
      </c>
      <c r="E23" s="228">
        <f>'Pretty Picture'!AE25</f>
        <v>2697879.8669651346</v>
      </c>
    </row>
    <row r="24" spans="1:10" x14ac:dyDescent="0.25">
      <c r="A24" s="30" t="str">
        <f>'Pretty Picture'!U26</f>
        <v>User-Interconnect (Base $2,200,000)</v>
      </c>
      <c r="B24" s="228">
        <f>'Pretty Picture'!V26</f>
        <v>2200000</v>
      </c>
      <c r="C24" s="228">
        <f>'Pretty Picture'!AC26</f>
        <v>2200000</v>
      </c>
      <c r="D24" s="228">
        <f>'Pretty Picture'!AD26</f>
        <v>2200000</v>
      </c>
      <c r="E24" s="228">
        <f>'Pretty Picture'!AE26</f>
        <v>2200000</v>
      </c>
    </row>
    <row r="25" spans="1:10" x14ac:dyDescent="0.25">
      <c r="A25" s="30" t="str">
        <f>'Pretty Picture'!U27</f>
        <v xml:space="preserve">User-Lateral Miles </v>
      </c>
      <c r="B25" s="267">
        <f>'Pretty Picture'!V27</f>
        <v>2</v>
      </c>
      <c r="C25" s="267">
        <f>'Pretty Picture'!AC27</f>
        <v>2</v>
      </c>
      <c r="D25" s="267">
        <f>'Pretty Picture'!AD27</f>
        <v>2</v>
      </c>
      <c r="E25" s="267">
        <f>'Pretty Picture'!AE27</f>
        <v>2</v>
      </c>
    </row>
    <row r="26" spans="1:10" x14ac:dyDescent="0.25">
      <c r="A26" s="30" t="str">
        <f>'Pretty Picture'!U28</f>
        <v xml:space="preserve">Lateral </v>
      </c>
      <c r="B26" s="228">
        <f>'Pretty Picture'!V28</f>
        <v>1846804.9792531119</v>
      </c>
      <c r="C26" s="228">
        <f>'Pretty Picture'!AC28</f>
        <v>1846804.9792531119</v>
      </c>
      <c r="D26" s="228">
        <f>'Pretty Picture'!AD28</f>
        <v>1846804.9792531119</v>
      </c>
      <c r="E26" s="228">
        <f>'Pretty Picture'!AE28</f>
        <v>1846804.9792531119</v>
      </c>
    </row>
    <row r="27" spans="1:10" x14ac:dyDescent="0.25">
      <c r="A27" s="39" t="str">
        <f>'Pretty Picture'!U29</f>
        <v>Subtotal Interconnect</v>
      </c>
      <c r="B27" s="228">
        <f>'Pretty Picture'!V29</f>
        <v>4046804.9792531119</v>
      </c>
      <c r="C27" s="228">
        <f>'Pretty Picture'!AC29</f>
        <v>4046804.9792531119</v>
      </c>
      <c r="D27" s="228">
        <f>'Pretty Picture'!AD29</f>
        <v>4046804.9792531119</v>
      </c>
      <c r="E27" s="228">
        <f>'Pretty Picture'!AE29</f>
        <v>4046804.9792531119</v>
      </c>
    </row>
    <row r="28" spans="1:10" x14ac:dyDescent="0.25">
      <c r="A28" s="30" t="str">
        <f>'Pretty Picture'!U30</f>
        <v>Sales Tax</v>
      </c>
      <c r="B28" s="228">
        <f>'Pretty Picture'!V30</f>
        <v>0</v>
      </c>
      <c r="C28" s="228">
        <f>'Pretty Picture'!AC30</f>
        <v>0</v>
      </c>
      <c r="D28" s="228">
        <f>'Pretty Picture'!AD30</f>
        <v>0</v>
      </c>
      <c r="E28" s="228">
        <f>'Pretty Picture'!AE30</f>
        <v>0</v>
      </c>
    </row>
    <row r="29" spans="1:10" x14ac:dyDescent="0.25">
      <c r="A29" s="175" t="s">
        <v>98</v>
      </c>
      <c r="B29" s="221">
        <f>'Pretty Picture'!V31</f>
        <v>20723337.006659359</v>
      </c>
      <c r="C29" s="265">
        <f>'Pretty Picture'!AC31</f>
        <v>15691429.600225737</v>
      </c>
      <c r="D29" s="265">
        <f>'Pretty Picture'!AD31</f>
        <v>19794047.914187271</v>
      </c>
      <c r="E29" s="265">
        <f>'Pretty Picture'!AE31</f>
        <v>20723337.006659359</v>
      </c>
      <c r="F29" s="3" t="s">
        <v>692</v>
      </c>
      <c r="G29" s="254">
        <f>B29+G9</f>
        <v>25493137.447458483</v>
      </c>
      <c r="H29" s="254">
        <f>C29+H9</f>
        <v>19857401.152252827</v>
      </c>
      <c r="I29" s="254">
        <f>D29+I9</f>
        <v>24452333.663889743</v>
      </c>
      <c r="J29" s="254">
        <f>E29+J9</f>
        <v>25493137.447458483</v>
      </c>
    </row>
    <row r="30" spans="1:10" x14ac:dyDescent="0.25">
      <c r="A30" s="3"/>
      <c r="B30" s="222"/>
      <c r="C30" s="222"/>
      <c r="D30" s="222"/>
      <c r="E30" s="222"/>
      <c r="F30" s="172" t="s">
        <v>106</v>
      </c>
      <c r="G30" s="266">
        <f>'Pretty Picture'!AB41</f>
        <v>22551599.623593476</v>
      </c>
      <c r="H30" s="266">
        <f>'Pretty Picture'!AC41</f>
        <v>16977694.941862781</v>
      </c>
      <c r="I30" s="266">
        <f>'Pretty Picture'!AD41</f>
        <v>21510795.84002474</v>
      </c>
      <c r="J30" s="266">
        <f>'Pretty Picture'!AE41</f>
        <v>22551599.623593476</v>
      </c>
    </row>
    <row r="31" spans="1:10" x14ac:dyDescent="0.25">
      <c r="A31" t="s">
        <v>693</v>
      </c>
      <c r="B31" s="52">
        <f>B8+B18+B23+B27+B28-B29</f>
        <v>0</v>
      </c>
      <c r="C31" s="52">
        <f t="shared" ref="C31:E31" si="1">C8+C18+C23+C27+C28-C29</f>
        <v>0</v>
      </c>
      <c r="D31" s="52">
        <f t="shared" si="1"/>
        <v>0</v>
      </c>
      <c r="E31" s="52">
        <f t="shared" si="1"/>
        <v>0</v>
      </c>
      <c r="F31" s="172" t="s">
        <v>107</v>
      </c>
      <c r="G31" s="266" t="e">
        <f>'Pretty Picture'!AB42</f>
        <v>#DIV/0!</v>
      </c>
      <c r="H31" s="266" t="e">
        <f>'Pretty Picture'!AC42</f>
        <v>#DIV/0!</v>
      </c>
      <c r="I31" s="266" t="e">
        <f>'Pretty Picture'!AD42</f>
        <v>#DIV/0!</v>
      </c>
      <c r="J31" s="266" t="e">
        <f>'Pretty Picture'!AE42</f>
        <v>#DIV/0!</v>
      </c>
    </row>
    <row r="32" spans="1:10" s="225" customFormat="1" x14ac:dyDescent="0.25">
      <c r="A32" s="226" t="s">
        <v>694</v>
      </c>
      <c r="B32" s="227">
        <f>B29-'Pretty Picture'!AB31</f>
        <v>0</v>
      </c>
      <c r="C32" s="227">
        <f>C29-'Pretty Picture'!AC31</f>
        <v>0</v>
      </c>
      <c r="D32" s="227">
        <f>D29-'Pretty Picture'!AD31</f>
        <v>0</v>
      </c>
      <c r="E32" s="227">
        <f>E29-'Pretty Picture'!AE31</f>
        <v>0</v>
      </c>
      <c r="F32" s="227"/>
      <c r="G32" s="227">
        <f>G29-'Pretty Picture'!AB40</f>
        <v>0</v>
      </c>
      <c r="H32" s="227">
        <f>H29-'Pretty Picture'!AC40</f>
        <v>0</v>
      </c>
      <c r="I32" s="227">
        <f>I29-'Pretty Picture'!AD40</f>
        <v>0</v>
      </c>
      <c r="J32" s="227">
        <f>J29-'Pretty Picture'!AE40</f>
        <v>0</v>
      </c>
    </row>
  </sheetData>
  <pageMargins left="0.7" right="0.7" top="0.75" bottom="0.75" header="0.3" footer="0.3"/>
  <pageSetup scale="47"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AD245A0B90E5E41B48A24EE7B5E0801" ma:contentTypeVersion="26" ma:contentTypeDescription="Create a new document." ma:contentTypeScope="" ma:versionID="eea33303f22cf621b028f01d4d553e8c">
  <xsd:schema xmlns:xsd="http://www.w3.org/2001/XMLSchema" xmlns:xs="http://www.w3.org/2001/XMLSchema" xmlns:p="http://schemas.microsoft.com/office/2006/metadata/properties" xmlns:ns1="http://schemas.microsoft.com/sharepoint/v3" xmlns:ns2="39e3a40f-4c2d-4461-bbcf-6103dd5d99db" xmlns:ns3="9d831754-bec5-4989-9045-92ee375d870c" targetNamespace="http://schemas.microsoft.com/office/2006/metadata/properties" ma:root="true" ma:fieldsID="58abf83209f48bf2b7f42d3087304a3d" ns1:_="" ns2:_="" ns3:_="">
    <xsd:import namespace="http://schemas.microsoft.com/sharepoint/v3"/>
    <xsd:import namespace="39e3a40f-4c2d-4461-bbcf-6103dd5d99db"/>
    <xsd:import namespace="9d831754-bec5-4989-9045-92ee375d870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ServiceAutoTags" minOccurs="0"/>
                <xsd:element ref="ns2:MediaServiceLocation" minOccurs="0"/>
                <xsd:element ref="ns2:MediaServiceGenerationTime" minOccurs="0"/>
                <xsd:element ref="ns2:MediaServiceEventHashCode" minOccurs="0"/>
                <xsd:element ref="ns2:MediaServiceOCR" minOccurs="0"/>
                <xsd:element ref="ns2:MediaLengthInSeconds" minOccurs="0"/>
                <xsd:element ref="ns2:lcf76f155ced4ddcb4097134ff3c332f" minOccurs="0"/>
                <xsd:element ref="ns3:TaxCatchAll" minOccurs="0"/>
                <xsd:element ref="ns2:Edited" minOccurs="0"/>
                <xsd:element ref="ns2:MediaServiceObjectDetectorVersions" minOccurs="0"/>
                <xsd:element ref="ns2:have" minOccurs="0"/>
                <xsd:element ref="ns2:MediaServiceSearchProperties" minOccurs="0"/>
                <xsd:element ref="ns2:Notes" minOccurs="0"/>
                <xsd:element ref="ns1:_ip_UnifiedCompliancePolicyProperties" minOccurs="0"/>
                <xsd:element ref="ns1:_ip_UnifiedCompliancePolicyUIAction" minOccurs="0"/>
                <xsd:element ref="ns2:UploadedtoiSupplier"/>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9" nillable="true" ma:displayName="Unified Compliance Policy Properties" ma:hidden="true" ma:internalName="_ip_UnifiedCompliancePolicyProperties">
      <xsd:simpleType>
        <xsd:restriction base="dms:Note"/>
      </xsd:simpleType>
    </xsd:element>
    <xsd:element name="_ip_UnifiedCompliancePolicyUIAction" ma:index="3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9e3a40f-4c2d-4461-bbcf-6103dd5d99db"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MediaServiceAutoKeyPoints" ma:index="10" nillable="true" ma:displayName="MediaServiceAutoKeyPoints" ma:description="" ma:hidden="true" ma:internalName="MediaServiceAutoKeyPoints" ma:readOnly="true">
      <xsd:simpleType>
        <xsd:restriction base="dms:Note"/>
      </xsd:simpleType>
    </xsd:element>
    <xsd:element name="MediaServiceKeyPoints" ma:index="11" nillable="true" ma:displayName="KeyPoints" ma:description="" ma:internalName="MediaServiceKeyPoints" ma:readOnly="true">
      <xsd:simpleType>
        <xsd:restriction base="dms:Note">
          <xsd:maxLength value="255"/>
        </xsd:restriction>
      </xsd:simpleType>
    </xsd:element>
    <xsd:element name="MediaServiceDateTaken" ma:index="14" nillable="true" ma:displayName="MediaServiceDateTaken" ma:description="" ma:hidden="true" ma:internalName="MediaServiceDateTaken" ma:readOnly="true">
      <xsd:simpleType>
        <xsd:restriction base="dms:Text"/>
      </xsd:simpleType>
    </xsd:element>
    <xsd:element name="MediaServiceAutoTags" ma:index="15" nillable="true" ma:displayName="Tags" ma:description="" ma:internalName="MediaServiceAutoTags" ma:readOnly="true">
      <xsd:simpleType>
        <xsd:restriction base="dms:Text"/>
      </xsd:simpleType>
    </xsd:element>
    <xsd:element name="MediaServiceLocation" ma:index="16" nillable="true" ma:displayName="Location" ma:description="" ma:internalName="MediaServiceLocation" ma:readOnly="true">
      <xsd:simpleType>
        <xsd:restriction base="dms:Text"/>
      </xsd:simpleType>
    </xsd:element>
    <xsd:element name="MediaServiceGenerationTime" ma:index="17" nillable="true" ma:displayName="MediaServiceGenerationTime" ma:description="" ma:hidden="true" ma:internalName="MediaServiceGenerationTime" ma:readOnly="true">
      <xsd:simpleType>
        <xsd:restriction base="dms:Text"/>
      </xsd:simpleType>
    </xsd:element>
    <xsd:element name="MediaServiceEventHashCode" ma:index="18" nillable="true" ma:displayName="MediaServiceEventHashCode" ma:description="" ma:hidden="true" ma:internalName="MediaServiceEventHashCode" ma:readOnly="true">
      <xsd:simpleType>
        <xsd:restriction base="dms:Text"/>
      </xsd:simpleType>
    </xsd:element>
    <xsd:element name="MediaServiceOCR" ma:index="19" nillable="true" ma:displayName="Extracted Text" ma:description="" ma:internalName="MediaServiceOCR" ma:readOnly="true">
      <xsd:simpleType>
        <xsd:restriction base="dms:Note">
          <xsd:maxLength value="255"/>
        </xsd:restriction>
      </xsd:simpleType>
    </xsd:element>
    <xsd:element name="MediaLengthInSeconds" ma:index="20" nillable="true" ma:displayName="MediaLengthInSeconds" ma:description=""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b3b9ef3b-c3eb-4338-9687-26a906f0e278" ma:termSetId="09814cd3-568e-fe90-9814-8d621ff8fb84" ma:anchorId="fba54fb3-c3e1-fe81-a776-ca4b69148c4d" ma:open="true" ma:isKeyword="false">
      <xsd:complexType>
        <xsd:sequence>
          <xsd:element ref="pc:Terms" minOccurs="0" maxOccurs="1"/>
        </xsd:sequence>
      </xsd:complexType>
    </xsd:element>
    <xsd:element name="Edited" ma:index="24" nillable="true" ma:displayName="Edited" ma:format="Dropdown" ma:internalName="Edited">
      <xsd:simpleType>
        <xsd:restriction base="dms:Text">
          <xsd:maxLength value="255"/>
        </xsd:restriction>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have" ma:index="26" nillable="true" ma:displayName="have" ma:default="1" ma:format="Dropdown" ma:internalName="have">
      <xsd:simpleType>
        <xsd:restriction base="dms:Boolean"/>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Notes" ma:index="28" nillable="true" ma:displayName="Notes" ma:format="Dropdown" ma:internalName="Notes">
      <xsd:simpleType>
        <xsd:restriction base="dms:Text">
          <xsd:maxLength value="255"/>
        </xsd:restriction>
      </xsd:simpleType>
    </xsd:element>
    <xsd:element name="UploadedtoiSupplier" ma:index="31" ma:displayName="Uploaded to iSupplier" ma:default="0" ma:format="Dropdown" ma:internalName="UploadedtoiSupplier">
      <xsd:simpleType>
        <xsd:restriction base="dms:Boolean"/>
      </xsd:simpleType>
    </xsd:element>
    <xsd:element name="MediaServiceBillingMetadata" ma:index="3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d831754-bec5-4989-9045-92ee375d870c" elementFormDefault="qualified">
    <xsd:import namespace="http://schemas.microsoft.com/office/2006/documentManagement/types"/>
    <xsd:import namespace="http://schemas.microsoft.com/office/infopath/2007/PartnerControls"/>
    <xsd:element name="SharedWithUsers" ma:index="12"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description="" ma:internalName="SharedWithDetails" ma:readOnly="true">
      <xsd:simpleType>
        <xsd:restriction base="dms:Note">
          <xsd:maxLength value="255"/>
        </xsd:restriction>
      </xsd:simpleType>
    </xsd:element>
    <xsd:element name="TaxCatchAll" ma:index="23" nillable="true" ma:displayName="Taxonomy Catch All Column" ma:hidden="true" ma:list="{e3ce28f9-a62f-4c32-91ed-51506ba88a9a}" ma:internalName="TaxCatchAll" ma:showField="CatchAllData" ma:web="9d831754-bec5-4989-9045-92ee375d870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have xmlns="39e3a40f-4c2d-4461-bbcf-6103dd5d99db">true</have>
    <_ip_UnifiedCompliancePolicyUIAction xmlns="http://schemas.microsoft.com/sharepoint/v3" xsi:nil="true"/>
    <TaxCatchAll xmlns="9d831754-bec5-4989-9045-92ee375d870c" xsi:nil="true"/>
    <Edited xmlns="39e3a40f-4c2d-4461-bbcf-6103dd5d99db" xsi:nil="true"/>
    <_ip_UnifiedCompliancePolicyProperties xmlns="http://schemas.microsoft.com/sharepoint/v3" xsi:nil="true"/>
    <lcf76f155ced4ddcb4097134ff3c332f xmlns="39e3a40f-4c2d-4461-bbcf-6103dd5d99db">
      <Terms xmlns="http://schemas.microsoft.com/office/infopath/2007/PartnerControls"/>
    </lcf76f155ced4ddcb4097134ff3c332f>
    <Notes xmlns="39e3a40f-4c2d-4461-bbcf-6103dd5d99db" xsi:nil="true"/>
    <UploadedtoiSupplier xmlns="39e3a40f-4c2d-4461-bbcf-6103dd5d99db">false</UploadedtoiSupplier>
  </documentManagement>
</p:properties>
</file>

<file path=customXml/item4.xml>��
</file>

<file path=customXml/itemProps1.xml><?xml version="1.0" encoding="utf-8"?>
<ds:datastoreItem xmlns:ds="http://schemas.openxmlformats.org/officeDocument/2006/customXml" ds:itemID="{36F552AF-F5AE-4122-99FB-C962B4A5FC7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39e3a40f-4c2d-4461-bbcf-6103dd5d99db"/>
    <ds:schemaRef ds:uri="9d831754-bec5-4989-9045-92ee375d870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E467FDE-A372-408D-8FB3-5FBDD489160A}">
  <ds:schemaRefs>
    <ds:schemaRef ds:uri="http://schemas.microsoft.com/sharepoint/v3/contenttype/forms"/>
  </ds:schemaRefs>
</ds:datastoreItem>
</file>

<file path=customXml/itemProps3.xml><?xml version="1.0" encoding="utf-8"?>
<ds:datastoreItem xmlns:ds="http://schemas.openxmlformats.org/officeDocument/2006/customXml" ds:itemID="{C8D73995-B159-418B-A4A8-3B6FDE94E901}">
  <ds:schemaRefs>
    <ds:schemaRef ds:uri="http://schemas.microsoft.com/sharepoint/v3"/>
    <ds:schemaRef ds:uri="http://purl.org/dc/elements/1.1/"/>
    <ds:schemaRef ds:uri="http://www.w3.org/XML/1998/namespace"/>
    <ds:schemaRef ds:uri="http://schemas.openxmlformats.org/package/2006/metadata/core-properties"/>
    <ds:schemaRef ds:uri="http://schemas.microsoft.com/office/2006/metadata/properties"/>
    <ds:schemaRef ds:uri="http://purl.org/dc/terms/"/>
    <ds:schemaRef ds:uri="http://purl.org/dc/dcmitype/"/>
    <ds:schemaRef ds:uri="http://schemas.microsoft.com/office/2006/documentManagement/types"/>
    <ds:schemaRef ds:uri="39e3a40f-4c2d-4461-bbcf-6103dd5d99db"/>
    <ds:schemaRef ds:uri="http://schemas.microsoft.com/office/infopath/2007/PartnerControls"/>
    <ds:schemaRef ds:uri="9d831754-bec5-4989-9045-92ee375d870c"/>
  </ds:schemaRefs>
</ds:datastoreItem>
</file>

<file path=customXml/itemProps4.xml><?xml version="1.0" encoding="utf-8"?>
<ds:datastoreItem xmlns:ds="http://schemas.openxmlformats.org/officeDocument/2006/customXml" ds:itemID="{0234F3B6-B293-4A78-AE8D-A622BEC860A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2</vt:i4>
      </vt:variant>
    </vt:vector>
  </HeadingPairs>
  <TitlesOfParts>
    <vt:vector size="24" baseType="lpstr">
      <vt:lpstr>400 SCFM</vt:lpstr>
      <vt:lpstr>800 SCFM</vt:lpstr>
      <vt:lpstr>1200 SCFM</vt:lpstr>
      <vt:lpstr>Instructions</vt:lpstr>
      <vt:lpstr>Pretty Picture</vt:lpstr>
      <vt:lpstr>Calculation Sheet</vt:lpstr>
      <vt:lpstr>Gas Upgrader</vt:lpstr>
      <vt:lpstr>Flare</vt:lpstr>
      <vt:lpstr>Compressor</vt:lpstr>
      <vt:lpstr>Chromatograph</vt:lpstr>
      <vt:lpstr>Generator</vt:lpstr>
      <vt:lpstr>Piping</vt:lpstr>
      <vt:lpstr>Engineering</vt:lpstr>
      <vt:lpstr>Inst. &amp; Controls</vt:lpstr>
      <vt:lpstr>CivStr</vt:lpstr>
      <vt:lpstr>Process Electrical</vt:lpstr>
      <vt:lpstr>Non-Process</vt:lpstr>
      <vt:lpstr>Sales Tax and Escalation</vt:lpstr>
      <vt:lpstr>Scatterplot</vt:lpstr>
      <vt:lpstr>Interconnect</vt:lpstr>
      <vt:lpstr>Commercial</vt:lpstr>
      <vt:lpstr>Finance Export</vt:lpstr>
      <vt:lpstr>Commercial!Print_Area</vt:lpstr>
      <vt:lpstr>'Pretty Picture'!Print_Area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Sean Carver</dc:creator>
  <cp:keywords/>
  <dc:description/>
  <cp:lastModifiedBy>Gage Pickford</cp:lastModifiedBy>
  <cp:revision/>
  <dcterms:created xsi:type="dcterms:W3CDTF">2024-11-26T14:37:05Z</dcterms:created>
  <dcterms:modified xsi:type="dcterms:W3CDTF">2026-02-13T13:09:35Z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0x0101002AD245A0B90E5E41B48A24EE7B5E0801</vt:lpwstr>
  </property>
  <property fmtid="{D5CDD505-2E9C-101B-9397-08002B2CF9AE}" pid="3" name="MediaServiceImageTags">
    <vt:lpwstr/>
  </property>
</Properties>
</file>