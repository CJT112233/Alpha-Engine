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hamdev.sharepoint.com/sites/Corp/Shared Documents/4. Projects &amp; Key Partners/Greenfield/WWTP/South/Nashville/02 Financial Model &amp; Support/"/>
    </mc:Choice>
  </mc:AlternateContent>
  <xr:revisionPtr revIDLastSave="336" documentId="8_{5FE9F2E9-611D-4670-8BD6-B22C7A87B509}" xr6:coauthVersionLast="47" xr6:coauthVersionMax="47" xr10:uidLastSave="{B941F610-B7FB-45BA-9733-632E8AD53462}"/>
  <bookViews>
    <workbookView xWindow="-28920" yWindow="4560" windowWidth="29040" windowHeight="15720" activeTab="2" xr2:uid="{00000000-000D-0000-FFFF-FFFF00000000}"/>
  </bookViews>
  <sheets>
    <sheet name="INPUTS" sheetId="4" r:id="rId1"/>
    <sheet name="Financial Summary" sheetId="7" r:id="rId2"/>
    <sheet name="Model" sheetId="2" r:id="rId3"/>
    <sheet name="Analysis" sheetId="19" r:id="rId4"/>
    <sheet name="Model (3)" sheetId="12" state="hidden" r:id="rId5"/>
    <sheet name="Table1" sheetId="9" state="hidden" r:id="rId6"/>
    <sheet name="data--&gt;" sheetId="5" r:id="rId7"/>
    <sheet name="Bid Forms" sheetId="1" r:id="rId8"/>
    <sheet name="HenryHub" sheetId="13" r:id="rId9"/>
    <sheet name="RIN Curves" sheetId="6" r:id="rId10"/>
    <sheet name="D3 RIN 2013-2025" sheetId="17" r:id="rId11"/>
    <sheet name="D3 Forecast Stratas Dec25" sheetId="20" r:id="rId12"/>
    <sheet name="Misc. Tables" sheetId="15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\F">#REF!</definedName>
    <definedName name="__FDS_HYPERLINK_TOGGLE_STATE__" hidden="1">"ON"</definedName>
    <definedName name="_bdm.236748EDED7F49FF9D8C8341C398889E.edm" hidden="1">#REF!</definedName>
    <definedName name="_bdm.344d8960c4e1429e88673b0acf2c8271.edm" hidden="1">#REF!</definedName>
    <definedName name="_bdm.a1260a4786cc4a0b814cb39b1f5b990a.edm" hidden="1">#REF!</definedName>
    <definedName name="_bdm.E8B440B1020748E0A74C372D3D5130D4.edm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xlchart.v1.0" hidden="1">'Bid Forms'!$J$36:$J$43</definedName>
    <definedName name="_xlchart.v1.1" hidden="1">'Bid Forms'!$J$36:$J$43</definedName>
    <definedName name="_xlchart.v1.2" hidden="1">'Bid Forms'!$J$36:$J$43</definedName>
    <definedName name="_xlchart.v1.3" hidden="1">'Bid Forms'!$J$55:$J$63</definedName>
    <definedName name="_xlchart.v1.4" hidden="1">'Misc. Tables'!$F$72:$F$82</definedName>
    <definedName name="_xlchart.v1.5" hidden="1">'Misc. Tables'!$D$51:$D$64</definedName>
    <definedName name="BRM_Total">'[1]Reference NLA '!#REF!</definedName>
    <definedName name="Controls">'[1]Reference NLA '!#REF!</definedName>
    <definedName name="ConversionList">#REF!</definedName>
    <definedName name="CPI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fhdhdhdhfd">#REF!</definedName>
    <definedName name="Display_Week">#REF!</definedName>
    <definedName name="ExternalData_1" localSheetId="8" hidden="1">HenryHub!$B$3:$C$20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42128.4624768519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R_">#REF!</definedName>
    <definedName name="IRR_Base" localSheetId="9">[2]MODEL!$G$4</definedName>
    <definedName name="IRR_Base">[3]MODEL!$G$4</definedName>
    <definedName name="MMBtu">#REF!</definedName>
    <definedName name="Names">#REF!</definedName>
    <definedName name="Options">'[1]Reference NLA '!#REF!</definedName>
    <definedName name="price_sens" localSheetId="9">[2]MODEL!$G$157</definedName>
    <definedName name="price_sens">[3]MODEL!$G$157</definedName>
    <definedName name="_xlnm.Print_Area" localSheetId="7">'Bid Forms'!$B$1:$F$16</definedName>
    <definedName name="_xlnm.Print_Area" localSheetId="12">'Misc. Tables'!#REF!</definedName>
    <definedName name="Project_Start">#REF!</definedName>
    <definedName name="ProjIRR">[4]Model!$D$80</definedName>
    <definedName name="s">#REF!</definedName>
    <definedName name="sfdsfsfdsfsfsd">#REF!</definedName>
    <definedName name="TeCO2">#REF!</definedName>
    <definedName name="TEST0">#REF!</definedName>
    <definedName name="TESTHKEY">#REF!</definedName>
    <definedName name="TESTKEYS">#REF!</definedName>
    <definedName name="TESTVKEY">#REF!</definedName>
    <definedName name="Unit_Table">#REF!</definedName>
    <definedName name="vol_sens" localSheetId="9">[2]MODEL!$G$156</definedName>
    <definedName name="vol_sens">[3]MODEL!$G$156</definedName>
  </definedNames>
  <calcPr calcId="191028" calcMode="autoNoTable" iterate="1"/>
  <pivotCaches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0" l="1"/>
  <c r="AE4" i="20"/>
  <c r="AF4" i="20"/>
  <c r="AG4" i="20"/>
  <c r="AH4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T6" i="20"/>
  <c r="U4" i="20"/>
  <c r="V4" i="20" s="1"/>
  <c r="W4" i="20" s="1"/>
  <c r="X4" i="20" s="1"/>
  <c r="Y4" i="20" s="1"/>
  <c r="Z4" i="20" s="1"/>
  <c r="AA4" i="20" s="1"/>
  <c r="AB4" i="20" s="1"/>
  <c r="AC4" i="20" s="1"/>
  <c r="AD4" i="20" s="1"/>
  <c r="T4" i="20"/>
  <c r="B10" i="20"/>
  <c r="J4" i="20"/>
  <c r="K4" i="20"/>
  <c r="L4" i="20"/>
  <c r="M4" i="20"/>
  <c r="N4" i="20"/>
  <c r="O4" i="20"/>
  <c r="P4" i="20"/>
  <c r="Q4" i="20"/>
  <c r="R4" i="20"/>
  <c r="S4" i="20"/>
  <c r="I4" i="20"/>
  <c r="Z11" i="19"/>
  <c r="F30" i="19"/>
  <c r="E30" i="19"/>
  <c r="E1" i="19"/>
  <c r="F1" i="19"/>
  <c r="G1" i="19"/>
  <c r="H1" i="19"/>
  <c r="I1" i="19"/>
  <c r="J1" i="19"/>
  <c r="K1" i="19"/>
  <c r="L1" i="19"/>
  <c r="M1" i="19"/>
  <c r="N1" i="19"/>
  <c r="O1" i="19"/>
  <c r="P1" i="19"/>
  <c r="Q1" i="19"/>
  <c r="R1" i="19"/>
  <c r="S1" i="19"/>
  <c r="T1" i="19"/>
  <c r="U1" i="19"/>
  <c r="V1" i="19"/>
  <c r="W1" i="19"/>
  <c r="X1" i="19"/>
  <c r="D1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E5" i="19"/>
  <c r="D1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D29" i="19"/>
  <c r="D83" i="2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G3" i="4"/>
  <c r="H3" i="4"/>
  <c r="I3" i="4"/>
  <c r="J3" i="4"/>
  <c r="E33" i="4" l="1" a="1"/>
  <c r="E33" i="4" s="1"/>
  <c r="D43" i="2" s="1"/>
  <c r="H43" i="2" s="1"/>
  <c r="E32" i="4" a="1"/>
  <c r="E32" i="4" s="1"/>
  <c r="D42" i="2" s="1"/>
  <c r="H42" i="2" s="1"/>
  <c r="E10" i="19" s="1"/>
  <c r="E11" i="19" s="1"/>
  <c r="E31" i="4" a="1"/>
  <c r="E31" i="4" s="1"/>
  <c r="D49" i="2" l="1"/>
  <c r="U43" i="2"/>
  <c r="S43" i="2"/>
  <c r="T43" i="2"/>
  <c r="N43" i="2"/>
  <c r="O43" i="2"/>
  <c r="P43" i="2"/>
  <c r="Q43" i="2"/>
  <c r="R43" i="2"/>
  <c r="W43" i="2"/>
  <c r="L43" i="2"/>
  <c r="Z43" i="2"/>
  <c r="V43" i="2"/>
  <c r="I43" i="2"/>
  <c r="J43" i="2"/>
  <c r="X43" i="2"/>
  <c r="K43" i="2"/>
  <c r="Y43" i="2"/>
  <c r="M43" i="2"/>
  <c r="AA43" i="2"/>
  <c r="K1" i="6" l="1"/>
  <c r="E3" i="4" a="1"/>
  <c r="E3" i="4" s="1"/>
  <c r="E34" i="4" a="1"/>
  <c r="E34" i="4" s="1"/>
  <c r="E30" i="4" a="1"/>
  <c r="E30" i="4" s="1"/>
  <c r="E28" i="4" a="1"/>
  <c r="E28" i="4" s="1"/>
  <c r="D46" i="2" s="1"/>
  <c r="D21" i="7" s="1"/>
  <c r="E26" i="4" a="1"/>
  <c r="E26" i="4" s="1"/>
  <c r="E23" i="4" a="1"/>
  <c r="E23" i="4" s="1"/>
  <c r="E22" i="4" a="1"/>
  <c r="E22" i="4" s="1"/>
  <c r="E21" i="4" a="1"/>
  <c r="E21" i="4" s="1"/>
  <c r="E19" i="4" a="1"/>
  <c r="E19" i="4" s="1"/>
  <c r="E18" i="4" a="1"/>
  <c r="E18" i="4" s="1"/>
  <c r="E17" i="4" a="1"/>
  <c r="E17" i="4" s="1"/>
  <c r="E16" i="4" a="1"/>
  <c r="E16" i="4" s="1"/>
  <c r="E13" i="4" a="1"/>
  <c r="E13" i="4" s="1"/>
  <c r="E12" i="4" a="1"/>
  <c r="E12" i="4" s="1"/>
  <c r="E9" i="4" a="1"/>
  <c r="E9" i="4" s="1"/>
  <c r="E8" i="4" a="1"/>
  <c r="E8" i="4" s="1"/>
  <c r="H11" i="2" s="1"/>
  <c r="G43" i="4"/>
  <c r="I43" i="4"/>
  <c r="A33" i="13"/>
  <c r="J43" i="4"/>
  <c r="H43" i="4"/>
  <c r="E14" i="4" a="1"/>
  <c r="E14" i="4" s="1"/>
  <c r="E29" i="4" a="1"/>
  <c r="E29" i="4" s="1"/>
  <c r="M1" i="6" l="1"/>
  <c r="K2" i="6" s="1"/>
  <c r="K21" i="6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I11" i="2"/>
  <c r="E49" i="2"/>
  <c r="E46" i="2"/>
  <c r="AA46" i="2"/>
  <c r="M46" i="2"/>
  <c r="Z46" i="2"/>
  <c r="L46" i="2"/>
  <c r="Y46" i="2"/>
  <c r="K46" i="2"/>
  <c r="X46" i="2"/>
  <c r="J46" i="2"/>
  <c r="W46" i="2"/>
  <c r="I46" i="2"/>
  <c r="V46" i="2"/>
  <c r="U46" i="2"/>
  <c r="R46" i="2"/>
  <c r="O46" i="2"/>
  <c r="T46" i="2"/>
  <c r="Q46" i="2"/>
  <c r="P46" i="2"/>
  <c r="N46" i="2"/>
  <c r="S46" i="2"/>
  <c r="H46" i="2"/>
  <c r="I1" i="6"/>
  <c r="D50" i="2"/>
  <c r="H6" i="2" a="1"/>
  <c r="H6" i="2" s="1"/>
  <c r="B23" i="2"/>
  <c r="J11" i="2" l="1"/>
  <c r="L50" i="15"/>
  <c r="K11" i="2" l="1"/>
  <c r="V48" i="15"/>
  <c r="V49" i="15" s="1"/>
  <c r="F45" i="15"/>
  <c r="F44" i="15"/>
  <c r="E44" i="15"/>
  <c r="D44" i="15"/>
  <c r="G44" i="15"/>
  <c r="L11" i="2" l="1"/>
  <c r="J41" i="15"/>
  <c r="J42" i="15" s="1"/>
  <c r="J43" i="15" s="1"/>
  <c r="J44" i="15" s="1"/>
  <c r="J38" i="15"/>
  <c r="J34" i="15"/>
  <c r="J35" i="15" s="1"/>
  <c r="J36" i="15" s="1"/>
  <c r="N32" i="15"/>
  <c r="O32" i="15" s="1"/>
  <c r="P32" i="15" s="1"/>
  <c r="Q32" i="15" s="1"/>
  <c r="R32" i="15" s="1"/>
  <c r="S32" i="15" s="1"/>
  <c r="T32" i="15" s="1"/>
  <c r="U32" i="15" s="1"/>
  <c r="V32" i="15" s="1"/>
  <c r="L32" i="15"/>
  <c r="N16" i="15"/>
  <c r="O16" i="15" s="1"/>
  <c r="P16" i="15" s="1"/>
  <c r="Q16" i="15" s="1"/>
  <c r="R16" i="15" s="1"/>
  <c r="S16" i="15" s="1"/>
  <c r="T16" i="15" s="1"/>
  <c r="U16" i="15" s="1"/>
  <c r="V16" i="15" s="1"/>
  <c r="L16" i="15"/>
  <c r="J18" i="15"/>
  <c r="J19" i="15" s="1"/>
  <c r="J20" i="15" s="1"/>
  <c r="J22" i="15" s="1"/>
  <c r="J25" i="15" s="1"/>
  <c r="J26" i="15" s="1"/>
  <c r="J27" i="15" s="1"/>
  <c r="J28" i="15" s="1"/>
  <c r="C1" i="15"/>
  <c r="E17" i="15"/>
  <c r="F17" i="15"/>
  <c r="G17" i="15"/>
  <c r="H17" i="15"/>
  <c r="E18" i="15"/>
  <c r="F18" i="15"/>
  <c r="G18" i="15"/>
  <c r="H18" i="15"/>
  <c r="D18" i="15"/>
  <c r="H9" i="15"/>
  <c r="H11" i="15" s="1"/>
  <c r="F10" i="15"/>
  <c r="H10" i="15" s="1"/>
  <c r="D17" i="15"/>
  <c r="D9" i="15"/>
  <c r="D11" i="15" s="1"/>
  <c r="D44" i="2"/>
  <c r="AB97" i="9"/>
  <c r="H80" i="9" a="1"/>
  <c r="H80" i="9" s="1"/>
  <c r="E51" i="9"/>
  <c r="M11" i="2" l="1"/>
  <c r="D45" i="2"/>
  <c r="D27" i="15"/>
  <c r="E27" i="15" s="1"/>
  <c r="E45" i="15" s="1"/>
  <c r="G27" i="15"/>
  <c r="D13" i="15"/>
  <c r="D21" i="15" s="1"/>
  <c r="G9" i="15"/>
  <c r="G11" i="15" s="1"/>
  <c r="F9" i="15"/>
  <c r="F11" i="15" s="1"/>
  <c r="E9" i="15"/>
  <c r="E11" i="15" s="1"/>
  <c r="D5" i="15"/>
  <c r="D12" i="15"/>
  <c r="N11" i="2" l="1"/>
  <c r="D45" i="15"/>
  <c r="G45" i="15"/>
  <c r="H27" i="15"/>
  <c r="H45" i="15" s="1"/>
  <c r="D20" i="15"/>
  <c r="D22" i="15" s="1"/>
  <c r="E13" i="15"/>
  <c r="E21" i="15" s="1"/>
  <c r="AB57" i="9"/>
  <c r="E52" i="9"/>
  <c r="E53" i="9"/>
  <c r="H42" i="9" a="1"/>
  <c r="H42" i="9" s="1"/>
  <c r="G5" i="9"/>
  <c r="O11" i="2" l="1"/>
  <c r="D24" i="15"/>
  <c r="D42" i="15"/>
  <c r="F13" i="15"/>
  <c r="F21" i="15" s="1"/>
  <c r="E12" i="15"/>
  <c r="I119" i="9"/>
  <c r="J119" i="9"/>
  <c r="K119" i="9"/>
  <c r="L119" i="9"/>
  <c r="M119" i="9"/>
  <c r="H119" i="9"/>
  <c r="K76" i="9"/>
  <c r="I76" i="9"/>
  <c r="L76" i="9"/>
  <c r="H76" i="9"/>
  <c r="M76" i="9"/>
  <c r="J76" i="9"/>
  <c r="G7" i="9"/>
  <c r="G8" i="9" s="1"/>
  <c r="P11" i="2" l="1"/>
  <c r="D31" i="15"/>
  <c r="D32" i="15" s="1"/>
  <c r="D48" i="15" s="1"/>
  <c r="E20" i="15"/>
  <c r="E22" i="15" s="1"/>
  <c r="G13" i="15"/>
  <c r="G21" i="15" s="1"/>
  <c r="F12" i="15"/>
  <c r="J58" i="1"/>
  <c r="C1" i="7"/>
  <c r="J12" i="9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Q5" i="9"/>
  <c r="P4" i="9" s="1"/>
  <c r="K44" i="2"/>
  <c r="D29" i="13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7" i="2"/>
  <c r="C28" i="13"/>
  <c r="Q11" i="2" l="1"/>
  <c r="B29" i="13"/>
  <c r="F73" i="15"/>
  <c r="D52" i="15"/>
  <c r="E24" i="15"/>
  <c r="E42" i="15"/>
  <c r="F20" i="15"/>
  <c r="G12" i="15"/>
  <c r="K93" i="9"/>
  <c r="K53" i="9"/>
  <c r="N44" i="2"/>
  <c r="M44" i="2"/>
  <c r="I44" i="2"/>
  <c r="AA44" i="2"/>
  <c r="Q44" i="2"/>
  <c r="O44" i="2"/>
  <c r="J44" i="2"/>
  <c r="H44" i="2"/>
  <c r="Z44" i="2"/>
  <c r="Y44" i="2"/>
  <c r="X44" i="2"/>
  <c r="W44" i="2"/>
  <c r="V44" i="2"/>
  <c r="U44" i="2"/>
  <c r="T44" i="2"/>
  <c r="S44" i="2"/>
  <c r="R44" i="2"/>
  <c r="P44" i="2"/>
  <c r="L44" i="2"/>
  <c r="E28" i="13"/>
  <c r="R11" i="2" l="1"/>
  <c r="B30" i="13"/>
  <c r="C29" i="13"/>
  <c r="E29" i="13" s="1"/>
  <c r="E31" i="15"/>
  <c r="E32" i="15" s="1"/>
  <c r="E48" i="15" s="1"/>
  <c r="F22" i="15"/>
  <c r="G20" i="15"/>
  <c r="H12" i="15"/>
  <c r="H20" i="15" s="1"/>
  <c r="H13" i="15"/>
  <c r="H21" i="15" s="1"/>
  <c r="L93" i="9"/>
  <c r="I115" i="9" s="1"/>
  <c r="L53" i="9"/>
  <c r="I72" i="9" s="1"/>
  <c r="Q93" i="9"/>
  <c r="J115" i="9" s="1"/>
  <c r="Q53" i="9"/>
  <c r="J72" i="9" s="1"/>
  <c r="S93" i="9"/>
  <c r="S53" i="9"/>
  <c r="T93" i="9"/>
  <c r="T53" i="9"/>
  <c r="V93" i="9"/>
  <c r="K115" i="9" s="1"/>
  <c r="V53" i="9"/>
  <c r="K72" i="9" s="1"/>
  <c r="W93" i="9"/>
  <c r="W53" i="9"/>
  <c r="X93" i="9"/>
  <c r="X53" i="9"/>
  <c r="Y93" i="9"/>
  <c r="Y53" i="9"/>
  <c r="Z93" i="9"/>
  <c r="Z53" i="9"/>
  <c r="O93" i="9"/>
  <c r="O53" i="9"/>
  <c r="N93" i="9"/>
  <c r="N53" i="9"/>
  <c r="P93" i="9"/>
  <c r="P53" i="9"/>
  <c r="R93" i="9"/>
  <c r="R53" i="9"/>
  <c r="U93" i="9"/>
  <c r="U53" i="9"/>
  <c r="H93" i="9"/>
  <c r="H115" i="9" s="1"/>
  <c r="H53" i="9"/>
  <c r="J93" i="9"/>
  <c r="J53" i="9"/>
  <c r="AA93" i="9"/>
  <c r="L115" i="9" s="1"/>
  <c r="AA53" i="9"/>
  <c r="L72" i="9" s="1"/>
  <c r="I93" i="9"/>
  <c r="I53" i="9"/>
  <c r="M93" i="9"/>
  <c r="M53" i="9"/>
  <c r="R83" i="12"/>
  <c r="N83" i="12"/>
  <c r="R73" i="12"/>
  <c r="K73" i="12"/>
  <c r="K72" i="12" s="1"/>
  <c r="L72" i="12"/>
  <c r="J72" i="12"/>
  <c r="I72" i="12"/>
  <c r="G65" i="12"/>
  <c r="C63" i="12"/>
  <c r="C62" i="12"/>
  <c r="G61" i="12"/>
  <c r="C61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B50" i="12"/>
  <c r="H53" i="12" s="1"/>
  <c r="E53" i="12" s="1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D42" i="12"/>
  <c r="Y42" i="12" s="1"/>
  <c r="H37" i="12"/>
  <c r="H36" i="12"/>
  <c r="H24" i="12"/>
  <c r="I24" i="12" s="1"/>
  <c r="J24" i="12" s="1"/>
  <c r="K24" i="12" s="1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Y24" i="12" s="1"/>
  <c r="Z24" i="12" s="1"/>
  <c r="AA24" i="12" s="1"/>
  <c r="I8" i="12"/>
  <c r="I37" i="12" s="1"/>
  <c r="S11" i="2" l="1"/>
  <c r="B31" i="13"/>
  <c r="C30" i="13"/>
  <c r="E30" i="13" s="1"/>
  <c r="F72" i="15"/>
  <c r="F74" i="15" s="1"/>
  <c r="D51" i="15"/>
  <c r="D53" i="15" s="1"/>
  <c r="D62" i="15" s="1"/>
  <c r="F24" i="15"/>
  <c r="F42" i="15"/>
  <c r="G22" i="15"/>
  <c r="H22" i="15"/>
  <c r="AB53" i="9"/>
  <c r="M72" i="9" s="1"/>
  <c r="H72" i="9"/>
  <c r="J8" i="12"/>
  <c r="K8" i="12" s="1"/>
  <c r="L66" i="12" s="1"/>
  <c r="I36" i="12"/>
  <c r="L42" i="12"/>
  <c r="AA42" i="12"/>
  <c r="Y67" i="12"/>
  <c r="E65" i="12"/>
  <c r="X67" i="12"/>
  <c r="W67" i="12"/>
  <c r="V67" i="12"/>
  <c r="U67" i="12"/>
  <c r="T67" i="12"/>
  <c r="S67" i="12"/>
  <c r="R67" i="12"/>
  <c r="M67" i="12"/>
  <c r="H67" i="12"/>
  <c r="Q67" i="12"/>
  <c r="J67" i="12"/>
  <c r="P67" i="12"/>
  <c r="O67" i="12"/>
  <c r="N67" i="12"/>
  <c r="I66" i="12"/>
  <c r="L67" i="12"/>
  <c r="K67" i="12"/>
  <c r="G68" i="12"/>
  <c r="I67" i="12"/>
  <c r="J66" i="12"/>
  <c r="X42" i="12"/>
  <c r="J42" i="12"/>
  <c r="W42" i="12"/>
  <c r="I42" i="12"/>
  <c r="H42" i="12"/>
  <c r="Z42" i="12"/>
  <c r="V42" i="12"/>
  <c r="U42" i="12"/>
  <c r="T42" i="12"/>
  <c r="S42" i="12"/>
  <c r="Q42" i="12"/>
  <c r="N42" i="12"/>
  <c r="R42" i="12"/>
  <c r="O42" i="12"/>
  <c r="P42" i="12"/>
  <c r="M42" i="12"/>
  <c r="Z67" i="12"/>
  <c r="AA67" i="12"/>
  <c r="K42" i="12"/>
  <c r="G50" i="12"/>
  <c r="Z12" i="9"/>
  <c r="AA12" i="9"/>
  <c r="AB12" i="9"/>
  <c r="AC12" i="9"/>
  <c r="Z13" i="9"/>
  <c r="AA13" i="9"/>
  <c r="AA19" i="9" s="1"/>
  <c r="AB13" i="9"/>
  <c r="AC13" i="9"/>
  <c r="Z14" i="9"/>
  <c r="AA14" i="9"/>
  <c r="AB14" i="9"/>
  <c r="AC14" i="9"/>
  <c r="Z15" i="9"/>
  <c r="AA15" i="9"/>
  <c r="AB15" i="9"/>
  <c r="AC15" i="9"/>
  <c r="Z16" i="9"/>
  <c r="AA16" i="9"/>
  <c r="AB16" i="9"/>
  <c r="AC16" i="9"/>
  <c r="AA11" i="9"/>
  <c r="AB11" i="9"/>
  <c r="AC11" i="9"/>
  <c r="Z11" i="9"/>
  <c r="S4" i="9"/>
  <c r="S5" i="9"/>
  <c r="F23" i="1"/>
  <c r="J36" i="1" s="1"/>
  <c r="J55" i="1" s="1"/>
  <c r="I5" i="1"/>
  <c r="F5" i="1"/>
  <c r="F9" i="1" s="1"/>
  <c r="I21" i="6"/>
  <c r="G19" i="6"/>
  <c r="G20" i="6" s="1"/>
  <c r="G21" i="6" s="1"/>
  <c r="B19" i="6"/>
  <c r="E19" i="6" s="1"/>
  <c r="E18" i="6"/>
  <c r="H14" i="9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S7" i="9"/>
  <c r="S6" i="9"/>
  <c r="E5" i="9"/>
  <c r="R91" i="2"/>
  <c r="R81" i="2"/>
  <c r="K81" i="2"/>
  <c r="K80" i="2" s="1"/>
  <c r="L80" i="2"/>
  <c r="J80" i="2"/>
  <c r="I80" i="2"/>
  <c r="G72" i="2"/>
  <c r="C70" i="2"/>
  <c r="C69" i="2"/>
  <c r="G68" i="2"/>
  <c r="C68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B57" i="2"/>
  <c r="H37" i="2"/>
  <c r="H36" i="2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I8" i="2"/>
  <c r="J8" i="2" s="1"/>
  <c r="J37" i="2" s="1"/>
  <c r="G24" i="19" s="1"/>
  <c r="L10" i="7"/>
  <c r="S24" i="4"/>
  <c r="E37" i="4"/>
  <c r="G16" i="7" l="1"/>
  <c r="E24" i="19"/>
  <c r="G15" i="7"/>
  <c r="E23" i="19"/>
  <c r="T11" i="2"/>
  <c r="E72" i="2"/>
  <c r="I73" i="2"/>
  <c r="I2" i="6"/>
  <c r="I22" i="6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H12" i="2"/>
  <c r="H60" i="2"/>
  <c r="E29" i="19" s="1"/>
  <c r="B20" i="6"/>
  <c r="G22" i="6"/>
  <c r="C31" i="13"/>
  <c r="B32" i="13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H24" i="15"/>
  <c r="H42" i="15"/>
  <c r="H46" i="15" s="1"/>
  <c r="G24" i="15"/>
  <c r="G31" i="15" s="1"/>
  <c r="G32" i="15" s="1"/>
  <c r="F81" i="15" s="1"/>
  <c r="G42" i="15"/>
  <c r="D6" i="1"/>
  <c r="F7" i="1" s="1"/>
  <c r="D25" i="15"/>
  <c r="D43" i="15" s="1"/>
  <c r="D46" i="15" s="1"/>
  <c r="F31" i="15"/>
  <c r="F32" i="15" s="1"/>
  <c r="F48" i="15" s="1"/>
  <c r="E7" i="9"/>
  <c r="E8" i="9" s="1"/>
  <c r="H9" i="12"/>
  <c r="I9" i="12" s="1"/>
  <c r="I7" i="12" s="1"/>
  <c r="D37" i="4"/>
  <c r="E38" i="4"/>
  <c r="H9" i="2"/>
  <c r="I9" i="2" s="1"/>
  <c r="I7" i="2" s="1"/>
  <c r="K66" i="12"/>
  <c r="J37" i="12"/>
  <c r="J36" i="12"/>
  <c r="H15" i="2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H15" i="12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AA15" i="12" s="1"/>
  <c r="E13" i="2"/>
  <c r="E13" i="12"/>
  <c r="H16" i="2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H16" i="12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AA16" i="12" s="1"/>
  <c r="B19" i="2"/>
  <c r="B20" i="12"/>
  <c r="E24" i="2"/>
  <c r="E23" i="12"/>
  <c r="H11" i="12"/>
  <c r="B29" i="2"/>
  <c r="B29" i="12"/>
  <c r="G54" i="12"/>
  <c r="H50" i="12"/>
  <c r="E50" i="12" s="1"/>
  <c r="K36" i="12"/>
  <c r="L8" i="12"/>
  <c r="K37" i="12"/>
  <c r="E67" i="12"/>
  <c r="Y74" i="2"/>
  <c r="Z74" i="2"/>
  <c r="AA74" i="2"/>
  <c r="I36" i="2"/>
  <c r="I37" i="2"/>
  <c r="X74" i="2"/>
  <c r="V74" i="2"/>
  <c r="U74" i="2"/>
  <c r="T74" i="2"/>
  <c r="S74" i="2"/>
  <c r="W74" i="2"/>
  <c r="R74" i="2"/>
  <c r="Q74" i="2"/>
  <c r="P74" i="2"/>
  <c r="O74" i="2"/>
  <c r="N74" i="2"/>
  <c r="M74" i="2"/>
  <c r="L74" i="2"/>
  <c r="K74" i="2"/>
  <c r="J74" i="2"/>
  <c r="K73" i="2"/>
  <c r="I74" i="2"/>
  <c r="J73" i="2"/>
  <c r="G75" i="2"/>
  <c r="H74" i="2"/>
  <c r="I16" i="7"/>
  <c r="K8" i="2"/>
  <c r="L73" i="2" s="1"/>
  <c r="J36" i="2"/>
  <c r="G57" i="2"/>
  <c r="D28" i="19" s="1"/>
  <c r="E60" i="2" l="1"/>
  <c r="E28" i="7" s="1"/>
  <c r="H15" i="7"/>
  <c r="F23" i="19"/>
  <c r="H16" i="7"/>
  <c r="F24" i="19"/>
  <c r="I15" i="7"/>
  <c r="G23" i="19"/>
  <c r="U11" i="2"/>
  <c r="H13" i="2"/>
  <c r="Z16" i="2"/>
  <c r="AA16" i="2" s="1"/>
  <c r="B21" i="6"/>
  <c r="E20" i="6"/>
  <c r="G23" i="6"/>
  <c r="H57" i="2"/>
  <c r="E20" i="2"/>
  <c r="C32" i="13"/>
  <c r="E31" i="13"/>
  <c r="I23" i="2" s="1"/>
  <c r="D63" i="15"/>
  <c r="D64" i="15" s="1"/>
  <c r="G48" i="15"/>
  <c r="D24" i="1"/>
  <c r="F6" i="1"/>
  <c r="J9" i="12"/>
  <c r="K9" i="12" s="1"/>
  <c r="K7" i="12" s="1"/>
  <c r="E25" i="15"/>
  <c r="E43" i="15" s="1"/>
  <c r="E46" i="15" s="1"/>
  <c r="D28" i="15"/>
  <c r="D29" i="15" s="1"/>
  <c r="D47" i="15" s="1"/>
  <c r="D49" i="15" s="1"/>
  <c r="H7" i="12"/>
  <c r="H7" i="2"/>
  <c r="H31" i="15"/>
  <c r="H32" i="15" s="1"/>
  <c r="H48" i="15" s="1"/>
  <c r="H82" i="9"/>
  <c r="H105" i="9" s="1"/>
  <c r="AB93" i="9"/>
  <c r="M115" i="9" s="1"/>
  <c r="G4" i="7"/>
  <c r="H44" i="9"/>
  <c r="J9" i="2"/>
  <c r="K9" i="2" s="1"/>
  <c r="G9" i="12"/>
  <c r="G9" i="2"/>
  <c r="J52" i="12"/>
  <c r="K52" i="12" s="1"/>
  <c r="L52" i="12" s="1"/>
  <c r="M52" i="12" s="1"/>
  <c r="N52" i="12" s="1"/>
  <c r="O52" i="12" s="1"/>
  <c r="P52" i="12" s="1"/>
  <c r="Q52" i="12" s="1"/>
  <c r="R52" i="12" s="1"/>
  <c r="S52" i="12" s="1"/>
  <c r="T52" i="12" s="1"/>
  <c r="U52" i="12" s="1"/>
  <c r="V52" i="12" s="1"/>
  <c r="W52" i="12" s="1"/>
  <c r="X52" i="12" s="1"/>
  <c r="Y52" i="12" s="1"/>
  <c r="Z52" i="12" s="1"/>
  <c r="AA52" i="12" s="1"/>
  <c r="H12" i="12"/>
  <c r="H13" i="12" s="1"/>
  <c r="H14" i="12" s="1"/>
  <c r="H17" i="12" s="1"/>
  <c r="I11" i="12"/>
  <c r="L37" i="12"/>
  <c r="L36" i="12"/>
  <c r="M8" i="12"/>
  <c r="M66" i="12"/>
  <c r="E74" i="2"/>
  <c r="K37" i="2"/>
  <c r="H24" i="19" s="1"/>
  <c r="K36" i="2"/>
  <c r="H23" i="19" s="1"/>
  <c r="L8" i="2"/>
  <c r="G61" i="2"/>
  <c r="D31" i="19" l="1"/>
  <c r="E28" i="19"/>
  <c r="J59" i="2"/>
  <c r="G30" i="19" s="1"/>
  <c r="V11" i="2"/>
  <c r="H14" i="2"/>
  <c r="H17" i="2" s="1"/>
  <c r="E6" i="19" s="1"/>
  <c r="E21" i="6"/>
  <c r="B22" i="6"/>
  <c r="G24" i="6"/>
  <c r="J7" i="12"/>
  <c r="E57" i="2"/>
  <c r="E27" i="7" s="1"/>
  <c r="M79" i="12"/>
  <c r="G78" i="12"/>
  <c r="G79" i="12"/>
  <c r="M87" i="2"/>
  <c r="G76" i="12"/>
  <c r="G75" i="12"/>
  <c r="G87" i="2"/>
  <c r="M84" i="12"/>
  <c r="M85" i="12"/>
  <c r="M87" i="12"/>
  <c r="M88" i="12"/>
  <c r="Y15" i="9"/>
  <c r="G86" i="2"/>
  <c r="G82" i="2"/>
  <c r="M86" i="2"/>
  <c r="G83" i="2"/>
  <c r="M74" i="12"/>
  <c r="M89" i="12"/>
  <c r="Y16" i="9"/>
  <c r="G85" i="2"/>
  <c r="M78" i="12"/>
  <c r="Y12" i="9"/>
  <c r="M82" i="2"/>
  <c r="Y13" i="9"/>
  <c r="G77" i="12"/>
  <c r="M85" i="2"/>
  <c r="M84" i="2"/>
  <c r="Y14" i="9"/>
  <c r="M76" i="12"/>
  <c r="M77" i="12"/>
  <c r="M75" i="12"/>
  <c r="G74" i="12"/>
  <c r="Y11" i="9"/>
  <c r="G84" i="2"/>
  <c r="E20" i="12"/>
  <c r="M83" i="2"/>
  <c r="M86" i="12"/>
  <c r="N42" i="2"/>
  <c r="L9" i="12"/>
  <c r="H23" i="2"/>
  <c r="H24" i="2" s="1"/>
  <c r="C33" i="13"/>
  <c r="E32" i="13"/>
  <c r="I24" i="2"/>
  <c r="J7" i="2"/>
  <c r="M42" i="2"/>
  <c r="L42" i="2"/>
  <c r="Y42" i="2"/>
  <c r="J42" i="2"/>
  <c r="Q7" i="9"/>
  <c r="P6" i="9" s="1"/>
  <c r="Q6" i="9" s="1"/>
  <c r="V42" i="2"/>
  <c r="S42" i="2"/>
  <c r="K42" i="2"/>
  <c r="X42" i="2"/>
  <c r="U42" i="2"/>
  <c r="T42" i="2"/>
  <c r="R42" i="2"/>
  <c r="I42" i="2"/>
  <c r="AA42" i="2"/>
  <c r="Z42" i="2"/>
  <c r="W42" i="2"/>
  <c r="Q42" i="2"/>
  <c r="F25" i="1"/>
  <c r="D26" i="1" s="1"/>
  <c r="P42" i="2"/>
  <c r="F24" i="1"/>
  <c r="J39" i="1" s="1"/>
  <c r="J59" i="1" s="1"/>
  <c r="O42" i="2"/>
  <c r="D34" i="15"/>
  <c r="J32" i="15" s="1"/>
  <c r="D35" i="15"/>
  <c r="J16" i="15" s="1"/>
  <c r="F25" i="15"/>
  <c r="F43" i="15" s="1"/>
  <c r="F46" i="15" s="1"/>
  <c r="E28" i="15"/>
  <c r="E29" i="15" s="1"/>
  <c r="E47" i="15" s="1"/>
  <c r="E49" i="15" s="1"/>
  <c r="I82" i="9"/>
  <c r="H63" i="9"/>
  <c r="H4" i="7"/>
  <c r="I44" i="9"/>
  <c r="H23" i="12"/>
  <c r="I23" i="12" s="1"/>
  <c r="J23" i="12" s="1"/>
  <c r="I12" i="2"/>
  <c r="I13" i="2" s="1"/>
  <c r="I14" i="2" s="1"/>
  <c r="J11" i="12"/>
  <c r="I12" i="12"/>
  <c r="I13" i="12" s="1"/>
  <c r="I14" i="12" s="1"/>
  <c r="I17" i="12" s="1"/>
  <c r="H34" i="12"/>
  <c r="H35" i="12"/>
  <c r="M37" i="12"/>
  <c r="M36" i="12"/>
  <c r="N8" i="12"/>
  <c r="N66" i="12"/>
  <c r="M9" i="12"/>
  <c r="L7" i="12"/>
  <c r="E52" i="12"/>
  <c r="L9" i="2"/>
  <c r="K7" i="2"/>
  <c r="L36" i="2"/>
  <c r="M8" i="2"/>
  <c r="L37" i="2"/>
  <c r="M73" i="2"/>
  <c r="J15" i="7"/>
  <c r="J16" i="7"/>
  <c r="K59" i="2" l="1"/>
  <c r="H30" i="19" s="1"/>
  <c r="N52" i="9"/>
  <c r="K10" i="19"/>
  <c r="K11" i="19" s="1"/>
  <c r="M52" i="9"/>
  <c r="J10" i="19"/>
  <c r="J11" i="19" s="1"/>
  <c r="L92" i="9"/>
  <c r="I114" i="9" s="1"/>
  <c r="I10" i="19"/>
  <c r="I11" i="19" s="1"/>
  <c r="Y92" i="9"/>
  <c r="V10" i="19"/>
  <c r="V11" i="19" s="1"/>
  <c r="J92" i="9"/>
  <c r="G10" i="19"/>
  <c r="G11" i="19" s="1"/>
  <c r="V92" i="9"/>
  <c r="K114" i="9" s="1"/>
  <c r="S10" i="19"/>
  <c r="S11" i="19" s="1"/>
  <c r="S92" i="9"/>
  <c r="P10" i="19"/>
  <c r="P11" i="19" s="1"/>
  <c r="K52" i="9"/>
  <c r="H10" i="19"/>
  <c r="H11" i="19" s="1"/>
  <c r="X92" i="9"/>
  <c r="U10" i="19"/>
  <c r="U11" i="19" s="1"/>
  <c r="U92" i="9"/>
  <c r="R10" i="19"/>
  <c r="R11" i="19" s="1"/>
  <c r="T92" i="9"/>
  <c r="Q10" i="19"/>
  <c r="Q11" i="19" s="1"/>
  <c r="R92" i="9"/>
  <c r="O10" i="19"/>
  <c r="O11" i="19" s="1"/>
  <c r="I92" i="9"/>
  <c r="F10" i="19"/>
  <c r="F11" i="19" s="1"/>
  <c r="AA92" i="9"/>
  <c r="L114" i="9" s="1"/>
  <c r="X10" i="19"/>
  <c r="X11" i="19" s="1"/>
  <c r="Z92" i="9"/>
  <c r="W10" i="19"/>
  <c r="W11" i="19" s="1"/>
  <c r="W92" i="9"/>
  <c r="T10" i="19"/>
  <c r="T11" i="19" s="1"/>
  <c r="Q52" i="9"/>
  <c r="J71" i="9" s="1"/>
  <c r="N10" i="19"/>
  <c r="N11" i="19" s="1"/>
  <c r="P52" i="9"/>
  <c r="M10" i="19"/>
  <c r="M11" i="19" s="1"/>
  <c r="O92" i="9"/>
  <c r="L10" i="19"/>
  <c r="L11" i="19" s="1"/>
  <c r="K15" i="7"/>
  <c r="I23" i="19"/>
  <c r="K16" i="7"/>
  <c r="I24" i="19"/>
  <c r="H34" i="2"/>
  <c r="W11" i="2"/>
  <c r="I17" i="2"/>
  <c r="F6" i="19" s="1"/>
  <c r="H30" i="2"/>
  <c r="H50" i="9" s="1"/>
  <c r="H69" i="9" s="1"/>
  <c r="G5" i="7"/>
  <c r="H35" i="2"/>
  <c r="H45" i="9"/>
  <c r="H64" i="9" s="1"/>
  <c r="H83" i="9"/>
  <c r="H106" i="9" s="1"/>
  <c r="E22" i="6"/>
  <c r="B23" i="6"/>
  <c r="G25" i="6"/>
  <c r="N92" i="9"/>
  <c r="L52" i="9"/>
  <c r="I71" i="9" s="1"/>
  <c r="J23" i="2"/>
  <c r="J24" i="2" s="1"/>
  <c r="E33" i="13"/>
  <c r="K23" i="2" s="1"/>
  <c r="K24" i="2" s="1"/>
  <c r="C34" i="13"/>
  <c r="Y52" i="9"/>
  <c r="S52" i="9"/>
  <c r="J52" i="9"/>
  <c r="M92" i="9"/>
  <c r="Q92" i="9"/>
  <c r="J114" i="9" s="1"/>
  <c r="X52" i="9"/>
  <c r="H92" i="9"/>
  <c r="H114" i="9" s="1"/>
  <c r="P92" i="9"/>
  <c r="K92" i="9"/>
  <c r="T52" i="9"/>
  <c r="V52" i="9"/>
  <c r="K71" i="9" s="1"/>
  <c r="Z52" i="9"/>
  <c r="W52" i="9"/>
  <c r="R52" i="9"/>
  <c r="AA52" i="9"/>
  <c r="L71" i="9" s="1"/>
  <c r="U52" i="9"/>
  <c r="O52" i="9"/>
  <c r="H52" i="9"/>
  <c r="H71" i="9" s="1"/>
  <c r="I52" i="9"/>
  <c r="D36" i="15"/>
  <c r="E34" i="15"/>
  <c r="E35" i="15"/>
  <c r="G25" i="15"/>
  <c r="F28" i="15"/>
  <c r="F29" i="15" s="1"/>
  <c r="J82" i="9"/>
  <c r="I4" i="7"/>
  <c r="J44" i="9"/>
  <c r="P5" i="9"/>
  <c r="J12" i="2"/>
  <c r="J13" i="2" s="1"/>
  <c r="J14" i="2" s="1"/>
  <c r="H30" i="12"/>
  <c r="H38" i="12"/>
  <c r="I35" i="12"/>
  <c r="I34" i="12"/>
  <c r="J12" i="12"/>
  <c r="J13" i="12" s="1"/>
  <c r="J14" i="12" s="1"/>
  <c r="J17" i="12" s="1"/>
  <c r="J30" i="12" s="1"/>
  <c r="K11" i="12"/>
  <c r="I30" i="12"/>
  <c r="K23" i="12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Y23" i="12" s="1"/>
  <c r="Z23" i="12" s="1"/>
  <c r="AA23" i="12" s="1"/>
  <c r="M7" i="12"/>
  <c r="N9" i="12"/>
  <c r="N36" i="12"/>
  <c r="O8" i="12"/>
  <c r="N37" i="12"/>
  <c r="O66" i="12"/>
  <c r="M37" i="2"/>
  <c r="J24" i="19" s="1"/>
  <c r="M36" i="2"/>
  <c r="J23" i="19" s="1"/>
  <c r="N8" i="2"/>
  <c r="N73" i="2"/>
  <c r="M9" i="2"/>
  <c r="L7" i="2"/>
  <c r="L59" i="2" l="1"/>
  <c r="I30" i="19" s="1"/>
  <c r="G14" i="7"/>
  <c r="E22" i="19"/>
  <c r="G13" i="7"/>
  <c r="E21" i="19"/>
  <c r="X11" i="2"/>
  <c r="I30" i="2"/>
  <c r="I83" i="9"/>
  <c r="I34" i="2"/>
  <c r="F21" i="19" s="1"/>
  <c r="I45" i="9"/>
  <c r="H5" i="7"/>
  <c r="I35" i="2"/>
  <c r="F22" i="19" s="1"/>
  <c r="J17" i="2"/>
  <c r="G6" i="19" s="1"/>
  <c r="H38" i="2"/>
  <c r="H39" i="2" s="1"/>
  <c r="G9" i="7"/>
  <c r="H88" i="9"/>
  <c r="H111" i="9" s="1"/>
  <c r="B24" i="6"/>
  <c r="E23" i="6"/>
  <c r="G26" i="6"/>
  <c r="C35" i="13"/>
  <c r="E34" i="13"/>
  <c r="L23" i="2" s="1"/>
  <c r="L24" i="2" s="1"/>
  <c r="F75" i="15"/>
  <c r="D55" i="15"/>
  <c r="AB52" i="9"/>
  <c r="M71" i="9" s="1"/>
  <c r="F47" i="15"/>
  <c r="F49" i="15" s="1"/>
  <c r="G43" i="15"/>
  <c r="G46" i="15" s="1"/>
  <c r="E36" i="15"/>
  <c r="H25" i="15"/>
  <c r="H28" i="15" s="1"/>
  <c r="H29" i="15" s="1"/>
  <c r="H47" i="15" s="1"/>
  <c r="H49" i="15" s="1"/>
  <c r="G28" i="15"/>
  <c r="G29" i="15" s="1"/>
  <c r="F35" i="15"/>
  <c r="F34" i="15"/>
  <c r="K82" i="9"/>
  <c r="J4" i="7"/>
  <c r="K44" i="9"/>
  <c r="K12" i="2"/>
  <c r="K13" i="2" s="1"/>
  <c r="K14" i="2" s="1"/>
  <c r="I38" i="12"/>
  <c r="I39" i="12" s="1"/>
  <c r="J35" i="12"/>
  <c r="J34" i="12"/>
  <c r="H63" i="12"/>
  <c r="H39" i="12"/>
  <c r="L11" i="12"/>
  <c r="K12" i="12"/>
  <c r="K13" i="12" s="1"/>
  <c r="K14" i="12" s="1"/>
  <c r="K17" i="12" s="1"/>
  <c r="P8" i="12"/>
  <c r="O37" i="12"/>
  <c r="O36" i="12"/>
  <c r="P66" i="12"/>
  <c r="O9" i="12"/>
  <c r="N7" i="12"/>
  <c r="N36" i="2"/>
  <c r="K23" i="19" s="1"/>
  <c r="O8" i="2"/>
  <c r="N37" i="2"/>
  <c r="K24" i="19" s="1"/>
  <c r="O73" i="2"/>
  <c r="N9" i="2"/>
  <c r="M7" i="2"/>
  <c r="M59" i="2" l="1"/>
  <c r="J30" i="19" s="1"/>
  <c r="E25" i="19"/>
  <c r="E12" i="19" s="1"/>
  <c r="F25" i="19"/>
  <c r="G17" i="7"/>
  <c r="G18" i="7" s="1"/>
  <c r="H14" i="7"/>
  <c r="Y11" i="2"/>
  <c r="I88" i="9"/>
  <c r="H9" i="7"/>
  <c r="I50" i="9"/>
  <c r="H13" i="7"/>
  <c r="I38" i="2"/>
  <c r="J83" i="9"/>
  <c r="J30" i="2"/>
  <c r="J34" i="2"/>
  <c r="G21" i="19" s="1"/>
  <c r="J35" i="2"/>
  <c r="G22" i="19" s="1"/>
  <c r="J45" i="9"/>
  <c r="I5" i="7"/>
  <c r="K17" i="2"/>
  <c r="H6" i="19" s="1"/>
  <c r="H70" i="2"/>
  <c r="E24" i="6"/>
  <c r="B25" i="6"/>
  <c r="G27" i="6"/>
  <c r="C36" i="13"/>
  <c r="E35" i="13"/>
  <c r="M23" i="2" s="1"/>
  <c r="M24" i="2" s="1"/>
  <c r="F80" i="15"/>
  <c r="D60" i="15"/>
  <c r="D67" i="15" s="1"/>
  <c r="G47" i="15"/>
  <c r="G49" i="15" s="1"/>
  <c r="D56" i="15"/>
  <c r="D57" i="15" s="1"/>
  <c r="F76" i="15"/>
  <c r="F77" i="15" s="1"/>
  <c r="F78" i="15" s="1"/>
  <c r="F36" i="15"/>
  <c r="F37" i="15" s="1"/>
  <c r="G34" i="15"/>
  <c r="G35" i="15"/>
  <c r="H34" i="15"/>
  <c r="H35" i="15"/>
  <c r="L82" i="9"/>
  <c r="I105" i="9" s="1"/>
  <c r="K4" i="7"/>
  <c r="L44" i="9"/>
  <c r="I63" i="12"/>
  <c r="L12" i="2"/>
  <c r="L13" i="2" s="1"/>
  <c r="L14" i="2" s="1"/>
  <c r="L17" i="2" s="1"/>
  <c r="I6" i="19" s="1"/>
  <c r="J38" i="12"/>
  <c r="J63" i="12" s="1"/>
  <c r="K30" i="12"/>
  <c r="K34" i="12"/>
  <c r="K35" i="12"/>
  <c r="L12" i="12"/>
  <c r="L13" i="12" s="1"/>
  <c r="L14" i="12" s="1"/>
  <c r="L17" i="12" s="1"/>
  <c r="M11" i="12"/>
  <c r="P9" i="12"/>
  <c r="O7" i="12"/>
  <c r="Q8" i="12"/>
  <c r="P37" i="12"/>
  <c r="P36" i="12"/>
  <c r="Q66" i="12"/>
  <c r="P8" i="2"/>
  <c r="O36" i="2"/>
  <c r="L23" i="19" s="1"/>
  <c r="O37" i="2"/>
  <c r="L24" i="19" s="1"/>
  <c r="P73" i="2"/>
  <c r="O9" i="2"/>
  <c r="N7" i="2"/>
  <c r="F35" i="19" l="1"/>
  <c r="F12" i="19"/>
  <c r="F13" i="19" s="1"/>
  <c r="E13" i="19"/>
  <c r="E35" i="19"/>
  <c r="N59" i="2"/>
  <c r="K30" i="19" s="1"/>
  <c r="G25" i="19"/>
  <c r="G12" i="19" s="1"/>
  <c r="H17" i="7"/>
  <c r="H18" i="7" s="1"/>
  <c r="I14" i="7"/>
  <c r="Z11" i="2"/>
  <c r="I70" i="2"/>
  <c r="I39" i="2"/>
  <c r="J88" i="9"/>
  <c r="I9" i="7"/>
  <c r="J50" i="9"/>
  <c r="I13" i="7"/>
  <c r="J38" i="2"/>
  <c r="K83" i="9"/>
  <c r="K30" i="2"/>
  <c r="K45" i="9"/>
  <c r="J5" i="7"/>
  <c r="K34" i="2"/>
  <c r="H21" i="19" s="1"/>
  <c r="K35" i="2"/>
  <c r="H22" i="19" s="1"/>
  <c r="B26" i="6"/>
  <c r="E25" i="6"/>
  <c r="G28" i="6"/>
  <c r="D58" i="15"/>
  <c r="D61" i="15" s="1"/>
  <c r="E36" i="13"/>
  <c r="N23" i="2" s="1"/>
  <c r="N24" i="2" s="1"/>
  <c r="C37" i="13"/>
  <c r="F82" i="15"/>
  <c r="G36" i="15"/>
  <c r="G37" i="15" s="1"/>
  <c r="H36" i="15"/>
  <c r="H37" i="15" s="1"/>
  <c r="L83" i="9"/>
  <c r="I106" i="9" s="1"/>
  <c r="M82" i="9"/>
  <c r="I63" i="9"/>
  <c r="M44" i="9"/>
  <c r="L30" i="2"/>
  <c r="L45" i="9"/>
  <c r="I64" i="9" s="1"/>
  <c r="K5" i="7"/>
  <c r="L34" i="2"/>
  <c r="I21" i="19" s="1"/>
  <c r="L35" i="2"/>
  <c r="I22" i="19" s="1"/>
  <c r="M12" i="2"/>
  <c r="M13" i="2" s="1"/>
  <c r="M14" i="2" s="1"/>
  <c r="M17" i="2" s="1"/>
  <c r="J6" i="19" s="1"/>
  <c r="J39" i="12"/>
  <c r="M12" i="12"/>
  <c r="M13" i="12" s="1"/>
  <c r="M14" i="12" s="1"/>
  <c r="M17" i="12" s="1"/>
  <c r="N11" i="12"/>
  <c r="K38" i="12"/>
  <c r="L30" i="12"/>
  <c r="L35" i="12"/>
  <c r="L34" i="12"/>
  <c r="R8" i="12"/>
  <c r="Q37" i="12"/>
  <c r="Q36" i="12"/>
  <c r="R66" i="12"/>
  <c r="Q9" i="12"/>
  <c r="P7" i="12"/>
  <c r="O7" i="2"/>
  <c r="P9" i="2"/>
  <c r="Q8" i="2"/>
  <c r="P37" i="2"/>
  <c r="M24" i="19" s="1"/>
  <c r="P36" i="2"/>
  <c r="M23" i="19" s="1"/>
  <c r="Q73" i="2"/>
  <c r="G35" i="19" l="1"/>
  <c r="G13" i="19"/>
  <c r="O59" i="2"/>
  <c r="L30" i="19" s="1"/>
  <c r="I25" i="19"/>
  <c r="H25" i="19"/>
  <c r="I17" i="7"/>
  <c r="I18" i="7" s="1"/>
  <c r="J14" i="7"/>
  <c r="K13" i="7"/>
  <c r="K14" i="7"/>
  <c r="AA11" i="2"/>
  <c r="K88" i="9"/>
  <c r="J9" i="7"/>
  <c r="K50" i="9"/>
  <c r="J39" i="2"/>
  <c r="J70" i="2"/>
  <c r="J13" i="7"/>
  <c r="K38" i="2"/>
  <c r="E26" i="6"/>
  <c r="B27" i="6"/>
  <c r="G29" i="6"/>
  <c r="E37" i="13"/>
  <c r="O23" i="2" s="1"/>
  <c r="O24" i="2" s="1"/>
  <c r="C38" i="13"/>
  <c r="M83" i="9"/>
  <c r="L88" i="9"/>
  <c r="I111" i="9" s="1"/>
  <c r="N44" i="9"/>
  <c r="N82" i="9"/>
  <c r="K9" i="7"/>
  <c r="L50" i="9"/>
  <c r="I69" i="9" s="1"/>
  <c r="N12" i="2"/>
  <c r="N13" i="2" s="1"/>
  <c r="N14" i="2" s="1"/>
  <c r="N17" i="2" s="1"/>
  <c r="K6" i="19" s="1"/>
  <c r="M30" i="2"/>
  <c r="M45" i="9"/>
  <c r="L38" i="2"/>
  <c r="L39" i="2" s="1"/>
  <c r="M34" i="2"/>
  <c r="J21" i="19" s="1"/>
  <c r="M35" i="2"/>
  <c r="J22" i="19" s="1"/>
  <c r="L38" i="12"/>
  <c r="L39" i="12" s="1"/>
  <c r="K63" i="12"/>
  <c r="K39" i="12"/>
  <c r="N12" i="12"/>
  <c r="N13" i="12" s="1"/>
  <c r="N14" i="12" s="1"/>
  <c r="N17" i="12" s="1"/>
  <c r="O11" i="12"/>
  <c r="M30" i="12"/>
  <c r="M34" i="12"/>
  <c r="M35" i="12"/>
  <c r="R37" i="12"/>
  <c r="S8" i="12"/>
  <c r="R36" i="12"/>
  <c r="S66" i="12"/>
  <c r="Q7" i="12"/>
  <c r="R9" i="12"/>
  <c r="Q37" i="2"/>
  <c r="N24" i="19" s="1"/>
  <c r="R8" i="2"/>
  <c r="Q36" i="2"/>
  <c r="N23" i="19" s="1"/>
  <c r="R73" i="2"/>
  <c r="P7" i="2"/>
  <c r="Q9" i="2"/>
  <c r="I35" i="19" l="1"/>
  <c r="I12" i="19"/>
  <c r="I13" i="19" s="1"/>
  <c r="H35" i="19"/>
  <c r="H12" i="19"/>
  <c r="H13" i="19" s="1"/>
  <c r="P59" i="2"/>
  <c r="M30" i="19" s="1"/>
  <c r="J25" i="19"/>
  <c r="J12" i="19" s="1"/>
  <c r="K17" i="7"/>
  <c r="K18" i="7" s="1"/>
  <c r="J17" i="7"/>
  <c r="J18" i="7" s="1"/>
  <c r="K70" i="2"/>
  <c r="K39" i="2"/>
  <c r="B28" i="6"/>
  <c r="E27" i="6"/>
  <c r="G30" i="6"/>
  <c r="E38" i="13"/>
  <c r="P23" i="2" s="1"/>
  <c r="P24" i="2" s="1"/>
  <c r="C39" i="13"/>
  <c r="M50" i="9"/>
  <c r="M88" i="9"/>
  <c r="N45" i="9"/>
  <c r="N83" i="9"/>
  <c r="O44" i="9"/>
  <c r="O82" i="9"/>
  <c r="N30" i="2"/>
  <c r="N34" i="2"/>
  <c r="K21" i="19" s="1"/>
  <c r="N35" i="2"/>
  <c r="K22" i="19" s="1"/>
  <c r="O12" i="2"/>
  <c r="O13" i="2" s="1"/>
  <c r="O14" i="2" s="1"/>
  <c r="O17" i="2" s="1"/>
  <c r="L6" i="19" s="1"/>
  <c r="L70" i="2"/>
  <c r="M38" i="2"/>
  <c r="M70" i="2" s="1"/>
  <c r="L63" i="12"/>
  <c r="M38" i="12"/>
  <c r="O12" i="12"/>
  <c r="O13" i="12" s="1"/>
  <c r="O14" i="12" s="1"/>
  <c r="O17" i="12" s="1"/>
  <c r="P11" i="12"/>
  <c r="N30" i="12"/>
  <c r="N35" i="12"/>
  <c r="N34" i="12"/>
  <c r="S9" i="12"/>
  <c r="R7" i="12"/>
  <c r="S36" i="12"/>
  <c r="T8" i="12"/>
  <c r="S37" i="12"/>
  <c r="T66" i="12"/>
  <c r="Q7" i="2"/>
  <c r="R9" i="2"/>
  <c r="R36" i="2"/>
  <c r="O23" i="19" s="1"/>
  <c r="R37" i="2"/>
  <c r="O24" i="19" s="1"/>
  <c r="S8" i="2"/>
  <c r="S73" i="2"/>
  <c r="J35" i="19" l="1"/>
  <c r="J13" i="19"/>
  <c r="Q59" i="2"/>
  <c r="N30" i="19" s="1"/>
  <c r="K25" i="19"/>
  <c r="K12" i="19" s="1"/>
  <c r="B29" i="6"/>
  <c r="E28" i="6"/>
  <c r="G31" i="6"/>
  <c r="E39" i="13"/>
  <c r="Q23" i="2" s="1"/>
  <c r="Q24" i="2" s="1"/>
  <c r="C40" i="13"/>
  <c r="N50" i="9"/>
  <c r="N88" i="9"/>
  <c r="P12" i="2"/>
  <c r="P13" i="2" s="1"/>
  <c r="P14" i="2" s="1"/>
  <c r="P17" i="2" s="1"/>
  <c r="M6" i="19" s="1"/>
  <c r="O34" i="2"/>
  <c r="L21" i="19" s="1"/>
  <c r="O83" i="9"/>
  <c r="P44" i="9"/>
  <c r="P82" i="9"/>
  <c r="O45" i="9"/>
  <c r="N38" i="2"/>
  <c r="N39" i="2" s="1"/>
  <c r="O35" i="2"/>
  <c r="L22" i="19" s="1"/>
  <c r="O30" i="2"/>
  <c r="M39" i="2"/>
  <c r="N38" i="12"/>
  <c r="N39" i="12" s="1"/>
  <c r="P12" i="12"/>
  <c r="P13" i="12" s="1"/>
  <c r="P14" i="12" s="1"/>
  <c r="P17" i="12" s="1"/>
  <c r="Q11" i="12"/>
  <c r="O34" i="12"/>
  <c r="O35" i="12"/>
  <c r="O30" i="12"/>
  <c r="M63" i="12"/>
  <c r="M39" i="12"/>
  <c r="U8" i="12"/>
  <c r="T37" i="12"/>
  <c r="T36" i="12"/>
  <c r="U66" i="12"/>
  <c r="T9" i="12"/>
  <c r="S7" i="12"/>
  <c r="S37" i="2"/>
  <c r="P24" i="19" s="1"/>
  <c r="S36" i="2"/>
  <c r="P23" i="19" s="1"/>
  <c r="T8" i="2"/>
  <c r="T73" i="2"/>
  <c r="S9" i="2"/>
  <c r="R7" i="2"/>
  <c r="K35" i="19" l="1"/>
  <c r="K13" i="19"/>
  <c r="R59" i="2"/>
  <c r="O30" i="19" s="1"/>
  <c r="L25" i="19"/>
  <c r="B30" i="6"/>
  <c r="E29" i="6"/>
  <c r="G32" i="6"/>
  <c r="Q44" i="9"/>
  <c r="J63" i="9" s="1"/>
  <c r="E40" i="13"/>
  <c r="R23" i="2" s="1"/>
  <c r="R24" i="2" s="1"/>
  <c r="C41" i="13"/>
  <c r="Q12" i="2"/>
  <c r="Q13" i="2" s="1"/>
  <c r="Q14" i="2" s="1"/>
  <c r="Q17" i="2" s="1"/>
  <c r="Q82" i="9"/>
  <c r="J105" i="9" s="1"/>
  <c r="P35" i="2"/>
  <c r="M22" i="19" s="1"/>
  <c r="P45" i="9"/>
  <c r="P83" i="9"/>
  <c r="P30" i="2"/>
  <c r="P34" i="2"/>
  <c r="M21" i="19" s="1"/>
  <c r="O50" i="9"/>
  <c r="O88" i="9"/>
  <c r="O38" i="2"/>
  <c r="O70" i="2" s="1"/>
  <c r="N70" i="2"/>
  <c r="N63" i="12"/>
  <c r="O38" i="12"/>
  <c r="Q12" i="12"/>
  <c r="Q13" i="12" s="1"/>
  <c r="Q14" i="12" s="1"/>
  <c r="Q17" i="12" s="1"/>
  <c r="R11" i="12"/>
  <c r="P30" i="12"/>
  <c r="P34" i="12"/>
  <c r="P35" i="12"/>
  <c r="U37" i="12"/>
  <c r="V8" i="12"/>
  <c r="U36" i="12"/>
  <c r="V66" i="12"/>
  <c r="U9" i="12"/>
  <c r="T7" i="12"/>
  <c r="T9" i="2"/>
  <c r="S7" i="2"/>
  <c r="T37" i="2"/>
  <c r="Q24" i="19" s="1"/>
  <c r="T36" i="2"/>
  <c r="Q23" i="19" s="1"/>
  <c r="U8" i="2"/>
  <c r="U73" i="2"/>
  <c r="Q35" i="2" l="1"/>
  <c r="N22" i="19" s="1"/>
  <c r="N6" i="19"/>
  <c r="L35" i="19"/>
  <c r="L12" i="19"/>
  <c r="L13" i="19" s="1"/>
  <c r="S59" i="2"/>
  <c r="P30" i="19" s="1"/>
  <c r="M25" i="19"/>
  <c r="E30" i="6"/>
  <c r="D30" i="6" s="1"/>
  <c r="B31" i="6"/>
  <c r="G33" i="6"/>
  <c r="C42" i="13"/>
  <c r="E41" i="13"/>
  <c r="S23" i="2" s="1"/>
  <c r="S24" i="2" s="1"/>
  <c r="Q83" i="9"/>
  <c r="J106" i="9" s="1"/>
  <c r="Q45" i="9"/>
  <c r="J64" i="9" s="1"/>
  <c r="Q30" i="2"/>
  <c r="Q50" i="9" s="1"/>
  <c r="J69" i="9" s="1"/>
  <c r="Q34" i="2"/>
  <c r="N21" i="19" s="1"/>
  <c r="R12" i="2"/>
  <c r="R13" i="2" s="1"/>
  <c r="R14" i="2" s="1"/>
  <c r="R17" i="2" s="1"/>
  <c r="R82" i="9"/>
  <c r="R44" i="9"/>
  <c r="P38" i="2"/>
  <c r="P70" i="2" s="1"/>
  <c r="P50" i="9"/>
  <c r="P88" i="9"/>
  <c r="O39" i="2"/>
  <c r="O63" i="12"/>
  <c r="O39" i="12"/>
  <c r="Q34" i="12"/>
  <c r="Q35" i="12"/>
  <c r="Q30" i="12"/>
  <c r="P38" i="12"/>
  <c r="S11" i="12"/>
  <c r="R12" i="12"/>
  <c r="R13" i="12" s="1"/>
  <c r="R14" i="12" s="1"/>
  <c r="R17" i="12" s="1"/>
  <c r="V9" i="12"/>
  <c r="U7" i="12"/>
  <c r="W8" i="12"/>
  <c r="V36" i="12"/>
  <c r="V37" i="12"/>
  <c r="W66" i="12"/>
  <c r="U37" i="2"/>
  <c r="R24" i="19" s="1"/>
  <c r="U36" i="2"/>
  <c r="R23" i="19" s="1"/>
  <c r="V8" i="2"/>
  <c r="V73" i="2"/>
  <c r="U9" i="2"/>
  <c r="T7" i="2"/>
  <c r="N25" i="19" l="1"/>
  <c r="R35" i="2"/>
  <c r="O22" i="19" s="1"/>
  <c r="O6" i="19"/>
  <c r="M35" i="19"/>
  <c r="M12" i="19"/>
  <c r="M13" i="19" s="1"/>
  <c r="T59" i="2"/>
  <c r="Q30" i="19" s="1"/>
  <c r="Q38" i="2"/>
  <c r="E31" i="6"/>
  <c r="D31" i="6" s="1"/>
  <c r="B32" i="6"/>
  <c r="G34" i="6"/>
  <c r="S44" i="9"/>
  <c r="S82" i="9"/>
  <c r="S12" i="2"/>
  <c r="S13" i="2" s="1"/>
  <c r="S14" i="2" s="1"/>
  <c r="S17" i="2" s="1"/>
  <c r="C43" i="13"/>
  <c r="E42" i="13"/>
  <c r="T23" i="2" s="1"/>
  <c r="T24" i="2" s="1"/>
  <c r="Q88" i="9"/>
  <c r="J111" i="9" s="1"/>
  <c r="R30" i="2"/>
  <c r="R50" i="9" s="1"/>
  <c r="R45" i="9"/>
  <c r="R83" i="9"/>
  <c r="R34" i="2"/>
  <c r="O21" i="19" s="1"/>
  <c r="P39" i="2"/>
  <c r="Q38" i="12"/>
  <c r="Q63" i="12" s="1"/>
  <c r="T11" i="12"/>
  <c r="S12" i="12"/>
  <c r="S13" i="12" s="1"/>
  <c r="S14" i="12" s="1"/>
  <c r="S17" i="12" s="1"/>
  <c r="P63" i="12"/>
  <c r="P39" i="12"/>
  <c r="R30" i="12"/>
  <c r="R34" i="12"/>
  <c r="R35" i="12"/>
  <c r="W37" i="12"/>
  <c r="W36" i="12"/>
  <c r="X8" i="12"/>
  <c r="X66" i="12"/>
  <c r="V7" i="12"/>
  <c r="W9" i="12"/>
  <c r="V9" i="2"/>
  <c r="U7" i="2"/>
  <c r="V37" i="2"/>
  <c r="S24" i="19" s="1"/>
  <c r="V36" i="2"/>
  <c r="S23" i="19" s="1"/>
  <c r="W8" i="2"/>
  <c r="W73" i="2"/>
  <c r="N12" i="19" l="1"/>
  <c r="N13" i="19" s="1"/>
  <c r="N35" i="19"/>
  <c r="O25" i="19"/>
  <c r="S45" i="9"/>
  <c r="P6" i="19"/>
  <c r="U59" i="2"/>
  <c r="R30" i="19" s="1"/>
  <c r="Q70" i="2"/>
  <c r="Q39" i="2"/>
  <c r="R38" i="2"/>
  <c r="B33" i="6"/>
  <c r="E32" i="6"/>
  <c r="D32" i="6" s="1"/>
  <c r="G35" i="6"/>
  <c r="S34" i="2"/>
  <c r="P21" i="19" s="1"/>
  <c r="S35" i="2"/>
  <c r="P22" i="19" s="1"/>
  <c r="S30" i="2"/>
  <c r="S50" i="9" s="1"/>
  <c r="S83" i="9"/>
  <c r="T44" i="9"/>
  <c r="T82" i="9"/>
  <c r="T12" i="2"/>
  <c r="T13" i="2" s="1"/>
  <c r="T14" i="2" s="1"/>
  <c r="T17" i="2" s="1"/>
  <c r="C44" i="13"/>
  <c r="E43" i="13"/>
  <c r="U23" i="2" s="1"/>
  <c r="U24" i="2" s="1"/>
  <c r="R88" i="9"/>
  <c r="Q39" i="12"/>
  <c r="R38" i="12"/>
  <c r="S30" i="12"/>
  <c r="S35" i="12"/>
  <c r="S34" i="12"/>
  <c r="U11" i="12"/>
  <c r="T12" i="12"/>
  <c r="T13" i="12" s="1"/>
  <c r="T14" i="12" s="1"/>
  <c r="T17" i="12" s="1"/>
  <c r="X37" i="12"/>
  <c r="X36" i="12"/>
  <c r="Y8" i="12"/>
  <c r="Y66" i="12"/>
  <c r="W7" i="12"/>
  <c r="X9" i="12"/>
  <c r="W37" i="2"/>
  <c r="T24" i="19" s="1"/>
  <c r="W36" i="2"/>
  <c r="T23" i="19" s="1"/>
  <c r="X8" i="2"/>
  <c r="X73" i="2"/>
  <c r="W9" i="2"/>
  <c r="V7" i="2"/>
  <c r="O12" i="19" l="1"/>
  <c r="O13" i="19" s="1"/>
  <c r="O35" i="19"/>
  <c r="T83" i="9"/>
  <c r="Q6" i="19"/>
  <c r="V59" i="2"/>
  <c r="S30" i="19" s="1"/>
  <c r="P25" i="19"/>
  <c r="P12" i="19" s="1"/>
  <c r="R39" i="2"/>
  <c r="R70" i="2"/>
  <c r="B34" i="6"/>
  <c r="E33" i="6"/>
  <c r="D33" i="6" s="1"/>
  <c r="G36" i="6"/>
  <c r="T34" i="2"/>
  <c r="Q21" i="19" s="1"/>
  <c r="T35" i="2"/>
  <c r="Q22" i="19" s="1"/>
  <c r="S38" i="2"/>
  <c r="S70" i="2" s="1"/>
  <c r="U44" i="9"/>
  <c r="U82" i="9"/>
  <c r="U12" i="2"/>
  <c r="U13" i="2" s="1"/>
  <c r="U14" i="2" s="1"/>
  <c r="U17" i="2" s="1"/>
  <c r="S88" i="9"/>
  <c r="T30" i="2"/>
  <c r="T50" i="9" s="1"/>
  <c r="T45" i="9"/>
  <c r="E44" i="13"/>
  <c r="V23" i="2" s="1"/>
  <c r="V24" i="2" s="1"/>
  <c r="C45" i="13"/>
  <c r="S38" i="12"/>
  <c r="S63" i="12" s="1"/>
  <c r="V11" i="12"/>
  <c r="U12" i="12"/>
  <c r="U13" i="12" s="1"/>
  <c r="U14" i="12" s="1"/>
  <c r="U17" i="12" s="1"/>
  <c r="T30" i="12"/>
  <c r="T35" i="12"/>
  <c r="T34" i="12"/>
  <c r="R39" i="12"/>
  <c r="R63" i="12"/>
  <c r="Y37" i="12"/>
  <c r="Y36" i="12"/>
  <c r="Z8" i="12"/>
  <c r="Z66" i="12"/>
  <c r="X7" i="12"/>
  <c r="Y9" i="12"/>
  <c r="X9" i="2"/>
  <c r="W7" i="2"/>
  <c r="X37" i="2"/>
  <c r="U24" i="19" s="1"/>
  <c r="X36" i="2"/>
  <c r="U23" i="19" s="1"/>
  <c r="Y8" i="2"/>
  <c r="Y73" i="2"/>
  <c r="U30" i="2" l="1"/>
  <c r="R6" i="19"/>
  <c r="P13" i="19"/>
  <c r="P35" i="19"/>
  <c r="W59" i="2"/>
  <c r="T30" i="19" s="1"/>
  <c r="Q25" i="19"/>
  <c r="Q12" i="19" s="1"/>
  <c r="V44" i="9"/>
  <c r="K63" i="9" s="1"/>
  <c r="B35" i="6"/>
  <c r="E34" i="6"/>
  <c r="D34" i="6" s="1"/>
  <c r="G37" i="6"/>
  <c r="V82" i="9"/>
  <c r="K105" i="9" s="1"/>
  <c r="V12" i="2"/>
  <c r="V13" i="2" s="1"/>
  <c r="V14" i="2" s="1"/>
  <c r="V17" i="2" s="1"/>
  <c r="T38" i="2"/>
  <c r="T39" i="2" s="1"/>
  <c r="S39" i="2"/>
  <c r="U34" i="2"/>
  <c r="R21" i="19" s="1"/>
  <c r="U45" i="9"/>
  <c r="U35" i="2"/>
  <c r="R22" i="19" s="1"/>
  <c r="U83" i="9"/>
  <c r="T88" i="9"/>
  <c r="C46" i="13"/>
  <c r="E45" i="13"/>
  <c r="W23" i="2" s="1"/>
  <c r="W24" i="2" s="1"/>
  <c r="T38" i="12"/>
  <c r="T63" i="12" s="1"/>
  <c r="S39" i="12"/>
  <c r="U30" i="12"/>
  <c r="U34" i="12"/>
  <c r="U35" i="12"/>
  <c r="V12" i="12"/>
  <c r="V13" i="12" s="1"/>
  <c r="V14" i="12" s="1"/>
  <c r="V17" i="12" s="1"/>
  <c r="W11" i="12"/>
  <c r="Z9" i="12"/>
  <c r="Y7" i="12"/>
  <c r="AA8" i="12"/>
  <c r="Z37" i="12"/>
  <c r="Z36" i="12"/>
  <c r="AA66" i="12"/>
  <c r="E66" i="12" s="1"/>
  <c r="Y37" i="2"/>
  <c r="V24" i="19" s="1"/>
  <c r="Y36" i="2"/>
  <c r="V23" i="19" s="1"/>
  <c r="Z8" i="2"/>
  <c r="Z73" i="2"/>
  <c r="Y9" i="2"/>
  <c r="X7" i="2"/>
  <c r="U50" i="9" l="1"/>
  <c r="U88" i="9"/>
  <c r="V30" i="2"/>
  <c r="S6" i="19"/>
  <c r="Q13" i="19"/>
  <c r="Q35" i="19"/>
  <c r="X59" i="2"/>
  <c r="U30" i="19" s="1"/>
  <c r="R25" i="19"/>
  <c r="R12" i="19" s="1"/>
  <c r="W82" i="9"/>
  <c r="W44" i="9"/>
  <c r="W12" i="2"/>
  <c r="W13" i="2" s="1"/>
  <c r="W14" i="2" s="1"/>
  <c r="W17" i="2" s="1"/>
  <c r="B36" i="6"/>
  <c r="E35" i="6"/>
  <c r="D35" i="6" s="1"/>
  <c r="G38" i="6"/>
  <c r="V83" i="9"/>
  <c r="K106" i="9" s="1"/>
  <c r="V34" i="2"/>
  <c r="S21" i="19" s="1"/>
  <c r="V45" i="9"/>
  <c r="K64" i="9" s="1"/>
  <c r="V35" i="2"/>
  <c r="S22" i="19" s="1"/>
  <c r="T70" i="2"/>
  <c r="U38" i="2"/>
  <c r="U70" i="2" s="1"/>
  <c r="C47" i="13"/>
  <c r="E46" i="13"/>
  <c r="X23" i="2" s="1"/>
  <c r="X24" i="2" s="1"/>
  <c r="T39" i="12"/>
  <c r="W12" i="12"/>
  <c r="W13" i="12" s="1"/>
  <c r="W14" i="12" s="1"/>
  <c r="W17" i="12" s="1"/>
  <c r="X11" i="12"/>
  <c r="U38" i="12"/>
  <c r="V30" i="12"/>
  <c r="V35" i="12"/>
  <c r="V34" i="12"/>
  <c r="AA36" i="12"/>
  <c r="E36" i="12" s="1"/>
  <c r="AA37" i="12"/>
  <c r="E37" i="12" s="1"/>
  <c r="Z7" i="12"/>
  <c r="AA9" i="12"/>
  <c r="AA7" i="12" s="1"/>
  <c r="Z9" i="2"/>
  <c r="Y7" i="2"/>
  <c r="Z37" i="2"/>
  <c r="W24" i="19" s="1"/>
  <c r="Z36" i="2"/>
  <c r="W23" i="19" s="1"/>
  <c r="AA8" i="2"/>
  <c r="AA73" i="2"/>
  <c r="E73" i="2" s="1"/>
  <c r="V50" i="9" l="1"/>
  <c r="K69" i="9" s="1"/>
  <c r="V88" i="9"/>
  <c r="K111" i="9" s="1"/>
  <c r="W45" i="9"/>
  <c r="T6" i="19"/>
  <c r="R13" i="19"/>
  <c r="R35" i="19"/>
  <c r="Y59" i="2"/>
  <c r="V30" i="19" s="1"/>
  <c r="S25" i="19"/>
  <c r="S12" i="19" s="1"/>
  <c r="X44" i="9"/>
  <c r="X12" i="2"/>
  <c r="X13" i="2" s="1"/>
  <c r="X14" i="2" s="1"/>
  <c r="X17" i="2" s="1"/>
  <c r="X82" i="9"/>
  <c r="W83" i="9"/>
  <c r="W30" i="2"/>
  <c r="W50" i="9" s="1"/>
  <c r="W35" i="2"/>
  <c r="T22" i="19" s="1"/>
  <c r="W34" i="2"/>
  <c r="T21" i="19" s="1"/>
  <c r="B37" i="6"/>
  <c r="E36" i="6"/>
  <c r="D36" i="6" s="1"/>
  <c r="G39" i="6"/>
  <c r="V38" i="2"/>
  <c r="V39" i="2" s="1"/>
  <c r="U39" i="2"/>
  <c r="E47" i="13"/>
  <c r="Y23" i="2" s="1"/>
  <c r="Y24" i="2" s="1"/>
  <c r="C48" i="13"/>
  <c r="V38" i="12"/>
  <c r="V63" i="12" s="1"/>
  <c r="U39" i="12"/>
  <c r="U63" i="12"/>
  <c r="Y11" i="12"/>
  <c r="X12" i="12"/>
  <c r="X13" i="12" s="1"/>
  <c r="X14" i="12" s="1"/>
  <c r="W30" i="12"/>
  <c r="W35" i="12"/>
  <c r="W34" i="12"/>
  <c r="AA37" i="2"/>
  <c r="X24" i="19" s="1"/>
  <c r="AA36" i="2"/>
  <c r="X23" i="19" s="1"/>
  <c r="AA9" i="2"/>
  <c r="AA7" i="2" s="1"/>
  <c r="Z7" i="2"/>
  <c r="X30" i="2" l="1"/>
  <c r="U6" i="19"/>
  <c r="S13" i="19"/>
  <c r="S35" i="19"/>
  <c r="Z59" i="2"/>
  <c r="W30" i="19" s="1"/>
  <c r="T25" i="19"/>
  <c r="T12" i="19" s="1"/>
  <c r="Y82" i="9"/>
  <c r="Y44" i="9"/>
  <c r="X83" i="9"/>
  <c r="X35" i="2"/>
  <c r="U22" i="19" s="1"/>
  <c r="X34" i="2"/>
  <c r="U21" i="19" s="1"/>
  <c r="Y12" i="2"/>
  <c r="Y13" i="2" s="1"/>
  <c r="Y14" i="2" s="1"/>
  <c r="Y17" i="2" s="1"/>
  <c r="X45" i="9"/>
  <c r="W38" i="2"/>
  <c r="W39" i="2" s="1"/>
  <c r="W88" i="9"/>
  <c r="E37" i="6"/>
  <c r="D37" i="6" s="1"/>
  <c r="B38" i="6"/>
  <c r="G40" i="6"/>
  <c r="V70" i="2"/>
  <c r="C49" i="13"/>
  <c r="E48" i="13"/>
  <c r="Z23" i="2" s="1"/>
  <c r="Z24" i="2" s="1"/>
  <c r="V39" i="12"/>
  <c r="X17" i="12"/>
  <c r="W38" i="12"/>
  <c r="Z11" i="12"/>
  <c r="Y12" i="12"/>
  <c r="Y13" i="12" s="1"/>
  <c r="Y14" i="12" s="1"/>
  <c r="Y17" i="12" s="1"/>
  <c r="M15" i="7"/>
  <c r="E36" i="2"/>
  <c r="E15" i="7" s="1"/>
  <c r="M16" i="7"/>
  <c r="E37" i="2"/>
  <c r="E16" i="7" s="1"/>
  <c r="X50" i="9" l="1"/>
  <c r="X88" i="9"/>
  <c r="Y45" i="9"/>
  <c r="V6" i="19"/>
  <c r="T13" i="19"/>
  <c r="T35" i="19"/>
  <c r="AA59" i="2"/>
  <c r="X30" i="19" s="1"/>
  <c r="U25" i="19"/>
  <c r="U12" i="19" s="1"/>
  <c r="X38" i="2"/>
  <c r="X39" i="2" s="1"/>
  <c r="Z82" i="9"/>
  <c r="Y30" i="2"/>
  <c r="Y50" i="9" s="1"/>
  <c r="Y34" i="2"/>
  <c r="V21" i="19" s="1"/>
  <c r="Y35" i="2"/>
  <c r="V22" i="19" s="1"/>
  <c r="Z44" i="9"/>
  <c r="Y83" i="9"/>
  <c r="Z12" i="2"/>
  <c r="Z13" i="2" s="1"/>
  <c r="Z14" i="2" s="1"/>
  <c r="Z17" i="2" s="1"/>
  <c r="W70" i="2"/>
  <c r="E38" i="6"/>
  <c r="D38" i="6" s="1"/>
  <c r="B39" i="6"/>
  <c r="G41" i="6"/>
  <c r="C50" i="13"/>
  <c r="E49" i="13"/>
  <c r="AA23" i="2" s="1"/>
  <c r="AA24" i="2" s="1"/>
  <c r="Y30" i="12"/>
  <c r="Y35" i="12"/>
  <c r="Y34" i="12"/>
  <c r="AA11" i="12"/>
  <c r="AA12" i="12" s="1"/>
  <c r="AA13" i="12" s="1"/>
  <c r="AA14" i="12" s="1"/>
  <c r="AA17" i="12" s="1"/>
  <c r="Z12" i="12"/>
  <c r="Z13" i="12" s="1"/>
  <c r="Z14" i="12" s="1"/>
  <c r="Z17" i="12" s="1"/>
  <c r="W39" i="12"/>
  <c r="W63" i="12"/>
  <c r="X30" i="12"/>
  <c r="X35" i="12"/>
  <c r="X34" i="12"/>
  <c r="Z45" i="9" l="1"/>
  <c r="W6" i="19"/>
  <c r="U13" i="19"/>
  <c r="U35" i="19"/>
  <c r="E59" i="2"/>
  <c r="V25" i="19"/>
  <c r="V12" i="19" s="1"/>
  <c r="AA44" i="9"/>
  <c r="AA82" i="9"/>
  <c r="AA12" i="2"/>
  <c r="AA13" i="2" s="1"/>
  <c r="AA14" i="2" s="1"/>
  <c r="E10" i="4"/>
  <c r="M4" i="7"/>
  <c r="X70" i="2"/>
  <c r="Y38" i="2"/>
  <c r="Y39" i="2" s="1"/>
  <c r="Z83" i="9"/>
  <c r="Z34" i="2"/>
  <c r="W21" i="19" s="1"/>
  <c r="Z35" i="2"/>
  <c r="W22" i="19" s="1"/>
  <c r="Z30" i="2"/>
  <c r="Z88" i="9" s="1"/>
  <c r="Y88" i="9"/>
  <c r="B40" i="6"/>
  <c r="E39" i="6"/>
  <c r="D39" i="6" s="1"/>
  <c r="G42" i="6"/>
  <c r="E50" i="13"/>
  <c r="C51" i="13"/>
  <c r="F4" i="9"/>
  <c r="F7" i="9"/>
  <c r="E17" i="12"/>
  <c r="Q72" i="12" s="1"/>
  <c r="E14" i="12"/>
  <c r="Y38" i="12"/>
  <c r="Y39" i="12" s="1"/>
  <c r="AA34" i="12"/>
  <c r="AA35" i="12"/>
  <c r="AA30" i="12"/>
  <c r="X38" i="12"/>
  <c r="Z30" i="12"/>
  <c r="Z35" i="12"/>
  <c r="Z34" i="12"/>
  <c r="V13" i="19" l="1"/>
  <c r="V35" i="19"/>
  <c r="S26" i="4"/>
  <c r="E29" i="7"/>
  <c r="W25" i="19"/>
  <c r="W12" i="19" s="1"/>
  <c r="AB82" i="9"/>
  <c r="M105" i="9" s="1"/>
  <c r="L105" i="9"/>
  <c r="L63" i="9"/>
  <c r="AB44" i="9"/>
  <c r="M63" i="9" s="1"/>
  <c r="AA17" i="2"/>
  <c r="X6" i="19" s="1"/>
  <c r="E14" i="2"/>
  <c r="Y70" i="2"/>
  <c r="Z50" i="9"/>
  <c r="Z38" i="2"/>
  <c r="Z39" i="2" s="1"/>
  <c r="B41" i="6"/>
  <c r="E40" i="6"/>
  <c r="D40" i="6" s="1"/>
  <c r="G43" i="6"/>
  <c r="C52" i="13"/>
  <c r="E52" i="13" s="1"/>
  <c r="E51" i="13"/>
  <c r="O72" i="12"/>
  <c r="R72" i="12"/>
  <c r="P72" i="12"/>
  <c r="O82" i="12"/>
  <c r="Q82" i="12"/>
  <c r="R82" i="12"/>
  <c r="P82" i="12"/>
  <c r="Y63" i="12"/>
  <c r="Z38" i="12"/>
  <c r="Z63" i="12" s="1"/>
  <c r="E34" i="12"/>
  <c r="E35" i="12"/>
  <c r="E30" i="12"/>
  <c r="AA38" i="12"/>
  <c r="X39" i="12"/>
  <c r="X63" i="12"/>
  <c r="W13" i="19" l="1"/>
  <c r="W35" i="19"/>
  <c r="AA45" i="9"/>
  <c r="AA83" i="9"/>
  <c r="AA34" i="2"/>
  <c r="X21" i="19" s="1"/>
  <c r="M5" i="7"/>
  <c r="E17" i="2"/>
  <c r="AA30" i="2"/>
  <c r="AA35" i="2"/>
  <c r="X22" i="19" s="1"/>
  <c r="Z70" i="2"/>
  <c r="E41" i="6"/>
  <c r="D41" i="6" s="1"/>
  <c r="B42" i="6"/>
  <c r="G44" i="6"/>
  <c r="F8" i="9"/>
  <c r="E38" i="12"/>
  <c r="E39" i="12" s="1"/>
  <c r="Z39" i="12"/>
  <c r="AA39" i="12"/>
  <c r="AA63" i="12"/>
  <c r="H12" i="9"/>
  <c r="X25" i="19" l="1"/>
  <c r="AB83" i="9"/>
  <c r="M106" i="9" s="1"/>
  <c r="L106" i="9"/>
  <c r="L64" i="9"/>
  <c r="AB45" i="9"/>
  <c r="M64" i="9" s="1"/>
  <c r="M13" i="7"/>
  <c r="E34" i="2"/>
  <c r="E13" i="7" s="1"/>
  <c r="Q90" i="2"/>
  <c r="AB10" i="9" s="1"/>
  <c r="O80" i="2"/>
  <c r="AA88" i="9"/>
  <c r="M9" i="7"/>
  <c r="E30" i="2"/>
  <c r="AA50" i="9"/>
  <c r="P90" i="2"/>
  <c r="AA10" i="9" s="1"/>
  <c r="O90" i="2"/>
  <c r="Z10" i="9" s="1"/>
  <c r="E5" i="7"/>
  <c r="R80" i="2"/>
  <c r="R90" i="2"/>
  <c r="AC10" i="9" s="1"/>
  <c r="Q80" i="2"/>
  <c r="P80" i="2"/>
  <c r="E35" i="2"/>
  <c r="E14" i="7" s="1"/>
  <c r="AA38" i="2"/>
  <c r="M14" i="7"/>
  <c r="B43" i="6"/>
  <c r="E42" i="6"/>
  <c r="D42" i="6" s="1"/>
  <c r="D23" i="19" l="1"/>
  <c r="X12" i="19"/>
  <c r="X13" i="19" s="1"/>
  <c r="X35" i="19"/>
  <c r="M17" i="7"/>
  <c r="M18" i="7" s="1"/>
  <c r="L111" i="9"/>
  <c r="AB88" i="9"/>
  <c r="M111" i="9" s="1"/>
  <c r="E9" i="7"/>
  <c r="J24" i="1"/>
  <c r="AB50" i="9"/>
  <c r="M69" i="9" s="1"/>
  <c r="L69" i="9"/>
  <c r="AA70" i="2"/>
  <c r="AA39" i="2"/>
  <c r="E38" i="2"/>
  <c r="B44" i="6"/>
  <c r="E43" i="6"/>
  <c r="D43" i="6" s="1"/>
  <c r="E39" i="2" l="1"/>
  <c r="E55" i="2"/>
  <c r="E17" i="7"/>
  <c r="E18" i="7" s="1"/>
  <c r="S25" i="4"/>
  <c r="S27" i="4" s="1"/>
  <c r="S28" i="4" s="1"/>
  <c r="B45" i="6"/>
  <c r="E44" i="6"/>
  <c r="D44" i="6" s="1"/>
  <c r="D8" i="1" l="1"/>
  <c r="F8" i="1" s="1"/>
  <c r="D10" i="1" s="1"/>
  <c r="F10" i="1" s="1"/>
  <c r="D43" i="12"/>
  <c r="E45" i="6"/>
  <c r="D45" i="6" s="1"/>
  <c r="B46" i="6"/>
  <c r="F26" i="1"/>
  <c r="H26" i="1" s="1"/>
  <c r="K43" i="12" l="1"/>
  <c r="N43" i="12"/>
  <c r="M43" i="12"/>
  <c r="I43" i="12"/>
  <c r="H43" i="12"/>
  <c r="AA43" i="12"/>
  <c r="V43" i="12"/>
  <c r="P43" i="12"/>
  <c r="X43" i="12"/>
  <c r="W43" i="12"/>
  <c r="L43" i="12"/>
  <c r="J43" i="12"/>
  <c r="Z43" i="12"/>
  <c r="Y43" i="12"/>
  <c r="U43" i="12"/>
  <c r="O43" i="12"/>
  <c r="Q43" i="12"/>
  <c r="S43" i="12"/>
  <c r="R43" i="12"/>
  <c r="T43" i="12"/>
  <c r="B47" i="6"/>
  <c r="E46" i="6"/>
  <c r="D46" i="6" s="1"/>
  <c r="J40" i="1"/>
  <c r="D12" i="1"/>
  <c r="D11" i="1" s="1"/>
  <c r="B48" i="6" l="1"/>
  <c r="E47" i="6"/>
  <c r="D47" i="6" s="1"/>
  <c r="J60" i="1"/>
  <c r="F11" i="1"/>
  <c r="F13" i="1"/>
  <c r="E14" i="1" s="1"/>
  <c r="B49" i="6" l="1"/>
  <c r="E48" i="6"/>
  <c r="D48" i="6" s="1"/>
  <c r="B50" i="6" l="1"/>
  <c r="E49" i="6"/>
  <c r="D49" i="6" s="1"/>
  <c r="B51" i="6" l="1"/>
  <c r="E50" i="6"/>
  <c r="D50" i="6" s="1"/>
  <c r="B52" i="6" l="1"/>
  <c r="E51" i="6"/>
  <c r="D51" i="6" s="1"/>
  <c r="AB92" i="9"/>
  <c r="B53" i="6" l="1"/>
  <c r="E52" i="6"/>
  <c r="D52" i="6" s="1"/>
  <c r="M114" i="9"/>
  <c r="B54" i="6" l="1"/>
  <c r="E53" i="6"/>
  <c r="D53" i="6" s="1"/>
  <c r="B55" i="6" l="1"/>
  <c r="E54" i="6"/>
  <c r="D54" i="6" s="1"/>
  <c r="B56" i="6" l="1"/>
  <c r="E55" i="6"/>
  <c r="D55" i="6" s="1"/>
  <c r="B57" i="6" l="1"/>
  <c r="E56" i="6"/>
  <c r="D56" i="6" s="1"/>
  <c r="E57" i="6" l="1"/>
  <c r="D57" i="6" s="1"/>
  <c r="B58" i="6"/>
  <c r="B59" i="6" l="1"/>
  <c r="E58" i="6"/>
  <c r="D58" i="6" s="1"/>
  <c r="B60" i="6" l="1"/>
  <c r="E59" i="6"/>
  <c r="D59" i="6" s="1"/>
  <c r="E60" i="6" l="1"/>
  <c r="D60" i="6" s="1"/>
  <c r="B61" i="6"/>
  <c r="E61" i="6" l="1"/>
  <c r="D61" i="6" s="1"/>
  <c r="B62" i="6"/>
  <c r="B63" i="6" l="1"/>
  <c r="E62" i="6"/>
  <c r="D62" i="6" s="1"/>
  <c r="E63" i="6" l="1"/>
  <c r="D63" i="6" s="1"/>
  <c r="B64" i="6"/>
  <c r="B65" i="6" l="1"/>
  <c r="E64" i="6"/>
  <c r="D64" i="6" s="1"/>
  <c r="B66" i="6" l="1"/>
  <c r="E65" i="6"/>
  <c r="D65" i="6" s="1"/>
  <c r="B67" i="6" l="1"/>
  <c r="E66" i="6"/>
  <c r="D66" i="6" s="1"/>
  <c r="B68" i="6" l="1"/>
  <c r="E67" i="6"/>
  <c r="D67" i="6" s="1"/>
  <c r="E68" i="6" l="1"/>
  <c r="D68" i="6" s="1"/>
  <c r="B69" i="6"/>
  <c r="B70" i="6" l="1"/>
  <c r="E69" i="6"/>
  <c r="D69" i="6" s="1"/>
  <c r="B71" i="6" l="1"/>
  <c r="E70" i="6"/>
  <c r="D70" i="6" s="1"/>
  <c r="B72" i="6" l="1"/>
  <c r="E71" i="6"/>
  <c r="D71" i="6" s="1"/>
  <c r="E72" i="6" l="1"/>
  <c r="D72" i="6" s="1"/>
  <c r="B73" i="6"/>
  <c r="E73" i="6" l="1"/>
  <c r="D73" i="6" s="1"/>
  <c r="B74" i="6"/>
  <c r="B75" i="6" l="1"/>
  <c r="E74" i="6"/>
  <c r="D74" i="6" s="1"/>
  <c r="E75" i="6" l="1"/>
  <c r="D75" i="6" s="1"/>
  <c r="B76" i="6"/>
  <c r="B77" i="6" l="1"/>
  <c r="E76" i="6"/>
  <c r="D76" i="6" s="1"/>
  <c r="B78" i="6" l="1"/>
  <c r="E77" i="6"/>
  <c r="D77" i="6" s="1"/>
  <c r="E78" i="6" l="1"/>
  <c r="D78" i="6" s="1"/>
  <c r="B79" i="6"/>
  <c r="B80" i="6" l="1"/>
  <c r="E79" i="6"/>
  <c r="D79" i="6" s="1"/>
  <c r="B81" i="6" l="1"/>
  <c r="E80" i="6"/>
  <c r="D80" i="6" s="1"/>
  <c r="B82" i="6" l="1"/>
  <c r="E81" i="6"/>
  <c r="D81" i="6" s="1"/>
  <c r="B83" i="6" l="1"/>
  <c r="E82" i="6"/>
  <c r="D82" i="6" s="1"/>
  <c r="B84" i="6" l="1"/>
  <c r="E83" i="6"/>
  <c r="D83" i="6" s="1"/>
  <c r="B85" i="6" l="1"/>
  <c r="E84" i="6"/>
  <c r="D84" i="6" s="1"/>
  <c r="B86" i="6" l="1"/>
  <c r="E85" i="6"/>
  <c r="D85" i="6" s="1"/>
  <c r="B87" i="6" l="1"/>
  <c r="E86" i="6"/>
  <c r="D86" i="6" s="1"/>
  <c r="E87" i="6" l="1"/>
  <c r="D87" i="6" s="1"/>
  <c r="B88" i="6"/>
  <c r="B89" i="6" l="1"/>
  <c r="E88" i="6"/>
  <c r="D88" i="6" s="1"/>
  <c r="B90" i="6" l="1"/>
  <c r="E89" i="6"/>
  <c r="D89" i="6" s="1"/>
  <c r="B91" i="6" l="1"/>
  <c r="E90" i="6"/>
  <c r="D90" i="6" s="1"/>
  <c r="E91" i="6" l="1"/>
  <c r="D91" i="6" s="1"/>
  <c r="B92" i="6"/>
  <c r="B93" i="6" l="1"/>
  <c r="E92" i="6"/>
  <c r="D92" i="6" s="1"/>
  <c r="B94" i="6" l="1"/>
  <c r="E93" i="6"/>
  <c r="D93" i="6" s="1"/>
  <c r="B95" i="6" l="1"/>
  <c r="E94" i="6"/>
  <c r="D94" i="6" s="1"/>
  <c r="B96" i="6" l="1"/>
  <c r="E95" i="6"/>
  <c r="D95" i="6" s="1"/>
  <c r="B97" i="6" l="1"/>
  <c r="E96" i="6"/>
  <c r="D96" i="6" s="1"/>
  <c r="B98" i="6" l="1"/>
  <c r="E97" i="6"/>
  <c r="D97" i="6" s="1"/>
  <c r="E98" i="6" l="1"/>
  <c r="D98" i="6" s="1"/>
  <c r="B99" i="6"/>
  <c r="B100" i="6" l="1"/>
  <c r="E99" i="6"/>
  <c r="D99" i="6" s="1"/>
  <c r="B101" i="6" l="1"/>
  <c r="E100" i="6"/>
  <c r="D100" i="6" s="1"/>
  <c r="E101" i="6" l="1"/>
  <c r="D101" i="6" s="1"/>
  <c r="B102" i="6"/>
  <c r="E102" i="6" l="1"/>
  <c r="D102" i="6" s="1"/>
  <c r="B103" i="6"/>
  <c r="B104" i="6" l="1"/>
  <c r="E103" i="6"/>
  <c r="D103" i="6" s="1"/>
  <c r="B105" i="6" l="1"/>
  <c r="E104" i="6"/>
  <c r="D104" i="6" s="1"/>
  <c r="B106" i="6" l="1"/>
  <c r="E105" i="6"/>
  <c r="D105" i="6" s="1"/>
  <c r="B107" i="6" l="1"/>
  <c r="E106" i="6"/>
  <c r="D106" i="6" s="1"/>
  <c r="E107" i="6" l="1"/>
  <c r="D107" i="6" s="1"/>
  <c r="B108" i="6"/>
  <c r="B109" i="6" l="1"/>
  <c r="E108" i="6"/>
  <c r="D108" i="6" s="1"/>
  <c r="B110" i="6" l="1"/>
  <c r="E109" i="6"/>
  <c r="D109" i="6" s="1"/>
  <c r="B111" i="6" l="1"/>
  <c r="E110" i="6"/>
  <c r="D110" i="6" s="1"/>
  <c r="B112" i="6" l="1"/>
  <c r="E111" i="6"/>
  <c r="D111" i="6" s="1"/>
  <c r="B113" i="6" l="1"/>
  <c r="E112" i="6"/>
  <c r="D112" i="6" s="1"/>
  <c r="E113" i="6" l="1"/>
  <c r="D113" i="6" s="1"/>
  <c r="B114" i="6"/>
  <c r="E114" i="6" l="1"/>
  <c r="D114" i="6" s="1"/>
  <c r="B115" i="6"/>
  <c r="B116" i="6" l="1"/>
  <c r="E115" i="6"/>
  <c r="D115" i="6" s="1"/>
  <c r="B117" i="6" l="1"/>
  <c r="E116" i="6"/>
  <c r="D116" i="6" s="1"/>
  <c r="E117" i="6" l="1"/>
  <c r="D117" i="6" s="1"/>
  <c r="B118" i="6"/>
  <c r="B119" i="6" l="1"/>
  <c r="E118" i="6"/>
  <c r="D118" i="6" s="1"/>
  <c r="B120" i="6" l="1"/>
  <c r="E119" i="6"/>
  <c r="D119" i="6" s="1"/>
  <c r="B121" i="6" l="1"/>
  <c r="E120" i="6"/>
  <c r="D120" i="6" s="1"/>
  <c r="B122" i="6" l="1"/>
  <c r="E121" i="6"/>
  <c r="D121" i="6" s="1"/>
  <c r="B123" i="6" l="1"/>
  <c r="E122" i="6"/>
  <c r="D122" i="6" s="1"/>
  <c r="B124" i="6" l="1"/>
  <c r="E123" i="6"/>
  <c r="D123" i="6" s="1"/>
  <c r="B125" i="6" l="1"/>
  <c r="E124" i="6"/>
  <c r="D124" i="6" s="1"/>
  <c r="B126" i="6" l="1"/>
  <c r="E125" i="6"/>
  <c r="D125" i="6" s="1"/>
  <c r="B127" i="6" l="1"/>
  <c r="E126" i="6"/>
  <c r="D126" i="6" s="1"/>
  <c r="B128" i="6" l="1"/>
  <c r="E127" i="6"/>
  <c r="D127" i="6" s="1"/>
  <c r="E128" i="6" l="1"/>
  <c r="D128" i="6" s="1"/>
  <c r="B129" i="6"/>
  <c r="E129" i="6" l="1"/>
  <c r="D129" i="6" s="1"/>
  <c r="B130" i="6"/>
  <c r="E130" i="6" l="1"/>
  <c r="D130" i="6" s="1"/>
  <c r="B131" i="6"/>
  <c r="B132" i="6" l="1"/>
  <c r="E131" i="6"/>
  <c r="D131" i="6" s="1"/>
  <c r="B133" i="6" l="1"/>
  <c r="E132" i="6"/>
  <c r="D132" i="6" s="1"/>
  <c r="B134" i="6" l="1"/>
  <c r="E133" i="6"/>
  <c r="D133" i="6" s="1"/>
  <c r="B135" i="6" l="1"/>
  <c r="E134" i="6"/>
  <c r="D134" i="6" s="1"/>
  <c r="B136" i="6" l="1"/>
  <c r="E135" i="6"/>
  <c r="D135" i="6" s="1"/>
  <c r="B137" i="6" l="1"/>
  <c r="E136" i="6"/>
  <c r="D136" i="6" s="1"/>
  <c r="B138" i="6" l="1"/>
  <c r="E137" i="6"/>
  <c r="D137" i="6" s="1"/>
  <c r="E138" i="6" l="1"/>
  <c r="D138" i="6" s="1"/>
  <c r="B139" i="6"/>
  <c r="B140" i="6" l="1"/>
  <c r="E139" i="6"/>
  <c r="D139" i="6" s="1"/>
  <c r="B141" i="6" l="1"/>
  <c r="E140" i="6"/>
  <c r="D140" i="6" s="1"/>
  <c r="B142" i="6" l="1"/>
  <c r="E141" i="6"/>
  <c r="D141" i="6" s="1"/>
  <c r="B143" i="6" l="1"/>
  <c r="E142" i="6"/>
  <c r="D142" i="6" s="1"/>
  <c r="E143" i="6" l="1"/>
  <c r="D143" i="6" s="1"/>
  <c r="B144" i="6"/>
  <c r="E144" i="6" l="1"/>
  <c r="D144" i="6" s="1"/>
  <c r="B145" i="6"/>
  <c r="B146" i="6" l="1"/>
  <c r="E145" i="6"/>
  <c r="D145" i="6" s="1"/>
  <c r="B147" i="6" l="1"/>
  <c r="E146" i="6"/>
  <c r="D146" i="6" s="1"/>
  <c r="B148" i="6" l="1"/>
  <c r="E147" i="6"/>
  <c r="D147" i="6" s="1"/>
  <c r="E148" i="6" l="1"/>
  <c r="D148" i="6" s="1"/>
  <c r="B149" i="6"/>
  <c r="E149" i="6" l="1"/>
  <c r="D149" i="6" s="1"/>
  <c r="B150" i="6"/>
  <c r="B151" i="6" l="1"/>
  <c r="E150" i="6"/>
  <c r="D150" i="6" s="1"/>
  <c r="E151" i="6" l="1"/>
  <c r="D151" i="6" s="1"/>
  <c r="B152" i="6"/>
  <c r="B153" i="6" l="1"/>
  <c r="E152" i="6"/>
  <c r="D152" i="6" s="1"/>
  <c r="B154" i="6" l="1"/>
  <c r="E153" i="6"/>
  <c r="D153" i="6" s="1"/>
  <c r="B155" i="6" l="1"/>
  <c r="E154" i="6"/>
  <c r="D154" i="6" s="1"/>
  <c r="E155" i="6" l="1"/>
  <c r="D155" i="6" s="1"/>
  <c r="B156" i="6"/>
  <c r="B157" i="6" l="1"/>
  <c r="E156" i="6"/>
  <c r="D156" i="6" s="1"/>
  <c r="E157" i="6" l="1"/>
  <c r="D157" i="6" s="1"/>
  <c r="B158" i="6"/>
  <c r="B159" i="6" l="1"/>
  <c r="E158" i="6"/>
  <c r="D158" i="6" s="1"/>
  <c r="E159" i="6" l="1"/>
  <c r="D159" i="6" s="1"/>
  <c r="B160" i="6"/>
  <c r="E160" i="6" l="1"/>
  <c r="D160" i="6" s="1"/>
  <c r="B161" i="6"/>
  <c r="E161" i="6" l="1"/>
  <c r="D161" i="6" s="1"/>
  <c r="B162" i="6"/>
  <c r="E162" i="6" l="1"/>
  <c r="D162" i="6" s="1"/>
  <c r="B163" i="6"/>
  <c r="E163" i="6" l="1"/>
  <c r="D163" i="6" s="1"/>
  <c r="B164" i="6"/>
  <c r="E164" i="6" l="1"/>
  <c r="D164" i="6" s="1"/>
  <c r="B165" i="6"/>
  <c r="E165" i="6" l="1"/>
  <c r="D165" i="6" s="1"/>
  <c r="B166" i="6"/>
  <c r="B167" i="6" l="1"/>
  <c r="E166" i="6"/>
  <c r="D166" i="6" s="1"/>
  <c r="E167" i="6" l="1"/>
  <c r="D167" i="6" s="1"/>
  <c r="B168" i="6"/>
  <c r="E168" i="6" l="1"/>
  <c r="D168" i="6" s="1"/>
  <c r="B169" i="6"/>
  <c r="E169" i="6" l="1"/>
  <c r="D169" i="6" s="1"/>
  <c r="B170" i="6"/>
  <c r="E170" i="6" l="1"/>
  <c r="D170" i="6" s="1"/>
  <c r="B171" i="6"/>
  <c r="E171" i="6" l="1"/>
  <c r="D171" i="6" s="1"/>
  <c r="B172" i="6"/>
  <c r="E172" i="6" l="1"/>
  <c r="D172" i="6" s="1"/>
  <c r="B173" i="6"/>
  <c r="B174" i="6" l="1"/>
  <c r="E173" i="6"/>
  <c r="D173" i="6" s="1"/>
  <c r="E174" i="6" l="1"/>
  <c r="D174" i="6" s="1"/>
  <c r="B175" i="6"/>
  <c r="E175" i="6" l="1"/>
  <c r="D175" i="6" s="1"/>
  <c r="B176" i="6"/>
  <c r="E176" i="6" l="1"/>
  <c r="D176" i="6" s="1"/>
  <c r="B177" i="6"/>
  <c r="E177" i="6" l="1"/>
  <c r="D177" i="6" s="1"/>
  <c r="B178" i="6"/>
  <c r="B179" i="6" l="1"/>
  <c r="E178" i="6"/>
  <c r="D178" i="6" s="1"/>
  <c r="B180" i="6" l="1"/>
  <c r="E179" i="6"/>
  <c r="D179" i="6" s="1"/>
  <c r="E180" i="6" l="1"/>
  <c r="D180" i="6" s="1"/>
  <c r="B181" i="6"/>
  <c r="E181" i="6" l="1"/>
  <c r="D181" i="6" s="1"/>
  <c r="B182" i="6"/>
  <c r="E182" i="6" l="1"/>
  <c r="D182" i="6" s="1"/>
  <c r="B183" i="6"/>
  <c r="E183" i="6" l="1"/>
  <c r="D183" i="6" s="1"/>
  <c r="B184" i="6"/>
  <c r="E184" i="6" l="1"/>
  <c r="D184" i="6" s="1"/>
  <c r="B185" i="6"/>
  <c r="E185" i="6" l="1"/>
  <c r="D185" i="6" s="1"/>
  <c r="B186" i="6"/>
  <c r="E186" i="6" l="1"/>
  <c r="D186" i="6" s="1"/>
  <c r="B187" i="6"/>
  <c r="B188" i="6" l="1"/>
  <c r="E187" i="6"/>
  <c r="D187" i="6" s="1"/>
  <c r="B189" i="6" l="1"/>
  <c r="E188" i="6"/>
  <c r="D188" i="6" s="1"/>
  <c r="E189" i="6" l="1"/>
  <c r="D189" i="6" s="1"/>
  <c r="B190" i="6"/>
  <c r="B191" i="6" l="1"/>
  <c r="E190" i="6"/>
  <c r="D190" i="6" s="1"/>
  <c r="B192" i="6" l="1"/>
  <c r="E191" i="6"/>
  <c r="D191" i="6" s="1"/>
  <c r="B193" i="6" l="1"/>
  <c r="E192" i="6"/>
  <c r="D192" i="6" s="1"/>
  <c r="B194" i="6" l="1"/>
  <c r="E193" i="6"/>
  <c r="D193" i="6" s="1"/>
  <c r="E194" i="6" l="1"/>
  <c r="D194" i="6" s="1"/>
  <c r="B195" i="6"/>
  <c r="E195" i="6" l="1"/>
  <c r="D195" i="6" s="1"/>
  <c r="B196" i="6"/>
  <c r="E196" i="6" l="1"/>
  <c r="D196" i="6" s="1"/>
  <c r="B197" i="6"/>
  <c r="E197" i="6" l="1"/>
  <c r="D197" i="6" s="1"/>
  <c r="B198" i="6"/>
  <c r="E198" i="6" l="1"/>
  <c r="D198" i="6" s="1"/>
  <c r="B199" i="6"/>
  <c r="E199" i="6" l="1"/>
  <c r="D199" i="6" s="1"/>
  <c r="B200" i="6"/>
  <c r="E200" i="6" l="1"/>
  <c r="D200" i="6" s="1"/>
  <c r="B201" i="6"/>
  <c r="E201" i="6" l="1"/>
  <c r="D201" i="6" s="1"/>
  <c r="B202" i="6"/>
  <c r="E202" i="6" l="1"/>
  <c r="D202" i="6" s="1"/>
  <c r="B203" i="6"/>
  <c r="B204" i="6" l="1"/>
  <c r="E203" i="6"/>
  <c r="D203" i="6" s="1"/>
  <c r="E204" i="6" l="1"/>
  <c r="D204" i="6" s="1"/>
  <c r="B205" i="6"/>
  <c r="E205" i="6" l="1"/>
  <c r="D205" i="6" s="1"/>
  <c r="B206" i="6"/>
  <c r="E206" i="6" l="1"/>
  <c r="D206" i="6" s="1"/>
  <c r="B207" i="6"/>
  <c r="B208" i="6" l="1"/>
  <c r="E207" i="6"/>
  <c r="D207" i="6" s="1"/>
  <c r="E208" i="6" l="1"/>
  <c r="D208" i="6" s="1"/>
  <c r="B209" i="6"/>
  <c r="E209" i="6" l="1"/>
  <c r="D209" i="6" s="1"/>
  <c r="B210" i="6"/>
  <c r="E210" i="6" l="1"/>
  <c r="D210" i="6" s="1"/>
  <c r="B211" i="6"/>
  <c r="E211" i="6" l="1"/>
  <c r="D211" i="6" s="1"/>
  <c r="B212" i="6"/>
  <c r="E212" i="6" l="1"/>
  <c r="D212" i="6" s="1"/>
  <c r="B213" i="6"/>
  <c r="E213" i="6" l="1"/>
  <c r="D213" i="6" s="1"/>
  <c r="B214" i="6"/>
  <c r="E214" i="6" l="1"/>
  <c r="D214" i="6" s="1"/>
  <c r="B215" i="6"/>
  <c r="B216" i="6" l="1"/>
  <c r="E215" i="6"/>
  <c r="D215" i="6" s="1"/>
  <c r="E216" i="6" l="1"/>
  <c r="D216" i="6" s="1"/>
  <c r="B217" i="6"/>
  <c r="E217" i="6" l="1"/>
  <c r="D217" i="6" s="1"/>
  <c r="B218" i="6"/>
  <c r="E218" i="6" l="1"/>
  <c r="D218" i="6" s="1"/>
  <c r="B219" i="6"/>
  <c r="E219" i="6" l="1"/>
  <c r="D219" i="6" s="1"/>
  <c r="B220" i="6"/>
  <c r="E220" i="6" l="1"/>
  <c r="D220" i="6" s="1"/>
  <c r="B221" i="6"/>
  <c r="E221" i="6" l="1"/>
  <c r="D221" i="6" s="1"/>
  <c r="B222" i="6"/>
  <c r="E222" i="6" l="1"/>
  <c r="D222" i="6" s="1"/>
  <c r="B223" i="6"/>
  <c r="E223" i="6" l="1"/>
  <c r="D223" i="6" s="1"/>
  <c r="B224" i="6"/>
  <c r="E224" i="6" l="1"/>
  <c r="D224" i="6" s="1"/>
  <c r="B225" i="6"/>
  <c r="E225" i="6" l="1"/>
  <c r="D225" i="6" s="1"/>
  <c r="B226" i="6"/>
  <c r="E226" i="6" l="1"/>
  <c r="D226" i="6" s="1"/>
  <c r="B227" i="6"/>
  <c r="E227" i="6" l="1"/>
  <c r="D227" i="6" s="1"/>
  <c r="B228" i="6"/>
  <c r="B229" i="6" l="1"/>
  <c r="E228" i="6"/>
  <c r="D228" i="6" s="1"/>
  <c r="B230" i="6" l="1"/>
  <c r="E229" i="6"/>
  <c r="D229" i="6" s="1"/>
  <c r="B231" i="6" l="1"/>
  <c r="E230" i="6"/>
  <c r="D230" i="6" s="1"/>
  <c r="B232" i="6" l="1"/>
  <c r="E231" i="6"/>
  <c r="D231" i="6" s="1"/>
  <c r="B233" i="6" l="1"/>
  <c r="E232" i="6"/>
  <c r="D232" i="6" s="1"/>
  <c r="B234" i="6" l="1"/>
  <c r="E233" i="6"/>
  <c r="D233" i="6" s="1"/>
  <c r="B235" i="6" l="1"/>
  <c r="E234" i="6"/>
  <c r="D234" i="6" s="1"/>
  <c r="B236" i="6" l="1"/>
  <c r="E235" i="6"/>
  <c r="D235" i="6" s="1"/>
  <c r="B237" i="6" l="1"/>
  <c r="E236" i="6"/>
  <c r="D236" i="6" s="1"/>
  <c r="B238" i="6" l="1"/>
  <c r="E237" i="6"/>
  <c r="D237" i="6" s="1"/>
  <c r="B239" i="6" l="1"/>
  <c r="E238" i="6"/>
  <c r="D238" i="6" s="1"/>
  <c r="B240" i="6" l="1"/>
  <c r="E239" i="6"/>
  <c r="D239" i="6" s="1"/>
  <c r="B241" i="6" l="1"/>
  <c r="E240" i="6"/>
  <c r="D240" i="6" s="1"/>
  <c r="B242" i="6" l="1"/>
  <c r="E241" i="6"/>
  <c r="D241" i="6" s="1"/>
  <c r="B243" i="6" l="1"/>
  <c r="E242" i="6"/>
  <c r="D242" i="6" s="1"/>
  <c r="B244" i="6" l="1"/>
  <c r="E243" i="6"/>
  <c r="D243" i="6" s="1"/>
  <c r="B245" i="6" l="1"/>
  <c r="E244" i="6"/>
  <c r="D244" i="6" s="1"/>
  <c r="B246" i="6" l="1"/>
  <c r="E245" i="6"/>
  <c r="D245" i="6" s="1"/>
  <c r="B247" i="6" l="1"/>
  <c r="E246" i="6"/>
  <c r="D246" i="6" s="1"/>
  <c r="B248" i="6" l="1"/>
  <c r="E247" i="6"/>
  <c r="D247" i="6" s="1"/>
  <c r="B249" i="6" l="1"/>
  <c r="E248" i="6"/>
  <c r="D248" i="6" s="1"/>
  <c r="B250" i="6" l="1"/>
  <c r="E249" i="6"/>
  <c r="D249" i="6" s="1"/>
  <c r="B251" i="6" l="1"/>
  <c r="E250" i="6"/>
  <c r="D250" i="6" s="1"/>
  <c r="B252" i="6" l="1"/>
  <c r="E251" i="6"/>
  <c r="D251" i="6" s="1"/>
  <c r="B253" i="6" l="1"/>
  <c r="E252" i="6"/>
  <c r="D252" i="6" s="1"/>
  <c r="E253" i="6" l="1"/>
  <c r="D253" i="6" s="1"/>
  <c r="B254" i="6"/>
  <c r="B255" i="6" l="1"/>
  <c r="E254" i="6"/>
  <c r="D254" i="6" s="1"/>
  <c r="B256" i="6" l="1"/>
  <c r="E255" i="6"/>
  <c r="D255" i="6" s="1"/>
  <c r="E256" i="6" l="1"/>
  <c r="D256" i="6" s="1"/>
  <c r="B257" i="6"/>
  <c r="B258" i="6" l="1"/>
  <c r="E257" i="6"/>
  <c r="D257" i="6" s="1"/>
  <c r="B259" i="6" l="1"/>
  <c r="E258" i="6"/>
  <c r="D258" i="6" s="1"/>
  <c r="B260" i="6" l="1"/>
  <c r="E259" i="6"/>
  <c r="D259" i="6" s="1"/>
  <c r="B261" i="6" l="1"/>
  <c r="E260" i="6"/>
  <c r="D260" i="6" s="1"/>
  <c r="B262" i="6" l="1"/>
  <c r="E261" i="6"/>
  <c r="D261" i="6" s="1"/>
  <c r="B263" i="6" l="1"/>
  <c r="E262" i="6"/>
  <c r="D262" i="6" s="1"/>
  <c r="B264" i="6" l="1"/>
  <c r="E263" i="6"/>
  <c r="D263" i="6" s="1"/>
  <c r="E264" i="6" l="1"/>
  <c r="D264" i="6" s="1"/>
  <c r="B265" i="6"/>
  <c r="B266" i="6" l="1"/>
  <c r="E265" i="6"/>
  <c r="D265" i="6" s="1"/>
  <c r="B267" i="6" l="1"/>
  <c r="E266" i="6"/>
  <c r="D266" i="6" s="1"/>
  <c r="B268" i="6" l="1"/>
  <c r="E267" i="6"/>
  <c r="D267" i="6" s="1"/>
  <c r="B269" i="6" l="1"/>
  <c r="E268" i="6"/>
  <c r="D268" i="6" s="1"/>
  <c r="B270" i="6" l="1"/>
  <c r="E269" i="6"/>
  <c r="D269" i="6" s="1"/>
  <c r="B271" i="6" l="1"/>
  <c r="E270" i="6"/>
  <c r="D270" i="6" s="1"/>
  <c r="B272" i="6" l="1"/>
  <c r="E271" i="6"/>
  <c r="D271" i="6" s="1"/>
  <c r="B273" i="6" l="1"/>
  <c r="E272" i="6"/>
  <c r="D272" i="6" s="1"/>
  <c r="B274" i="6" l="1"/>
  <c r="E273" i="6"/>
  <c r="D273" i="6" s="1"/>
  <c r="B275" i="6" l="1"/>
  <c r="E274" i="6"/>
  <c r="D274" i="6" s="1"/>
  <c r="B276" i="6" l="1"/>
  <c r="E275" i="6"/>
  <c r="D275" i="6" s="1"/>
  <c r="B277" i="6" l="1"/>
  <c r="E276" i="6"/>
  <c r="D276" i="6" s="1"/>
  <c r="B278" i="6" l="1"/>
  <c r="E277" i="6"/>
  <c r="D277" i="6" s="1"/>
  <c r="E278" i="6" l="1"/>
  <c r="D278" i="6" s="1"/>
  <c r="B279" i="6"/>
  <c r="E279" i="6" l="1"/>
  <c r="D279" i="6" s="1"/>
  <c r="B280" i="6"/>
  <c r="E280" i="6" l="1"/>
  <c r="D280" i="6" s="1"/>
  <c r="B281" i="6"/>
  <c r="E281" i="6" l="1"/>
  <c r="D281" i="6" s="1"/>
  <c r="B282" i="6"/>
  <c r="E282" i="6" l="1"/>
  <c r="D282" i="6" s="1"/>
  <c r="B283" i="6"/>
  <c r="E283" i="6" l="1"/>
  <c r="D283" i="6" s="1"/>
  <c r="B284" i="6"/>
  <c r="E284" i="6" l="1"/>
  <c r="D284" i="6" s="1"/>
  <c r="B285" i="6"/>
  <c r="B286" i="6" l="1"/>
  <c r="E285" i="6"/>
  <c r="D285" i="6" s="1"/>
  <c r="B287" i="6" l="1"/>
  <c r="E286" i="6"/>
  <c r="D286" i="6" s="1"/>
  <c r="E287" i="6" l="1"/>
  <c r="D287" i="6" s="1"/>
  <c r="B288" i="6"/>
  <c r="B289" i="6" l="1"/>
  <c r="E288" i="6"/>
  <c r="D288" i="6" s="1"/>
  <c r="B290" i="6" l="1"/>
  <c r="E289" i="6"/>
  <c r="D289" i="6" s="1"/>
  <c r="B291" i="6" l="1"/>
  <c r="E290" i="6"/>
  <c r="D290" i="6" s="1"/>
  <c r="B292" i="6" l="1"/>
  <c r="E291" i="6"/>
  <c r="D291" i="6" s="1"/>
  <c r="B293" i="6" l="1"/>
  <c r="E292" i="6"/>
  <c r="D292" i="6" s="1"/>
  <c r="B294" i="6" l="1"/>
  <c r="E293" i="6"/>
  <c r="D293" i="6" s="1"/>
  <c r="E294" i="6" l="1"/>
  <c r="D294" i="6" s="1"/>
  <c r="B295" i="6"/>
  <c r="B296" i="6" l="1"/>
  <c r="E295" i="6"/>
  <c r="D295" i="6" s="1"/>
  <c r="B297" i="6" l="1"/>
  <c r="E296" i="6"/>
  <c r="D296" i="6" s="1"/>
  <c r="B298" i="6" l="1"/>
  <c r="E297" i="6"/>
  <c r="D297" i="6" s="1"/>
  <c r="B299" i="6" l="1"/>
  <c r="E298" i="6"/>
  <c r="D298" i="6" s="1"/>
  <c r="B300" i="6" l="1"/>
  <c r="E299" i="6"/>
  <c r="D299" i="6" s="1"/>
  <c r="E300" i="6" l="1"/>
  <c r="D300" i="6" s="1"/>
  <c r="B301" i="6"/>
  <c r="E301" i="6" l="1"/>
  <c r="D301" i="6" s="1"/>
  <c r="B302" i="6"/>
  <c r="E302" i="6" l="1"/>
  <c r="D302" i="6" s="1"/>
  <c r="B303" i="6"/>
  <c r="B304" i="6" l="1"/>
  <c r="E303" i="6"/>
  <c r="D303" i="6" s="1"/>
  <c r="E304" i="6" l="1"/>
  <c r="D304" i="6" s="1"/>
  <c r="B305" i="6"/>
  <c r="B306" i="6" l="1"/>
  <c r="E305" i="6"/>
  <c r="D305" i="6" s="1"/>
  <c r="E306" i="6" l="1"/>
  <c r="D306" i="6" s="1"/>
  <c r="B307" i="6"/>
  <c r="E307" i="6" l="1"/>
  <c r="D307" i="6" s="1"/>
  <c r="B308" i="6"/>
  <c r="E308" i="6" l="1"/>
  <c r="D308" i="6" s="1"/>
  <c r="B309" i="6"/>
  <c r="E309" i="6" l="1"/>
  <c r="D309" i="6" s="1"/>
  <c r="B310" i="6"/>
  <c r="E310" i="6" l="1"/>
  <c r="D310" i="6" s="1"/>
  <c r="B311" i="6"/>
  <c r="B312" i="6" l="1"/>
  <c r="E311" i="6"/>
  <c r="D311" i="6" s="1"/>
  <c r="E312" i="6" l="1"/>
  <c r="D312" i="6" s="1"/>
  <c r="B313" i="6"/>
  <c r="B314" i="6" l="1"/>
  <c r="E313" i="6"/>
  <c r="D313" i="6" s="1"/>
  <c r="E314" i="6" l="1"/>
  <c r="D314" i="6" s="1"/>
  <c r="B315" i="6"/>
  <c r="E315" i="6" l="1"/>
  <c r="D315" i="6" s="1"/>
  <c r="B316" i="6"/>
  <c r="E316" i="6" l="1"/>
  <c r="D316" i="6" s="1"/>
  <c r="B317" i="6"/>
  <c r="B318" i="6" l="1"/>
  <c r="E317" i="6"/>
  <c r="D317" i="6" s="1"/>
  <c r="E318" i="6" l="1"/>
  <c r="D318" i="6" s="1"/>
  <c r="B319" i="6"/>
  <c r="E319" i="6" l="1"/>
  <c r="D319" i="6" s="1"/>
  <c r="B320" i="6"/>
  <c r="E320" i="6" l="1"/>
  <c r="D320" i="6" s="1"/>
  <c r="B321" i="6"/>
  <c r="E321" i="6" l="1"/>
  <c r="D321" i="6" s="1"/>
  <c r="B322" i="6"/>
  <c r="E322" i="6" l="1"/>
  <c r="D322" i="6" s="1"/>
  <c r="B323" i="6"/>
  <c r="E323" i="6" l="1"/>
  <c r="D323" i="6" s="1"/>
  <c r="B324" i="6"/>
  <c r="E324" i="6" l="1"/>
  <c r="D324" i="6" s="1"/>
  <c r="B325" i="6"/>
  <c r="E325" i="6" l="1"/>
  <c r="D325" i="6" s="1"/>
  <c r="B326" i="6"/>
  <c r="E326" i="6" l="1"/>
  <c r="D326" i="6" s="1"/>
  <c r="B327" i="6"/>
  <c r="E327" i="6" l="1"/>
  <c r="D327" i="6" s="1"/>
  <c r="B328" i="6"/>
  <c r="E328" i="6" l="1"/>
  <c r="D328" i="6" s="1"/>
  <c r="B329" i="6"/>
  <c r="E329" i="6" l="1"/>
  <c r="D329" i="6" s="1"/>
  <c r="B330" i="6"/>
  <c r="E330" i="6" l="1"/>
  <c r="D330" i="6" s="1"/>
  <c r="B331" i="6"/>
  <c r="E331" i="6" l="1"/>
  <c r="D331" i="6" s="1"/>
  <c r="B332" i="6"/>
  <c r="E332" i="6" l="1"/>
  <c r="D332" i="6" s="1"/>
  <c r="B333" i="6"/>
  <c r="E333" i="6" l="1"/>
  <c r="D333" i="6" s="1"/>
  <c r="B334" i="6"/>
  <c r="E334" i="6" l="1"/>
  <c r="D334" i="6" s="1"/>
  <c r="B335" i="6"/>
  <c r="E335" i="6" l="1"/>
  <c r="D335" i="6" s="1"/>
  <c r="B336" i="6"/>
  <c r="E336" i="6" l="1"/>
  <c r="D336" i="6" s="1"/>
  <c r="B337" i="6"/>
  <c r="E337" i="6" l="1"/>
  <c r="D337" i="6" s="1"/>
  <c r="B338" i="6"/>
  <c r="E338" i="6" l="1"/>
  <c r="D338" i="6" s="1"/>
  <c r="B339" i="6"/>
  <c r="E339" i="6" l="1"/>
  <c r="D339" i="6" s="1"/>
  <c r="B340" i="6"/>
  <c r="E340" i="6" l="1"/>
  <c r="D340" i="6" s="1"/>
  <c r="B341" i="6"/>
  <c r="E341" i="6" l="1"/>
  <c r="D341" i="6" s="1"/>
  <c r="H29" i="6" l="1"/>
  <c r="P19" i="2" s="1"/>
  <c r="P49" i="2" s="1"/>
  <c r="M3" i="19" s="1"/>
  <c r="H44" i="6"/>
  <c r="H34" i="6"/>
  <c r="U19" i="2" s="1"/>
  <c r="U49" i="2" s="1"/>
  <c r="R3" i="19" s="1"/>
  <c r="H22" i="6"/>
  <c r="I19" i="2" s="1"/>
  <c r="I49" i="2" s="1"/>
  <c r="F3" i="19" s="1"/>
  <c r="H39" i="6"/>
  <c r="Z19" i="2" s="1"/>
  <c r="Z49" i="2" s="1"/>
  <c r="W3" i="19" s="1"/>
  <c r="H25" i="6"/>
  <c r="L19" i="2" s="1"/>
  <c r="L49" i="2" s="1"/>
  <c r="I3" i="19" s="1"/>
  <c r="H28" i="6"/>
  <c r="O19" i="2" s="1"/>
  <c r="O49" i="2" s="1"/>
  <c r="L3" i="19" s="1"/>
  <c r="H31" i="6"/>
  <c r="R19" i="2" s="1"/>
  <c r="R49" i="2" s="1"/>
  <c r="O3" i="19" s="1"/>
  <c r="H20" i="6"/>
  <c r="H23" i="6"/>
  <c r="J19" i="2" s="1"/>
  <c r="J49" i="2" s="1"/>
  <c r="G3" i="19" s="1"/>
  <c r="H37" i="6"/>
  <c r="X19" i="2" s="1"/>
  <c r="X49" i="2" s="1"/>
  <c r="U3" i="19" s="1"/>
  <c r="H27" i="6"/>
  <c r="N19" i="2" s="1"/>
  <c r="N49" i="2" s="1"/>
  <c r="K3" i="19" s="1"/>
  <c r="H42" i="6"/>
  <c r="H19" i="6"/>
  <c r="H33" i="6"/>
  <c r="T19" i="2" s="1"/>
  <c r="T49" i="2" s="1"/>
  <c r="Q3" i="19" s="1"/>
  <c r="H35" i="6"/>
  <c r="V19" i="2" s="1"/>
  <c r="V49" i="2" s="1"/>
  <c r="S3" i="19" s="1"/>
  <c r="H36" i="6"/>
  <c r="W19" i="2" s="1"/>
  <c r="W49" i="2" s="1"/>
  <c r="T3" i="19" s="1"/>
  <c r="H26" i="6"/>
  <c r="M19" i="2" s="1"/>
  <c r="M49" i="2" s="1"/>
  <c r="J3" i="19" s="1"/>
  <c r="H40" i="6"/>
  <c r="AA19" i="2" s="1"/>
  <c r="AA49" i="2" s="1"/>
  <c r="X3" i="19" s="1"/>
  <c r="H30" i="6"/>
  <c r="Q19" i="2" s="1"/>
  <c r="Q49" i="2" s="1"/>
  <c r="N3" i="19" s="1"/>
  <c r="H21" i="6"/>
  <c r="H19" i="2" s="1"/>
  <c r="H49" i="2" s="1"/>
  <c r="E3" i="19" s="1"/>
  <c r="H32" i="6"/>
  <c r="S19" i="2" s="1"/>
  <c r="S49" i="2" s="1"/>
  <c r="P3" i="19" s="1"/>
  <c r="H18" i="6"/>
  <c r="H38" i="6"/>
  <c r="Y19" i="2" s="1"/>
  <c r="Y49" i="2" s="1"/>
  <c r="V3" i="19" s="1"/>
  <c r="H24" i="6"/>
  <c r="K19" i="2" s="1"/>
  <c r="K49" i="2" s="1"/>
  <c r="H3" i="19" s="1"/>
  <c r="H41" i="6"/>
  <c r="H43" i="6"/>
  <c r="Y19" i="12" l="1"/>
  <c r="O19" i="12"/>
  <c r="Z19" i="12"/>
  <c r="M19" i="12"/>
  <c r="I19" i="12"/>
  <c r="K19" i="12"/>
  <c r="R19" i="12"/>
  <c r="L19" i="12"/>
  <c r="W19" i="12"/>
  <c r="U19" i="12"/>
  <c r="X19" i="12"/>
  <c r="S19" i="12"/>
  <c r="Q19" i="12"/>
  <c r="V19" i="12"/>
  <c r="N19" i="12"/>
  <c r="J19" i="12"/>
  <c r="H19" i="12"/>
  <c r="H20" i="12" s="1"/>
  <c r="H21" i="12" s="1"/>
  <c r="H28" i="12" s="1"/>
  <c r="H29" i="12" s="1"/>
  <c r="H62" i="12" s="1"/>
  <c r="AA19" i="12"/>
  <c r="T19" i="12"/>
  <c r="P19" i="12"/>
  <c r="H20" i="2" l="1"/>
  <c r="I20" i="12"/>
  <c r="I21" i="12" s="1"/>
  <c r="I28" i="12" s="1"/>
  <c r="I29" i="12" s="1"/>
  <c r="I62" i="12" s="1"/>
  <c r="I20" i="2"/>
  <c r="H31" i="12"/>
  <c r="H61" i="12" s="1"/>
  <c r="H84" i="9" l="1"/>
  <c r="H107" i="9" s="1"/>
  <c r="H46" i="9"/>
  <c r="H65" i="9" s="1"/>
  <c r="H21" i="2"/>
  <c r="H28" i="2" s="1"/>
  <c r="H29" i="2" s="1"/>
  <c r="I84" i="9"/>
  <c r="I31" i="12"/>
  <c r="I41" i="12" s="1"/>
  <c r="I44" i="12" s="1"/>
  <c r="I46" i="12" s="1"/>
  <c r="I51" i="12" s="1"/>
  <c r="I54" i="12" s="1"/>
  <c r="J20" i="12"/>
  <c r="J21" i="12" s="1"/>
  <c r="J28" i="12" s="1"/>
  <c r="J29" i="12" s="1"/>
  <c r="J62" i="12" s="1"/>
  <c r="J20" i="2"/>
  <c r="I46" i="9"/>
  <c r="I21" i="2"/>
  <c r="I28" i="2" s="1"/>
  <c r="I29" i="2" s="1"/>
  <c r="H41" i="12"/>
  <c r="H44" i="12" s="1"/>
  <c r="H46" i="12" s="1"/>
  <c r="H64" i="12"/>
  <c r="H68" i="12" s="1"/>
  <c r="G7" i="7" l="1"/>
  <c r="H86" i="9"/>
  <c r="H109" i="9" s="1"/>
  <c r="H48" i="9"/>
  <c r="H67" i="9" s="1"/>
  <c r="K20" i="2"/>
  <c r="I61" i="12"/>
  <c r="I64" i="12" s="1"/>
  <c r="I68" i="12" s="1"/>
  <c r="I86" i="9"/>
  <c r="I48" i="9"/>
  <c r="K20" i="12"/>
  <c r="L20" i="12" s="1"/>
  <c r="J31" i="12"/>
  <c r="J61" i="12" s="1"/>
  <c r="J21" i="2"/>
  <c r="J28" i="2" s="1"/>
  <c r="J46" i="9"/>
  <c r="J84" i="9"/>
  <c r="H7" i="7"/>
  <c r="L20" i="2"/>
  <c r="I31" i="2"/>
  <c r="H8" i="7"/>
  <c r="I87" i="9"/>
  <c r="I49" i="9"/>
  <c r="I69" i="2"/>
  <c r="H31" i="2"/>
  <c r="G8" i="7"/>
  <c r="H49" i="9"/>
  <c r="H68" i="9" s="1"/>
  <c r="H87" i="9"/>
  <c r="H69" i="2"/>
  <c r="H51" i="12"/>
  <c r="I41" i="2" l="1"/>
  <c r="F8" i="19"/>
  <c r="E8" i="19"/>
  <c r="H41" i="2"/>
  <c r="G10" i="7"/>
  <c r="G11" i="7" s="1"/>
  <c r="K21" i="12"/>
  <c r="K28" i="12" s="1"/>
  <c r="K29" i="12" s="1"/>
  <c r="K62" i="12" s="1"/>
  <c r="K84" i="9"/>
  <c r="K21" i="2"/>
  <c r="K28" i="2" s="1"/>
  <c r="K29" i="2" s="1"/>
  <c r="K46" i="9"/>
  <c r="J41" i="12"/>
  <c r="J44" i="12" s="1"/>
  <c r="J46" i="12" s="1"/>
  <c r="I89" i="9"/>
  <c r="I91" i="9" s="1"/>
  <c r="I94" i="9" s="1"/>
  <c r="I96" i="9" s="1"/>
  <c r="H10" i="7"/>
  <c r="H11" i="7" s="1"/>
  <c r="I7" i="7"/>
  <c r="J48" i="9"/>
  <c r="J29" i="2"/>
  <c r="J86" i="9"/>
  <c r="L21" i="12"/>
  <c r="L28" i="12" s="1"/>
  <c r="M20" i="12"/>
  <c r="L21" i="2"/>
  <c r="L28" i="2" s="1"/>
  <c r="M20" i="2"/>
  <c r="L84" i="9"/>
  <c r="I107" i="9" s="1"/>
  <c r="L46" i="9"/>
  <c r="I65" i="9" s="1"/>
  <c r="J64" i="12"/>
  <c r="J68" i="12" s="1"/>
  <c r="H110" i="9"/>
  <c r="H112" i="9" s="1"/>
  <c r="H89" i="9"/>
  <c r="H68" i="2"/>
  <c r="I68" i="2"/>
  <c r="I71" i="2" s="1"/>
  <c r="I75" i="2" s="1"/>
  <c r="H54" i="12"/>
  <c r="F15" i="19" l="1"/>
  <c r="E15" i="19"/>
  <c r="J7" i="7"/>
  <c r="K48" i="9"/>
  <c r="K86" i="9"/>
  <c r="I100" i="9"/>
  <c r="I101" i="9" s="1"/>
  <c r="K31" i="12"/>
  <c r="K41" i="12" s="1"/>
  <c r="K44" i="12" s="1"/>
  <c r="K46" i="12" s="1"/>
  <c r="K51" i="12" s="1"/>
  <c r="K54" i="12" s="1"/>
  <c r="J31" i="2"/>
  <c r="J69" i="2"/>
  <c r="J49" i="9"/>
  <c r="I8" i="7"/>
  <c r="I10" i="7" s="1"/>
  <c r="I11" i="7" s="1"/>
  <c r="J87" i="9"/>
  <c r="J89" i="9" s="1"/>
  <c r="M21" i="12"/>
  <c r="M28" i="12" s="1"/>
  <c r="N20" i="12"/>
  <c r="L29" i="12"/>
  <c r="L62" i="12" s="1"/>
  <c r="N20" i="2"/>
  <c r="M46" i="9"/>
  <c r="M21" i="2"/>
  <c r="M28" i="2" s="1"/>
  <c r="M84" i="9"/>
  <c r="L29" i="2"/>
  <c r="L31" i="2" s="1"/>
  <c r="L86" i="9"/>
  <c r="L48" i="9"/>
  <c r="I67" i="9" s="1"/>
  <c r="K7" i="7"/>
  <c r="J8" i="7"/>
  <c r="K87" i="9"/>
  <c r="K49" i="9"/>
  <c r="K31" i="2"/>
  <c r="K69" i="2"/>
  <c r="J51" i="12"/>
  <c r="H71" i="2"/>
  <c r="H75" i="2" s="1"/>
  <c r="I45" i="2"/>
  <c r="I51" i="9"/>
  <c r="I54" i="9" s="1"/>
  <c r="I56" i="9" s="1"/>
  <c r="H51" i="9"/>
  <c r="H45" i="2"/>
  <c r="H50" i="2" s="1"/>
  <c r="G22" i="7" s="1"/>
  <c r="H100" i="9"/>
  <c r="H91" i="9"/>
  <c r="I95" i="9"/>
  <c r="I98" i="9"/>
  <c r="F18" i="19" l="1"/>
  <c r="F17" i="19"/>
  <c r="E18" i="19"/>
  <c r="E17" i="19"/>
  <c r="J41" i="2"/>
  <c r="G8" i="19"/>
  <c r="L41" i="2"/>
  <c r="I8" i="19"/>
  <c r="K41" i="2"/>
  <c r="H8" i="19"/>
  <c r="I50" i="2"/>
  <c r="H22" i="7" s="1"/>
  <c r="H21" i="7"/>
  <c r="I47" i="2"/>
  <c r="H47" i="2"/>
  <c r="J10" i="7"/>
  <c r="J11" i="7" s="1"/>
  <c r="K61" i="12"/>
  <c r="K64" i="12" s="1"/>
  <c r="K68" i="12" s="1"/>
  <c r="J100" i="9"/>
  <c r="J101" i="9" s="1"/>
  <c r="J91" i="9"/>
  <c r="J94" i="9" s="1"/>
  <c r="J96" i="9" s="1"/>
  <c r="J68" i="2"/>
  <c r="J71" i="2" s="1"/>
  <c r="J75" i="2" s="1"/>
  <c r="L31" i="12"/>
  <c r="L61" i="12" s="1"/>
  <c r="L64" i="12" s="1"/>
  <c r="L68" i="12" s="1"/>
  <c r="O20" i="12"/>
  <c r="N21" i="12"/>
  <c r="N28" i="12" s="1"/>
  <c r="N29" i="12" s="1"/>
  <c r="M29" i="12"/>
  <c r="M62" i="12" s="1"/>
  <c r="L68" i="2"/>
  <c r="K68" i="2"/>
  <c r="N46" i="9"/>
  <c r="N21" i="2"/>
  <c r="N28" i="2" s="1"/>
  <c r="O20" i="2"/>
  <c r="N84" i="9"/>
  <c r="M86" i="9"/>
  <c r="M29" i="2"/>
  <c r="M31" i="2" s="1"/>
  <c r="M48" i="9"/>
  <c r="K89" i="9"/>
  <c r="I109" i="9"/>
  <c r="L69" i="2"/>
  <c r="L87" i="9"/>
  <c r="I110" i="9" s="1"/>
  <c r="K8" i="7"/>
  <c r="K10" i="7" s="1"/>
  <c r="L49" i="9"/>
  <c r="I68" i="9" s="1"/>
  <c r="H70" i="9"/>
  <c r="H73" i="9" s="1"/>
  <c r="H54" i="9"/>
  <c r="H56" i="9" s="1"/>
  <c r="G21" i="7"/>
  <c r="G23" i="7" s="1"/>
  <c r="J54" i="12"/>
  <c r="H113" i="9"/>
  <c r="H116" i="9" s="1"/>
  <c r="H94" i="9"/>
  <c r="H96" i="9" s="1"/>
  <c r="H101" i="9"/>
  <c r="H122" i="9"/>
  <c r="I58" i="9"/>
  <c r="I55" i="9"/>
  <c r="F19" i="19" l="1"/>
  <c r="F27" i="19" s="1"/>
  <c r="E19" i="19"/>
  <c r="E27" i="19" s="1"/>
  <c r="G15" i="19"/>
  <c r="I15" i="19"/>
  <c r="H15" i="19"/>
  <c r="M41" i="2"/>
  <c r="J8" i="19"/>
  <c r="H23" i="7"/>
  <c r="H52" i="2"/>
  <c r="H53" i="2" s="1"/>
  <c r="I52" i="2"/>
  <c r="L41" i="12"/>
  <c r="L44" i="12" s="1"/>
  <c r="L46" i="12" s="1"/>
  <c r="L51" i="12" s="1"/>
  <c r="L54" i="12" s="1"/>
  <c r="J45" i="2"/>
  <c r="J51" i="9"/>
  <c r="J54" i="9" s="1"/>
  <c r="J56" i="9" s="1"/>
  <c r="J95" i="9"/>
  <c r="J98" i="9"/>
  <c r="M31" i="12"/>
  <c r="M41" i="12" s="1"/>
  <c r="M44" i="12" s="1"/>
  <c r="M46" i="12" s="1"/>
  <c r="M51" i="12" s="1"/>
  <c r="M54" i="12" s="1"/>
  <c r="N31" i="12"/>
  <c r="N62" i="12"/>
  <c r="O21" i="12"/>
  <c r="O28" i="12" s="1"/>
  <c r="P20" i="12"/>
  <c r="K91" i="9"/>
  <c r="K100" i="9"/>
  <c r="K71" i="2"/>
  <c r="K75" i="2" s="1"/>
  <c r="L89" i="9"/>
  <c r="M49" i="9"/>
  <c r="M87" i="9"/>
  <c r="M69" i="2"/>
  <c r="N48" i="9"/>
  <c r="N86" i="9"/>
  <c r="N29" i="2"/>
  <c r="N31" i="2" s="1"/>
  <c r="I112" i="9"/>
  <c r="K11" i="7"/>
  <c r="L71" i="2"/>
  <c r="L75" i="2" s="1"/>
  <c r="L51" i="9"/>
  <c r="L45" i="2"/>
  <c r="O46" i="9"/>
  <c r="O84" i="9"/>
  <c r="P20" i="2"/>
  <c r="O21" i="2"/>
  <c r="O28" i="2" s="1"/>
  <c r="K45" i="2"/>
  <c r="K51" i="9"/>
  <c r="M68" i="2"/>
  <c r="H95" i="9"/>
  <c r="H117" i="9" s="1"/>
  <c r="H98" i="9"/>
  <c r="H120" i="9" s="1"/>
  <c r="H118" i="9"/>
  <c r="G26" i="7"/>
  <c r="G24" i="7"/>
  <c r="H123" i="9"/>
  <c r="H55" i="9"/>
  <c r="H74" i="9" s="1"/>
  <c r="H58" i="9"/>
  <c r="H75" i="9"/>
  <c r="G17" i="19" l="1"/>
  <c r="G18" i="19"/>
  <c r="I17" i="19"/>
  <c r="I18" i="19"/>
  <c r="H17" i="19"/>
  <c r="H18" i="19"/>
  <c r="J15" i="19"/>
  <c r="N41" i="2"/>
  <c r="K8" i="19"/>
  <c r="H24" i="7"/>
  <c r="H26" i="7"/>
  <c r="J50" i="2"/>
  <c r="I22" i="7" s="1"/>
  <c r="I21" i="7"/>
  <c r="L50" i="2"/>
  <c r="K22" i="7" s="1"/>
  <c r="K21" i="7"/>
  <c r="K50" i="2"/>
  <c r="J22" i="7" s="1"/>
  <c r="J21" i="7"/>
  <c r="I53" i="2"/>
  <c r="I58" i="2"/>
  <c r="J47" i="2"/>
  <c r="L47" i="2"/>
  <c r="K47" i="2"/>
  <c r="M61" i="12"/>
  <c r="M64" i="12" s="1"/>
  <c r="M68" i="12" s="1"/>
  <c r="J58" i="9"/>
  <c r="J55" i="9"/>
  <c r="M71" i="2"/>
  <c r="M75" i="2" s="1"/>
  <c r="P21" i="12"/>
  <c r="P28" i="12" s="1"/>
  <c r="Q20" i="12"/>
  <c r="O29" i="12"/>
  <c r="O62" i="12" s="1"/>
  <c r="N41" i="12"/>
  <c r="N44" i="12" s="1"/>
  <c r="N46" i="12" s="1"/>
  <c r="N51" i="12" s="1"/>
  <c r="N54" i="12" s="1"/>
  <c r="N61" i="12"/>
  <c r="N64" i="12" s="1"/>
  <c r="N68" i="12" s="1"/>
  <c r="O29" i="2"/>
  <c r="O31" i="2" s="1"/>
  <c r="O86" i="9"/>
  <c r="O48" i="9"/>
  <c r="I70" i="9"/>
  <c r="I73" i="9" s="1"/>
  <c r="L54" i="9"/>
  <c r="L56" i="9" s="1"/>
  <c r="K101" i="9"/>
  <c r="M45" i="2"/>
  <c r="M50" i="2" s="1"/>
  <c r="M51" i="9"/>
  <c r="M54" i="9" s="1"/>
  <c r="M56" i="9" s="1"/>
  <c r="N49" i="9"/>
  <c r="N69" i="2"/>
  <c r="N87" i="9"/>
  <c r="N89" i="9" s="1"/>
  <c r="K94" i="9"/>
  <c r="K96" i="9" s="1"/>
  <c r="N68" i="2"/>
  <c r="K54" i="9"/>
  <c r="K56" i="9" s="1"/>
  <c r="M89" i="9"/>
  <c r="P46" i="9"/>
  <c r="P84" i="9"/>
  <c r="Q20" i="2"/>
  <c r="P21" i="2"/>
  <c r="P28" i="2" s="1"/>
  <c r="L100" i="9"/>
  <c r="L91" i="9"/>
  <c r="H125" i="9"/>
  <c r="H58" i="2"/>
  <c r="E31" i="19" s="1"/>
  <c r="H77" i="9"/>
  <c r="H19" i="19" l="1"/>
  <c r="H27" i="19" s="1"/>
  <c r="I19" i="19"/>
  <c r="I27" i="19" s="1"/>
  <c r="G19" i="19"/>
  <c r="G27" i="19" s="1"/>
  <c r="J17" i="19"/>
  <c r="J18" i="19"/>
  <c r="K15" i="19"/>
  <c r="I61" i="2"/>
  <c r="F31" i="19"/>
  <c r="O41" i="2"/>
  <c r="L8" i="19"/>
  <c r="K23" i="7"/>
  <c r="I23" i="7"/>
  <c r="J23" i="7"/>
  <c r="M47" i="2"/>
  <c r="J52" i="2"/>
  <c r="K52" i="2"/>
  <c r="K53" i="2" s="1"/>
  <c r="L52" i="2"/>
  <c r="O31" i="12"/>
  <c r="O61" i="12" s="1"/>
  <c r="O64" i="12" s="1"/>
  <c r="O68" i="12" s="1"/>
  <c r="Q21" i="12"/>
  <c r="Q28" i="12" s="1"/>
  <c r="R20" i="12"/>
  <c r="P29" i="12"/>
  <c r="P62" i="12" s="1"/>
  <c r="L94" i="9"/>
  <c r="L96" i="9" s="1"/>
  <c r="I113" i="9"/>
  <c r="I116" i="9" s="1"/>
  <c r="K95" i="9"/>
  <c r="K98" i="9"/>
  <c r="M100" i="9"/>
  <c r="M91" i="9"/>
  <c r="M94" i="9" s="1"/>
  <c r="M96" i="9" s="1"/>
  <c r="P86" i="9"/>
  <c r="P29" i="2"/>
  <c r="P31" i="2" s="1"/>
  <c r="P48" i="9"/>
  <c r="N100" i="9"/>
  <c r="N101" i="9" s="1"/>
  <c r="N91" i="9"/>
  <c r="N94" i="9" s="1"/>
  <c r="I122" i="9"/>
  <c r="L101" i="9"/>
  <c r="I123" i="9" s="1"/>
  <c r="O68" i="2"/>
  <c r="L55" i="9"/>
  <c r="I74" i="9" s="1"/>
  <c r="I75" i="9"/>
  <c r="L58" i="9"/>
  <c r="I77" i="9" s="1"/>
  <c r="K55" i="9"/>
  <c r="K58" i="9"/>
  <c r="N71" i="2"/>
  <c r="N75" i="2" s="1"/>
  <c r="N45" i="2"/>
  <c r="N50" i="2" s="1"/>
  <c r="N51" i="9"/>
  <c r="R20" i="2"/>
  <c r="Q46" i="9"/>
  <c r="J65" i="9" s="1"/>
  <c r="Q21" i="2"/>
  <c r="Q28" i="2" s="1"/>
  <c r="Q84" i="9"/>
  <c r="J107" i="9" s="1"/>
  <c r="M55" i="9"/>
  <c r="M58" i="9"/>
  <c r="O87" i="9"/>
  <c r="O69" i="2"/>
  <c r="O49" i="9"/>
  <c r="H61" i="2"/>
  <c r="J19" i="19" l="1"/>
  <c r="J27" i="19" s="1"/>
  <c r="K17" i="19"/>
  <c r="K18" i="19"/>
  <c r="L15" i="19"/>
  <c r="P41" i="2"/>
  <c r="M8" i="19"/>
  <c r="K26" i="7"/>
  <c r="K24" i="7"/>
  <c r="I26" i="7"/>
  <c r="E32" i="7" s="1"/>
  <c r="I24" i="7"/>
  <c r="J26" i="7"/>
  <c r="J24" i="7"/>
  <c r="N47" i="2"/>
  <c r="J53" i="2"/>
  <c r="J58" i="2"/>
  <c r="L53" i="2"/>
  <c r="L58" i="2"/>
  <c r="M52" i="2"/>
  <c r="O41" i="12"/>
  <c r="O44" i="12" s="1"/>
  <c r="O46" i="12" s="1"/>
  <c r="O51" i="12" s="1"/>
  <c r="O54" i="12" s="1"/>
  <c r="P31" i="12"/>
  <c r="P41" i="12" s="1"/>
  <c r="P44" i="12" s="1"/>
  <c r="P46" i="12" s="1"/>
  <c r="P51" i="12" s="1"/>
  <c r="P54" i="12" s="1"/>
  <c r="S20" i="12"/>
  <c r="R21" i="12"/>
  <c r="R28" i="12" s="1"/>
  <c r="Q29" i="12"/>
  <c r="Q62" i="12" s="1"/>
  <c r="M95" i="9"/>
  <c r="M98" i="9"/>
  <c r="M101" i="9"/>
  <c r="P68" i="2"/>
  <c r="Q29" i="2"/>
  <c r="Q86" i="9"/>
  <c r="Q48" i="9"/>
  <c r="J67" i="9" s="1"/>
  <c r="K58" i="2"/>
  <c r="H31" i="19" s="1"/>
  <c r="R84" i="9"/>
  <c r="R46" i="9"/>
  <c r="S20" i="2"/>
  <c r="R21" i="2"/>
  <c r="R28" i="2" s="1"/>
  <c r="P49" i="9"/>
  <c r="P69" i="2"/>
  <c r="P87" i="9"/>
  <c r="P89" i="9" s="1"/>
  <c r="N54" i="9"/>
  <c r="N56" i="9" s="1"/>
  <c r="O71" i="2"/>
  <c r="O75" i="2" s="1"/>
  <c r="O89" i="9"/>
  <c r="O45" i="2"/>
  <c r="O50" i="2" s="1"/>
  <c r="O51" i="9"/>
  <c r="O54" i="9" s="1"/>
  <c r="O56" i="9" s="1"/>
  <c r="L95" i="9"/>
  <c r="I117" i="9" s="1"/>
  <c r="I118" i="9"/>
  <c r="I125" i="9" s="1"/>
  <c r="L98" i="9"/>
  <c r="I120" i="9" s="1"/>
  <c r="K19" i="19" l="1"/>
  <c r="K27" i="19" s="1"/>
  <c r="L17" i="19"/>
  <c r="L18" i="19"/>
  <c r="M15" i="19"/>
  <c r="J61" i="2"/>
  <c r="G31" i="19"/>
  <c r="L61" i="2"/>
  <c r="I31" i="19"/>
  <c r="O47" i="2"/>
  <c r="N52" i="2"/>
  <c r="M58" i="2"/>
  <c r="M53" i="2"/>
  <c r="P61" i="12"/>
  <c r="P64" i="12" s="1"/>
  <c r="P68" i="12" s="1"/>
  <c r="P71" i="2"/>
  <c r="P75" i="2" s="1"/>
  <c r="Q31" i="12"/>
  <c r="Q61" i="12" s="1"/>
  <c r="Q64" i="12" s="1"/>
  <c r="Q68" i="12" s="1"/>
  <c r="R29" i="12"/>
  <c r="R62" i="12" s="1"/>
  <c r="S21" i="12"/>
  <c r="S28" i="12" s="1"/>
  <c r="T20" i="12"/>
  <c r="P51" i="9"/>
  <c r="P45" i="2"/>
  <c r="P50" i="2" s="1"/>
  <c r="P100" i="9"/>
  <c r="P101" i="9" s="1"/>
  <c r="P91" i="9"/>
  <c r="P94" i="9" s="1"/>
  <c r="P96" i="9" s="1"/>
  <c r="K61" i="2"/>
  <c r="N58" i="9"/>
  <c r="N55" i="9"/>
  <c r="R48" i="9"/>
  <c r="R29" i="2"/>
  <c r="R86" i="9"/>
  <c r="J109" i="9"/>
  <c r="O55" i="9"/>
  <c r="O58" i="9"/>
  <c r="S46" i="9"/>
  <c r="S84" i="9"/>
  <c r="S21" i="2"/>
  <c r="S28" i="2" s="1"/>
  <c r="T20" i="2"/>
  <c r="Q31" i="2"/>
  <c r="Q87" i="9"/>
  <c r="J110" i="9" s="1"/>
  <c r="Q69" i="2"/>
  <c r="Q49" i="9"/>
  <c r="J68" i="9" s="1"/>
  <c r="O91" i="9"/>
  <c r="O100" i="9"/>
  <c r="L19" i="19" l="1"/>
  <c r="L27" i="19" s="1"/>
  <c r="M18" i="19"/>
  <c r="M17" i="19"/>
  <c r="M61" i="2"/>
  <c r="J31" i="19"/>
  <c r="Q41" i="2"/>
  <c r="N8" i="19"/>
  <c r="P47" i="2"/>
  <c r="O52" i="2"/>
  <c r="N58" i="2"/>
  <c r="N53" i="2"/>
  <c r="Q41" i="12"/>
  <c r="Q44" i="12" s="1"/>
  <c r="Q46" i="12" s="1"/>
  <c r="Q51" i="12" s="1"/>
  <c r="Q54" i="12" s="1"/>
  <c r="Q89" i="9"/>
  <c r="Q100" i="9" s="1"/>
  <c r="T21" i="12"/>
  <c r="T28" i="12" s="1"/>
  <c r="U20" i="12"/>
  <c r="S29" i="12"/>
  <c r="S62" i="12" s="1"/>
  <c r="R31" i="12"/>
  <c r="O94" i="9"/>
  <c r="O96" i="9" s="1"/>
  <c r="P95" i="9"/>
  <c r="P98" i="9"/>
  <c r="O101" i="9"/>
  <c r="R31" i="2"/>
  <c r="R69" i="2"/>
  <c r="R87" i="9"/>
  <c r="R49" i="9"/>
  <c r="J112" i="9"/>
  <c r="Q68" i="2"/>
  <c r="T21" i="2"/>
  <c r="T84" i="9"/>
  <c r="U20" i="2"/>
  <c r="T46" i="9"/>
  <c r="S48" i="9"/>
  <c r="S86" i="9"/>
  <c r="S29" i="2"/>
  <c r="P54" i="9"/>
  <c r="P56" i="9" s="1"/>
  <c r="M19" i="19" l="1"/>
  <c r="M27" i="19" s="1"/>
  <c r="N15" i="19"/>
  <c r="N61" i="2"/>
  <c r="K31" i="19"/>
  <c r="R41" i="2"/>
  <c r="O8" i="19"/>
  <c r="O53" i="2"/>
  <c r="O58" i="2"/>
  <c r="P52" i="2"/>
  <c r="T28" i="2"/>
  <c r="Q91" i="9"/>
  <c r="Q94" i="9" s="1"/>
  <c r="Q96" i="9" s="1"/>
  <c r="R41" i="12"/>
  <c r="R44" i="12" s="1"/>
  <c r="R46" i="12" s="1"/>
  <c r="R51" i="12" s="1"/>
  <c r="R54" i="12" s="1"/>
  <c r="R61" i="12"/>
  <c r="R64" i="12" s="1"/>
  <c r="R68" i="12" s="1"/>
  <c r="S31" i="12"/>
  <c r="U21" i="12"/>
  <c r="U28" i="12" s="1"/>
  <c r="V20" i="12"/>
  <c r="T29" i="12"/>
  <c r="T62" i="12" s="1"/>
  <c r="P58" i="9"/>
  <c r="P55" i="9"/>
  <c r="Q51" i="9"/>
  <c r="Q45" i="2"/>
  <c r="Q50" i="2" s="1"/>
  <c r="Q71" i="2"/>
  <c r="Q75" i="2" s="1"/>
  <c r="S69" i="2"/>
  <c r="S87" i="9"/>
  <c r="S89" i="9" s="1"/>
  <c r="S49" i="9"/>
  <c r="S31" i="2"/>
  <c r="Q101" i="9"/>
  <c r="J123" i="9" s="1"/>
  <c r="J122" i="9"/>
  <c r="R89" i="9"/>
  <c r="R68" i="2"/>
  <c r="R71" i="2" s="1"/>
  <c r="R75" i="2" s="1"/>
  <c r="O98" i="9"/>
  <c r="O95" i="9"/>
  <c r="U84" i="9"/>
  <c r="U21" i="2"/>
  <c r="U46" i="9"/>
  <c r="V20" i="2"/>
  <c r="N18" i="19" l="1"/>
  <c r="N17" i="19"/>
  <c r="O15" i="19"/>
  <c r="O61" i="2"/>
  <c r="L31" i="19"/>
  <c r="S41" i="2"/>
  <c r="P8" i="19"/>
  <c r="Q47" i="2"/>
  <c r="T48" i="9"/>
  <c r="T29" i="2"/>
  <c r="T86" i="9"/>
  <c r="U28" i="2"/>
  <c r="P58" i="2"/>
  <c r="P53" i="2"/>
  <c r="J113" i="9"/>
  <c r="J116" i="9" s="1"/>
  <c r="T31" i="12"/>
  <c r="T61" i="12" s="1"/>
  <c r="T64" i="12" s="1"/>
  <c r="T68" i="12" s="1"/>
  <c r="W20" i="12"/>
  <c r="V21" i="12"/>
  <c r="V28" i="12" s="1"/>
  <c r="U29" i="12"/>
  <c r="U62" i="12" s="1"/>
  <c r="S41" i="12"/>
  <c r="S44" i="12" s="1"/>
  <c r="S46" i="12" s="1"/>
  <c r="S51" i="12" s="1"/>
  <c r="S54" i="12" s="1"/>
  <c r="S61" i="12"/>
  <c r="S64" i="12" s="1"/>
  <c r="S68" i="12" s="1"/>
  <c r="R45" i="2"/>
  <c r="R50" i="2" s="1"/>
  <c r="R51" i="9"/>
  <c r="R54" i="9" s="1"/>
  <c r="R56" i="9" s="1"/>
  <c r="J118" i="9"/>
  <c r="J125" i="9" s="1"/>
  <c r="Q95" i="9"/>
  <c r="J117" i="9" s="1"/>
  <c r="Q98" i="9"/>
  <c r="J120" i="9" s="1"/>
  <c r="S100" i="9"/>
  <c r="S101" i="9" s="1"/>
  <c r="S91" i="9"/>
  <c r="S94" i="9" s="1"/>
  <c r="S96" i="9" s="1"/>
  <c r="J70" i="9"/>
  <c r="J73" i="9" s="1"/>
  <c r="Q54" i="9"/>
  <c r="Q56" i="9" s="1"/>
  <c r="R100" i="9"/>
  <c r="R101" i="9" s="1"/>
  <c r="R91" i="9"/>
  <c r="R94" i="9" s="1"/>
  <c r="R96" i="9" s="1"/>
  <c r="S68" i="2"/>
  <c r="S71" i="2" s="1"/>
  <c r="S75" i="2" s="1"/>
  <c r="V46" i="9"/>
  <c r="K65" i="9" s="1"/>
  <c r="V21" i="2"/>
  <c r="V84" i="9"/>
  <c r="K107" i="9" s="1"/>
  <c r="W20" i="2"/>
  <c r="N19" i="19" l="1"/>
  <c r="N27" i="19" s="1"/>
  <c r="O17" i="19"/>
  <c r="O18" i="19"/>
  <c r="P15" i="19"/>
  <c r="P61" i="2"/>
  <c r="M31" i="19"/>
  <c r="R47" i="2"/>
  <c r="Q52" i="2"/>
  <c r="T31" i="2"/>
  <c r="T87" i="9"/>
  <c r="T89" i="9" s="1"/>
  <c r="T69" i="2"/>
  <c r="T49" i="9"/>
  <c r="U86" i="9"/>
  <c r="U29" i="2"/>
  <c r="U31" i="2" s="1"/>
  <c r="U48" i="9"/>
  <c r="V28" i="2"/>
  <c r="T41" i="12"/>
  <c r="T44" i="12" s="1"/>
  <c r="T46" i="12" s="1"/>
  <c r="T51" i="12" s="1"/>
  <c r="T54" i="12" s="1"/>
  <c r="U31" i="12"/>
  <c r="V29" i="12"/>
  <c r="V62" i="12" s="1"/>
  <c r="W21" i="12"/>
  <c r="W28" i="12" s="1"/>
  <c r="X20" i="12"/>
  <c r="R95" i="9"/>
  <c r="R98" i="9"/>
  <c r="W46" i="9"/>
  <c r="X20" i="2"/>
  <c r="W84" i="9"/>
  <c r="W21" i="2"/>
  <c r="R55" i="9"/>
  <c r="R58" i="9"/>
  <c r="Q58" i="9"/>
  <c r="J77" i="9" s="1"/>
  <c r="J75" i="9"/>
  <c r="Q55" i="9"/>
  <c r="J74" i="9" s="1"/>
  <c r="S98" i="9"/>
  <c r="S95" i="9"/>
  <c r="S45" i="2"/>
  <c r="S50" i="2" s="1"/>
  <c r="S51" i="9"/>
  <c r="O19" i="19" l="1"/>
  <c r="O27" i="19" s="1"/>
  <c r="P17" i="19"/>
  <c r="P18" i="19"/>
  <c r="T41" i="2"/>
  <c r="Q8" i="19"/>
  <c r="U41" i="2"/>
  <c r="R8" i="19"/>
  <c r="Q53" i="2"/>
  <c r="Q58" i="2"/>
  <c r="S47" i="2"/>
  <c r="R52" i="2"/>
  <c r="T100" i="9"/>
  <c r="T101" i="9" s="1"/>
  <c r="T91" i="9"/>
  <c r="T94" i="9" s="1"/>
  <c r="T96" i="9" s="1"/>
  <c r="T68" i="2"/>
  <c r="T71" i="2" s="1"/>
  <c r="T75" i="2" s="1"/>
  <c r="V48" i="9"/>
  <c r="K67" i="9" s="1"/>
  <c r="V29" i="2"/>
  <c r="V86" i="9"/>
  <c r="K109" i="9" s="1"/>
  <c r="U69" i="2"/>
  <c r="U49" i="9"/>
  <c r="U87" i="9"/>
  <c r="U89" i="9" s="1"/>
  <c r="W28" i="2"/>
  <c r="V31" i="12"/>
  <c r="V61" i="12" s="1"/>
  <c r="V64" i="12" s="1"/>
  <c r="V68" i="12" s="1"/>
  <c r="W29" i="12"/>
  <c r="W62" i="12" s="1"/>
  <c r="X21" i="12"/>
  <c r="X28" i="12" s="1"/>
  <c r="Y20" i="12"/>
  <c r="U41" i="12"/>
  <c r="U44" i="12" s="1"/>
  <c r="U46" i="12" s="1"/>
  <c r="U51" i="12" s="1"/>
  <c r="U54" i="12" s="1"/>
  <c r="U61" i="12"/>
  <c r="U64" i="12" s="1"/>
  <c r="U68" i="12" s="1"/>
  <c r="U68" i="2"/>
  <c r="S54" i="9"/>
  <c r="S56" i="9" s="1"/>
  <c r="X21" i="2"/>
  <c r="X46" i="9"/>
  <c r="Y20" i="2"/>
  <c r="X84" i="9"/>
  <c r="P19" i="19" l="1"/>
  <c r="P27" i="19" s="1"/>
  <c r="Q15" i="19"/>
  <c r="R15" i="19"/>
  <c r="Q61" i="2"/>
  <c r="N31" i="19"/>
  <c r="S52" i="2"/>
  <c r="T98" i="9"/>
  <c r="T95" i="9"/>
  <c r="T51" i="9"/>
  <c r="T54" i="9" s="1"/>
  <c r="T56" i="9" s="1"/>
  <c r="T45" i="2"/>
  <c r="T50" i="2" s="1"/>
  <c r="U71" i="2"/>
  <c r="U75" i="2" s="1"/>
  <c r="V87" i="9"/>
  <c r="V69" i="2"/>
  <c r="V49" i="9"/>
  <c r="K68" i="9" s="1"/>
  <c r="V31" i="2"/>
  <c r="U100" i="9"/>
  <c r="U101" i="9" s="1"/>
  <c r="U91" i="9"/>
  <c r="U94" i="9" s="1"/>
  <c r="U96" i="9" s="1"/>
  <c r="W48" i="9"/>
  <c r="W29" i="2"/>
  <c r="W86" i="9"/>
  <c r="X28" i="2"/>
  <c r="R58" i="2"/>
  <c r="R53" i="2"/>
  <c r="W31" i="12"/>
  <c r="W61" i="12" s="1"/>
  <c r="W64" i="12" s="1"/>
  <c r="W68" i="12" s="1"/>
  <c r="V41" i="12"/>
  <c r="V44" i="12" s="1"/>
  <c r="V46" i="12" s="1"/>
  <c r="V51" i="12" s="1"/>
  <c r="V54" i="12" s="1"/>
  <c r="X29" i="12"/>
  <c r="X62" i="12" s="1"/>
  <c r="Z20" i="12"/>
  <c r="Y21" i="12"/>
  <c r="Y28" i="12" s="1"/>
  <c r="Y84" i="9"/>
  <c r="Y46" i="9"/>
  <c r="Z20" i="2"/>
  <c r="Y21" i="2"/>
  <c r="S58" i="9"/>
  <c r="S55" i="9"/>
  <c r="U51" i="9"/>
  <c r="U54" i="9" s="1"/>
  <c r="U56" i="9" s="1"/>
  <c r="U45" i="2"/>
  <c r="U50" i="2" s="1"/>
  <c r="Q18" i="19" l="1"/>
  <c r="Q17" i="19"/>
  <c r="R17" i="19"/>
  <c r="R18" i="19"/>
  <c r="R61" i="2"/>
  <c r="O31" i="19"/>
  <c r="V41" i="2"/>
  <c r="S8" i="19"/>
  <c r="T47" i="2"/>
  <c r="S53" i="2"/>
  <c r="S58" i="2"/>
  <c r="U47" i="2"/>
  <c r="T58" i="9"/>
  <c r="T55" i="9"/>
  <c r="W49" i="9"/>
  <c r="W69" i="2"/>
  <c r="K110" i="9"/>
  <c r="K112" i="9" s="1"/>
  <c r="V89" i="9"/>
  <c r="V68" i="2"/>
  <c r="V71" i="2" s="1"/>
  <c r="V75" i="2" s="1"/>
  <c r="U95" i="9"/>
  <c r="U98" i="9"/>
  <c r="W87" i="9"/>
  <c r="W89" i="9" s="1"/>
  <c r="W31" i="2"/>
  <c r="X29" i="2"/>
  <c r="X86" i="9"/>
  <c r="X48" i="9"/>
  <c r="Y28" i="2"/>
  <c r="W41" i="12"/>
  <c r="W44" i="12" s="1"/>
  <c r="W46" i="12" s="1"/>
  <c r="W51" i="12" s="1"/>
  <c r="W54" i="12" s="1"/>
  <c r="X31" i="12"/>
  <c r="X41" i="12" s="1"/>
  <c r="X44" i="12" s="1"/>
  <c r="X46" i="12" s="1"/>
  <c r="X51" i="12" s="1"/>
  <c r="X54" i="12" s="1"/>
  <c r="Z21" i="12"/>
  <c r="Z28" i="12" s="1"/>
  <c r="AA20" i="12"/>
  <c r="AA21" i="12" s="1"/>
  <c r="AA28" i="12" s="1"/>
  <c r="Y29" i="12"/>
  <c r="Y31" i="12" s="1"/>
  <c r="U58" i="9"/>
  <c r="U55" i="9"/>
  <c r="Z84" i="9"/>
  <c r="Z46" i="9"/>
  <c r="Z21" i="2"/>
  <c r="AA20" i="2"/>
  <c r="Q19" i="19" l="1"/>
  <c r="Q27" i="19" s="1"/>
  <c r="R19" i="19"/>
  <c r="R27" i="19" s="1"/>
  <c r="S15" i="19"/>
  <c r="S61" i="2"/>
  <c r="P31" i="19"/>
  <c r="W41" i="2"/>
  <c r="T8" i="19"/>
  <c r="U52" i="2"/>
  <c r="T52" i="2"/>
  <c r="V100" i="9"/>
  <c r="V91" i="9"/>
  <c r="V51" i="9"/>
  <c r="V45" i="2"/>
  <c r="V50" i="2" s="1"/>
  <c r="W100" i="9"/>
  <c r="W101" i="9" s="1"/>
  <c r="W91" i="9"/>
  <c r="W94" i="9" s="1"/>
  <c r="W96" i="9" s="1"/>
  <c r="W68" i="2"/>
  <c r="W71" i="2" s="1"/>
  <c r="W75" i="2" s="1"/>
  <c r="X87" i="9"/>
  <c r="X89" i="9" s="1"/>
  <c r="X49" i="9"/>
  <c r="X69" i="2"/>
  <c r="X31" i="2"/>
  <c r="Y86" i="9"/>
  <c r="Y29" i="2"/>
  <c r="Y48" i="9"/>
  <c r="Z28" i="2"/>
  <c r="X61" i="12"/>
  <c r="X64" i="12" s="1"/>
  <c r="X68" i="12" s="1"/>
  <c r="E28" i="12"/>
  <c r="E27" i="12" s="1"/>
  <c r="Y61" i="12"/>
  <c r="Y41" i="12"/>
  <c r="Y62" i="12"/>
  <c r="AA29" i="12"/>
  <c r="AA62" i="12" s="1"/>
  <c r="Z29" i="12"/>
  <c r="Z62" i="12" s="1"/>
  <c r="AA84" i="9"/>
  <c r="AA21" i="2"/>
  <c r="AA46" i="9"/>
  <c r="S17" i="19" l="1"/>
  <c r="S18" i="19"/>
  <c r="T15" i="19"/>
  <c r="X41" i="2"/>
  <c r="U8" i="19"/>
  <c r="V47" i="2"/>
  <c r="U53" i="2"/>
  <c r="U58" i="2"/>
  <c r="T53" i="2"/>
  <c r="T58" i="2"/>
  <c r="V101" i="9"/>
  <c r="K123" i="9" s="1"/>
  <c r="K122" i="9"/>
  <c r="V94" i="9"/>
  <c r="V96" i="9" s="1"/>
  <c r="K113" i="9"/>
  <c r="K116" i="9" s="1"/>
  <c r="V54" i="9"/>
  <c r="V56" i="9" s="1"/>
  <c r="K70" i="9"/>
  <c r="K73" i="9" s="1"/>
  <c r="W45" i="2"/>
  <c r="W50" i="2" s="1"/>
  <c r="W51" i="9"/>
  <c r="W54" i="9" s="1"/>
  <c r="W56" i="9" s="1"/>
  <c r="X68" i="2"/>
  <c r="X71" i="2" s="1"/>
  <c r="X75" i="2" s="1"/>
  <c r="W95" i="9"/>
  <c r="W98" i="9"/>
  <c r="X91" i="9"/>
  <c r="X94" i="9" s="1"/>
  <c r="X96" i="9" s="1"/>
  <c r="X100" i="9"/>
  <c r="X101" i="9" s="1"/>
  <c r="Z86" i="9"/>
  <c r="Z29" i="2"/>
  <c r="Z49" i="9" s="1"/>
  <c r="Z48" i="9"/>
  <c r="Y87" i="9"/>
  <c r="Y89" i="9" s="1"/>
  <c r="Y49" i="9"/>
  <c r="Y31" i="2"/>
  <c r="Y69" i="2"/>
  <c r="AA28" i="2"/>
  <c r="AA31" i="12"/>
  <c r="E29" i="12"/>
  <c r="Y44" i="12"/>
  <c r="Y46" i="12" s="1"/>
  <c r="Z31" i="12"/>
  <c r="E62" i="12"/>
  <c r="Y64" i="12"/>
  <c r="Y68" i="12" s="1"/>
  <c r="L107" i="9"/>
  <c r="AB84" i="9"/>
  <c r="M107" i="9" s="1"/>
  <c r="L65" i="9"/>
  <c r="AB46" i="9"/>
  <c r="M65" i="9" s="1"/>
  <c r="S19" i="19" l="1"/>
  <c r="S27" i="19" s="1"/>
  <c r="T17" i="19"/>
  <c r="T18" i="19"/>
  <c r="U15" i="19"/>
  <c r="U61" i="2"/>
  <c r="R31" i="19"/>
  <c r="T61" i="2"/>
  <c r="Q31" i="19"/>
  <c r="Y41" i="2"/>
  <c r="V8" i="19"/>
  <c r="W47" i="2"/>
  <c r="V52" i="2"/>
  <c r="K118" i="9"/>
  <c r="K125" i="9" s="1"/>
  <c r="V98" i="9"/>
  <c r="K120" i="9" s="1"/>
  <c r="V95" i="9"/>
  <c r="K117" i="9" s="1"/>
  <c r="K75" i="9"/>
  <c r="V55" i="9"/>
  <c r="K74" i="9" s="1"/>
  <c r="V58" i="9"/>
  <c r="K77" i="9" s="1"/>
  <c r="X98" i="9"/>
  <c r="X95" i="9"/>
  <c r="W55" i="9"/>
  <c r="W58" i="9"/>
  <c r="X45" i="2"/>
  <c r="X50" i="2" s="1"/>
  <c r="X51" i="9"/>
  <c r="X54" i="9" s="1"/>
  <c r="X56" i="9" s="1"/>
  <c r="Z69" i="2"/>
  <c r="Z31" i="2"/>
  <c r="Z87" i="9"/>
  <c r="Z89" i="9" s="1"/>
  <c r="Y91" i="9"/>
  <c r="Y94" i="9" s="1"/>
  <c r="Y96" i="9" s="1"/>
  <c r="Y100" i="9"/>
  <c r="Y101" i="9" s="1"/>
  <c r="Y68" i="2"/>
  <c r="Y71" i="2" s="1"/>
  <c r="Y75" i="2" s="1"/>
  <c r="M7" i="7"/>
  <c r="AA48" i="9"/>
  <c r="AA86" i="9"/>
  <c r="AA29" i="2"/>
  <c r="E28" i="2"/>
  <c r="Z41" i="12"/>
  <c r="Z61" i="12"/>
  <c r="E31" i="12"/>
  <c r="Y51" i="12"/>
  <c r="AA41" i="12"/>
  <c r="AA44" i="12" s="1"/>
  <c r="AA46" i="12" s="1"/>
  <c r="AA51" i="12" s="1"/>
  <c r="AA54" i="12" s="1"/>
  <c r="AA61" i="12"/>
  <c r="AA64" i="12" s="1"/>
  <c r="AA68" i="12" s="1"/>
  <c r="T19" i="19" l="1"/>
  <c r="T27" i="19" s="1"/>
  <c r="U17" i="19"/>
  <c r="U18" i="19"/>
  <c r="V15" i="19"/>
  <c r="Z41" i="2"/>
  <c r="W8" i="19"/>
  <c r="X47" i="2"/>
  <c r="V58" i="2"/>
  <c r="V53" i="2"/>
  <c r="W52" i="2"/>
  <c r="Z100" i="9"/>
  <c r="Z101" i="9" s="1"/>
  <c r="Z91" i="9"/>
  <c r="Z94" i="9" s="1"/>
  <c r="Z96" i="9" s="1"/>
  <c r="Y95" i="9"/>
  <c r="Y98" i="9"/>
  <c r="X58" i="9"/>
  <c r="X55" i="9"/>
  <c r="Z68" i="2"/>
  <c r="Z71" i="2" s="1"/>
  <c r="Z75" i="2" s="1"/>
  <c r="M8" i="7"/>
  <c r="M10" i="7" s="1"/>
  <c r="M11" i="7" s="1"/>
  <c r="AA69" i="2"/>
  <c r="E69" i="2" s="1"/>
  <c r="AA87" i="9"/>
  <c r="L110" i="9" s="1"/>
  <c r="L67" i="9"/>
  <c r="AB48" i="9"/>
  <c r="M67" i="9" s="1"/>
  <c r="L109" i="9"/>
  <c r="AB86" i="9"/>
  <c r="M109" i="9" s="1"/>
  <c r="AA31" i="2"/>
  <c r="AA49" i="9"/>
  <c r="E29" i="2"/>
  <c r="E8" i="7" s="1"/>
  <c r="J23" i="1"/>
  <c r="E27" i="2"/>
  <c r="E7" i="7"/>
  <c r="Y45" i="2"/>
  <c r="Y50" i="2" s="1"/>
  <c r="Y51" i="9"/>
  <c r="Y54" i="9" s="1"/>
  <c r="Y56" i="9" s="1"/>
  <c r="Y54" i="12"/>
  <c r="Z64" i="12"/>
  <c r="Z68" i="12" s="1"/>
  <c r="E61" i="12"/>
  <c r="E64" i="12" s="1"/>
  <c r="E68" i="12" s="1"/>
  <c r="Z44" i="12"/>
  <c r="Z46" i="12" s="1"/>
  <c r="E41" i="12"/>
  <c r="U19" i="19" l="1"/>
  <c r="U27" i="19" s="1"/>
  <c r="V17" i="19"/>
  <c r="V18" i="19"/>
  <c r="W15" i="19"/>
  <c r="V61" i="2"/>
  <c r="S31" i="19"/>
  <c r="AA41" i="2"/>
  <c r="AA51" i="9" s="1"/>
  <c r="X8" i="19"/>
  <c r="Y47" i="2"/>
  <c r="W53" i="2"/>
  <c r="W58" i="2"/>
  <c r="X52" i="2"/>
  <c r="Z98" i="9"/>
  <c r="Z95" i="9"/>
  <c r="Z45" i="2"/>
  <c r="Z50" i="2" s="1"/>
  <c r="Z51" i="9"/>
  <c r="Z54" i="9" s="1"/>
  <c r="Z56" i="9" s="1"/>
  <c r="E10" i="7"/>
  <c r="E11" i="7" s="1"/>
  <c r="AA89" i="9"/>
  <c r="AB87" i="9"/>
  <c r="M110" i="9" s="1"/>
  <c r="M112" i="9" s="1"/>
  <c r="L112" i="9"/>
  <c r="L68" i="9"/>
  <c r="AB49" i="9"/>
  <c r="M68" i="9" s="1"/>
  <c r="J25" i="1"/>
  <c r="D4" i="15"/>
  <c r="D3" i="15" s="1"/>
  <c r="E31" i="2"/>
  <c r="AA68" i="2"/>
  <c r="Y55" i="9"/>
  <c r="Y58" i="9"/>
  <c r="Z51" i="12"/>
  <c r="D46" i="12"/>
  <c r="V19" i="19" l="1"/>
  <c r="V27" i="19" s="1"/>
  <c r="W17" i="19"/>
  <c r="W18" i="19"/>
  <c r="X15" i="19"/>
  <c r="W61" i="2"/>
  <c r="T31" i="19"/>
  <c r="E41" i="2"/>
  <c r="AA45" i="2"/>
  <c r="Z47" i="2"/>
  <c r="Y52" i="2"/>
  <c r="X58" i="2"/>
  <c r="X53" i="2"/>
  <c r="Z55" i="9"/>
  <c r="Z58" i="9"/>
  <c r="D38" i="1"/>
  <c r="D39" i="1" s="1"/>
  <c r="D41" i="1" s="1"/>
  <c r="D43" i="1" s="1"/>
  <c r="D45" i="1" s="1"/>
  <c r="J43" i="1" s="1"/>
  <c r="J62" i="1" s="1"/>
  <c r="F27" i="1"/>
  <c r="AB89" i="9"/>
  <c r="AA91" i="9"/>
  <c r="AA100" i="9"/>
  <c r="L70" i="9"/>
  <c r="L73" i="9" s="1"/>
  <c r="AA54" i="9"/>
  <c r="AA56" i="9" s="1"/>
  <c r="AB51" i="9"/>
  <c r="AA71" i="2"/>
  <c r="AA75" i="2" s="1"/>
  <c r="E68" i="2"/>
  <c r="E71" i="2" s="1"/>
  <c r="E75" i="2" s="1"/>
  <c r="Z54" i="12"/>
  <c r="D56" i="12" s="1"/>
  <c r="E51" i="12"/>
  <c r="E54" i="12" s="1"/>
  <c r="X17" i="19" l="1"/>
  <c r="X18" i="19"/>
  <c r="W19" i="19"/>
  <c r="W27" i="19" s="1"/>
  <c r="X61" i="2"/>
  <c r="U31" i="19"/>
  <c r="AA50" i="2"/>
  <c r="M22" i="7" s="1"/>
  <c r="AA47" i="2"/>
  <c r="M21" i="7"/>
  <c r="Y53" i="2"/>
  <c r="Y58" i="2"/>
  <c r="Z52" i="2"/>
  <c r="J37" i="1"/>
  <c r="D28" i="1"/>
  <c r="L75" i="9"/>
  <c r="AA58" i="9"/>
  <c r="AA55" i="9"/>
  <c r="L74" i="9" s="1"/>
  <c r="AB56" i="9"/>
  <c r="AB91" i="9"/>
  <c r="L113" i="9"/>
  <c r="L116" i="9" s="1"/>
  <c r="AA94" i="9"/>
  <c r="AA96" i="9" s="1"/>
  <c r="AB100" i="9"/>
  <c r="M122" i="9" s="1"/>
  <c r="L122" i="9"/>
  <c r="AA101" i="9"/>
  <c r="AB54" i="9"/>
  <c r="M70" i="9"/>
  <c r="M73" i="9" s="1"/>
  <c r="N73" i="12"/>
  <c r="H73" i="12"/>
  <c r="X19" i="19" l="1"/>
  <c r="X27" i="19" s="1"/>
  <c r="Y61" i="2"/>
  <c r="V31" i="19"/>
  <c r="M23" i="7"/>
  <c r="M24" i="7" s="1"/>
  <c r="D47" i="2"/>
  <c r="AA52" i="2"/>
  <c r="Z53" i="2"/>
  <c r="Z58" i="2"/>
  <c r="J56" i="1"/>
  <c r="J57" i="1" s="1"/>
  <c r="J61" i="1" s="1"/>
  <c r="J63" i="1" s="1"/>
  <c r="J38" i="1"/>
  <c r="J41" i="1" s="1"/>
  <c r="D30" i="1"/>
  <c r="F28" i="1"/>
  <c r="L77" i="9"/>
  <c r="AB58" i="9"/>
  <c r="M77" i="9" s="1"/>
  <c r="AB55" i="9"/>
  <c r="M74" i="9" s="1"/>
  <c r="M75" i="9"/>
  <c r="M113" i="9"/>
  <c r="M116" i="9" s="1"/>
  <c r="AB94" i="9"/>
  <c r="L118" i="9"/>
  <c r="AA95" i="9"/>
  <c r="L117" i="9" s="1"/>
  <c r="AA98" i="9"/>
  <c r="L120" i="9" s="1"/>
  <c r="O123" i="9"/>
  <c r="P123" i="9"/>
  <c r="AB101" i="9"/>
  <c r="M123" i="9" s="1"/>
  <c r="L123" i="9"/>
  <c r="Z61" i="2" l="1"/>
  <c r="W31" i="19"/>
  <c r="AA53" i="2"/>
  <c r="AA58" i="2"/>
  <c r="X31" i="19" s="1"/>
  <c r="D52" i="2"/>
  <c r="F29" i="1"/>
  <c r="F31" i="1"/>
  <c r="E32" i="1" s="1"/>
  <c r="N123" i="9"/>
  <c r="L125" i="9"/>
  <c r="D33" i="19" l="1"/>
  <c r="E23" i="7"/>
  <c r="E24" i="7" s="1"/>
  <c r="N91" i="2"/>
  <c r="AA61" i="2"/>
  <c r="D63" i="2" s="1"/>
  <c r="M26" i="7"/>
  <c r="E58" i="2"/>
  <c r="E31" i="7" l="1"/>
  <c r="H81" i="2"/>
  <c r="N81" i="2"/>
  <c r="N96" i="9" s="1"/>
  <c r="D8" i="2"/>
  <c r="E61" i="2"/>
  <c r="E26" i="7"/>
  <c r="AB96" i="9" l="1"/>
  <c r="N95" i="9"/>
  <c r="N98" i="9"/>
  <c r="AB98" i="9" s="1"/>
  <c r="M120" i="9" s="1"/>
  <c r="AB95" i="9" l="1"/>
  <c r="M117" i="9" s="1"/>
  <c r="M118" i="9"/>
  <c r="M12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Jonni Anwar</author>
  </authors>
  <commentList>
    <comment ref="D73" authorId="0" shapeId="0" xr:uid="{A4A93B3F-495B-4567-B518-AFCC47B0BF8C}">
      <text>
        <r>
          <rPr>
            <b/>
            <sz val="9"/>
            <color indexed="81"/>
            <rFont val="Tahoma"/>
            <family val="2"/>
          </rPr>
          <t>Jonni Anwar:</t>
        </r>
        <r>
          <rPr>
            <sz val="9"/>
            <color indexed="81"/>
            <rFont val="Tahoma"/>
            <family val="2"/>
          </rPr>
          <t xml:space="preserve">
Proxy 1.5% of capex annually, escalating with CPI</t>
        </r>
      </text>
    </comment>
    <comment ref="D74" authorId="0" shapeId="0" xr:uid="{755C5C07-0CC5-4445-B300-76614715BAA7}">
      <text>
        <r>
          <rPr>
            <b/>
            <sz val="9"/>
            <color indexed="81"/>
            <rFont val="Tahoma"/>
            <family val="2"/>
          </rPr>
          <t>Jonni Anwar:</t>
        </r>
        <r>
          <rPr>
            <sz val="9"/>
            <color indexed="81"/>
            <rFont val="Tahoma"/>
            <family val="2"/>
          </rPr>
          <t xml:space="preserve">
Annual interest rate of 4%; total interest is for 20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Jonni Anwar</author>
  </authors>
  <commentList>
    <comment ref="D66" authorId="0" shapeId="0" xr:uid="{C80F8254-4DFF-4297-B0CA-CAAE86296EC2}">
      <text>
        <r>
          <rPr>
            <b/>
            <sz val="9"/>
            <color indexed="81"/>
            <rFont val="Tahoma"/>
            <family val="2"/>
          </rPr>
          <t>Jonni Anwar:</t>
        </r>
        <r>
          <rPr>
            <sz val="9"/>
            <color indexed="81"/>
            <rFont val="Tahoma"/>
            <family val="2"/>
          </rPr>
          <t xml:space="preserve">
Proxy 1.5% of capex annually, escalating with CPI</t>
        </r>
      </text>
    </comment>
    <comment ref="D67" authorId="0" shapeId="0" xr:uid="{7C402BDB-91F7-4196-AFA9-59A54EE81C1E}">
      <text>
        <r>
          <rPr>
            <b/>
            <sz val="9"/>
            <color indexed="81"/>
            <rFont val="Tahoma"/>
            <family val="2"/>
          </rPr>
          <t>Jonni Anwar:</t>
        </r>
        <r>
          <rPr>
            <sz val="9"/>
            <color indexed="81"/>
            <rFont val="Tahoma"/>
            <family val="2"/>
          </rPr>
          <t xml:space="preserve">
Annual interest rate of 4%; total interest is for 20 years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Jonni Anwar</author>
  </authors>
  <commentList>
    <comment ref="D27" authorId="0" shapeId="0" xr:uid="{51C3FF48-9DC9-4590-B495-DA3157B3338C}">
      <text>
        <r>
          <rPr>
            <b/>
            <sz val="9"/>
            <color indexed="81"/>
            <rFont val="Tahoma"/>
            <family val="2"/>
          </rPr>
          <t>Jonni Anwar:</t>
        </r>
        <r>
          <rPr>
            <sz val="9"/>
            <color indexed="81"/>
            <rFont val="Tahoma"/>
            <family val="2"/>
          </rPr>
          <t xml:space="preserve">
Winter $0.70 premium to H Hub; Summer $0.20/MMBtu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Zey Tuzun</author>
  </authors>
  <commentList>
    <comment ref="D3" authorId="0" shapeId="0" xr:uid="{037B0BB2-1359-4E54-BABB-DFC0EB6D4E0F}">
      <text>
        <r>
          <rPr>
            <b/>
            <sz val="9"/>
            <color indexed="81"/>
            <rFont val="Tahoma"/>
            <family val="2"/>
          </rPr>
          <t>Zey Tuzun:</t>
        </r>
        <r>
          <rPr>
            <sz val="9"/>
            <color indexed="81"/>
            <rFont val="Tahoma"/>
            <family val="2"/>
          </rPr>
          <t xml:space="preserve">
Stratas Pessimistic (as of 2/20/24 from Ares)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F5D051-A7D2-4512-B793-CEB723F1C0B8}" keepAlive="1" name="Query - Annual" description="Connection to the 'Annual' query in the workbook." type="5" refreshedVersion="0" background="1">
    <dbPr connection="Provider=Microsoft.Mashup.OleDb.1;Data Source=$Workbook$;Location=Annual;Extended Properties=&quot;&quot;" command="SELECT * FROM [Annual]"/>
  </connection>
  <connection id="2" xr16:uid="{4E82F572-53CC-4668-8E20-0E75549B8A4B}" keepAlive="1" name="Query - HenryHub" description="Connection to the 'HenryHub' query in the workbook." type="5" refreshedVersion="8" background="1" saveData="1">
    <dbPr connection="Provider=Microsoft.Mashup.OleDb.1;Data Source=$Workbook$;Location=HenryHub;Extended Properties=&quot;&quot;" command="SELECT * FROM [HenryHub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<sst xmlns="http://schemas.openxmlformats.org/spreadsheetml/2006/main" count="846" uniqueCount="282">
  <si>
    <t>Proposal over Proposal Changes</t>
  </si>
  <si>
    <t xml:space="preserve"> </t>
  </si>
  <si>
    <t>70/90 Tiered
1250/$2.82 BID 11.21</t>
  </si>
  <si>
    <t>[Open]</t>
  </si>
  <si>
    <t>Scenario Selection --&gt;</t>
  </si>
  <si>
    <t>CPI Escalator</t>
  </si>
  <si>
    <t>Year 1 Biogas</t>
  </si>
  <si>
    <t>scfm</t>
  </si>
  <si>
    <t>Annual CAGR</t>
  </si>
  <si>
    <t>Year 20 (result)</t>
  </si>
  <si>
    <t>Uptime</t>
  </si>
  <si>
    <t>Capture</t>
  </si>
  <si>
    <t>Btu/scf</t>
  </si>
  <si>
    <t>Use Ares Curve?</t>
  </si>
  <si>
    <t>D3 RIN</t>
  </si>
  <si>
    <t>$/RIN</t>
  </si>
  <si>
    <t>RIN price escalator</t>
  </si>
  <si>
    <t>Brokerage</t>
  </si>
  <si>
    <t>Used Gas Curve?</t>
  </si>
  <si>
    <t>Nat. Gas Year 1 Price</t>
  </si>
  <si>
    <t>$/MMBtu</t>
  </si>
  <si>
    <t>Nat. Gas Price escalator</t>
  </si>
  <si>
    <t>Wheel/hub cost</t>
  </si>
  <si>
    <t>Min. Royalty</t>
  </si>
  <si>
    <t>$K</t>
  </si>
  <si>
    <t>Base Royalty %</t>
  </si>
  <si>
    <t>Bonus Royalty %</t>
  </si>
  <si>
    <t>Tier 2 RIN Trigger</t>
  </si>
  <si>
    <t>Tier 2 SCFM Trigger</t>
  </si>
  <si>
    <t>Capital Cost Allowance</t>
  </si>
  <si>
    <t>Capital Cost Financing Fee</t>
  </si>
  <si>
    <t>Opex and Maintenance Allowance</t>
  </si>
  <si>
    <t>NTP Date</t>
  </si>
  <si>
    <t>COD Date</t>
  </si>
  <si>
    <t>Mid-construct</t>
  </si>
  <si>
    <t>RIN/MMBtu</t>
  </si>
  <si>
    <t>Nashville, $MM except noted</t>
  </si>
  <si>
    <t>TOTAL</t>
  </si>
  <si>
    <t>Biogas Production</t>
  </si>
  <si>
    <t>RNG Production</t>
  </si>
  <si>
    <t>K MMBtu</t>
  </si>
  <si>
    <t>RIN EAs Value</t>
  </si>
  <si>
    <t>(-) RIN Brokerage</t>
  </si>
  <si>
    <t>(+) Nat. Gas Sales</t>
  </si>
  <si>
    <t>Total Offtake Revenue</t>
  </si>
  <si>
    <t>$MM</t>
  </si>
  <si>
    <t>Utilities</t>
  </si>
  <si>
    <t>(+) Consumables / R&amp;M</t>
  </si>
  <si>
    <t>(+) Asset Management</t>
  </si>
  <si>
    <t>(+) Fixed Expenses</t>
  </si>
  <si>
    <t>Total Operating Expenses</t>
  </si>
  <si>
    <t>Royalty Calculation</t>
  </si>
  <si>
    <t>MWS Share</t>
  </si>
  <si>
    <t>Base</t>
  </si>
  <si>
    <t>Bonus</t>
  </si>
  <si>
    <t>Total Royalty to MWS</t>
  </si>
  <si>
    <t>EBITDA</t>
  </si>
  <si>
    <t>Capex</t>
  </si>
  <si>
    <t>ITC Proceeds</t>
  </si>
  <si>
    <t>Mtce Capex</t>
  </si>
  <si>
    <t>IRR</t>
  </si>
  <si>
    <t>Build Multiple, net of ITC</t>
  </si>
  <si>
    <t>Case</t>
  </si>
  <si>
    <t>$ in '000, except noted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</si>
  <si>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</si>
  <si>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</si>
  <si>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</si>
  <si>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</si>
  <si>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</si>
  <si>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</si>
  <si>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</si>
  <si>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</si>
  <si>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</si>
  <si>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</si>
  <si>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</si>
  <si>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</si>
  <si>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</si>
  <si>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</si>
  <si>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</si>
  <si>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</si>
  <si>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</si>
  <si>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</si>
  <si>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</si>
  <si>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</si>
  <si>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</si>
  <si>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Biogas</t>
  </si>
  <si>
    <t>scf/d</t>
  </si>
  <si>
    <t>Theor. RNG</t>
  </si>
  <si>
    <t>MMBtu/d</t>
  </si>
  <si>
    <t xml:space="preserve">MMBtu </t>
  </si>
  <si>
    <t>mult.--&gt;</t>
  </si>
  <si>
    <t>Net RNG Production</t>
  </si>
  <si>
    <t>Ares Curve D3 RIN</t>
  </si>
  <si>
    <t>adder--&gt;</t>
  </si>
  <si>
    <t>Nat. Gas Curve</t>
  </si>
  <si>
    <t>Nat. Gas</t>
  </si>
  <si>
    <t>(-) Wheel/hub cost</t>
  </si>
  <si>
    <t>Offtake Revenue</t>
  </si>
  <si>
    <t>RIN Value</t>
  </si>
  <si>
    <t>(+) Nat Gas Value</t>
  </si>
  <si>
    <t>Net Offtake Revenue</t>
  </si>
  <si>
    <t>Operating Expenses</t>
  </si>
  <si>
    <t>Offtake Revenue, net of brokerage</t>
  </si>
  <si>
    <t>(-) Capex Allowance</t>
  </si>
  <si>
    <t>(-) Capital Cost Financing Fee</t>
  </si>
  <si>
    <t>(-) Opex and Maintenance Allowance</t>
  </si>
  <si>
    <t>Net Avail. For Royalty</t>
  </si>
  <si>
    <t>(x) % Base Royalty</t>
  </si>
  <si>
    <t>Minimum or Base Royalty Amount</t>
  </si>
  <si>
    <t>Eligible for Bonus Royalty</t>
  </si>
  <si>
    <t>Bonus Royalty</t>
  </si>
  <si>
    <t>Total Royalty</t>
  </si>
  <si>
    <t>Effective Royalty %</t>
  </si>
  <si>
    <t>IRR Calc Below:</t>
  </si>
  <si>
    <t>Cash Flow</t>
  </si>
  <si>
    <t>mult.</t>
  </si>
  <si>
    <t>(+) EBITDA</t>
  </si>
  <si>
    <t>(-) Mtce Capex</t>
  </si>
  <si>
    <t>(+) ITC</t>
  </si>
  <si>
    <t>City Self-Perform Worksheet Below:</t>
  </si>
  <si>
    <t>City's Self-perform Economics</t>
  </si>
  <si>
    <t>(=) EBITDA</t>
  </si>
  <si>
    <t>(-) Capex</t>
  </si>
  <si>
    <t>(-) Interest</t>
  </si>
  <si>
    <t>Total Evaluative Contract Value to Metro Water Services</t>
  </si>
  <si>
    <t>Sensitivities Below:</t>
  </si>
  <si>
    <t>Capex ($MM)</t>
  </si>
  <si>
    <t>20-yr RNG Prod'n, K MMBtu</t>
  </si>
  <si>
    <t>Bonus?</t>
  </si>
  <si>
    <t>Biogas, scfm</t>
  </si>
  <si>
    <t>RNG Production, MMBtu</t>
  </si>
  <si>
    <t>x</t>
  </si>
  <si>
    <t>Gross Offtake Revenue</t>
  </si>
  <si>
    <t>Allowances TOTAL</t>
  </si>
  <si>
    <t>Base Royalty</t>
  </si>
  <si>
    <t>TOTAL Opex</t>
  </si>
  <si>
    <t>ITC</t>
  </si>
  <si>
    <t>MTC Capex</t>
  </si>
  <si>
    <t>UL Cash Flow</t>
  </si>
  <si>
    <t>UL IRR</t>
  </si>
  <si>
    <t>(x) % Royalty</t>
  </si>
  <si>
    <t>Royalty Amount (a)</t>
  </si>
  <si>
    <t>Generic</t>
  </si>
  <si>
    <t>Case 1</t>
  </si>
  <si>
    <t>Case 4</t>
  </si>
  <si>
    <t>From</t>
  </si>
  <si>
    <t>To</t>
  </si>
  <si>
    <t>City %</t>
  </si>
  <si>
    <t>Burnham %</t>
  </si>
  <si>
    <t>RIN Price</t>
  </si>
  <si>
    <t>90% MWS Share</t>
  </si>
  <si>
    <t>RIN EA</t>
  </si>
  <si>
    <t>70% MWS Share</t>
  </si>
  <si>
    <t>Nat Gas</t>
  </si>
  <si>
    <t>Fixed Royalty to MWS</t>
  </si>
  <si>
    <t>Burnham Allow. (Capex and OMM)</t>
  </si>
  <si>
    <t>Annual Revenue Sharing ($K)</t>
  </si>
  <si>
    <t>20-Yr RNG Production, K MMBtu</t>
  </si>
  <si>
    <t>Annual RNG Production, K MMBtu</t>
  </si>
  <si>
    <t>EA, $/RIN</t>
  </si>
  <si>
    <t>Royalty Calculation ($ in '000)</t>
  </si>
  <si>
    <t>RNG Production, K MMBtu</t>
  </si>
  <si>
    <t>D3 RIN Price, $/RIN</t>
  </si>
  <si>
    <t>EA RIN Sale</t>
  </si>
  <si>
    <t>(-) RIN Managament</t>
  </si>
  <si>
    <t>(+) Nat. Gas Sale</t>
  </si>
  <si>
    <t>Amount Avail. For Royalty</t>
  </si>
  <si>
    <t>% Royalty</t>
  </si>
  <si>
    <t>MWS Royalty (subject to Fixed Royalty)</t>
  </si>
  <si>
    <t>Fixed Royalty</t>
  </si>
  <si>
    <t>Variable Royalty</t>
  </si>
  <si>
    <r>
      <t xml:space="preserve">MWS Royalty </t>
    </r>
    <r>
      <rPr>
        <sz val="9"/>
        <color theme="1"/>
        <rFont val="Aptos Narrow"/>
        <family val="2"/>
      </rPr>
      <t>(subject to Fixed Royalty)</t>
    </r>
  </si>
  <si>
    <t>Net Offtake Revenue (&lt; $14MM)</t>
  </si>
  <si>
    <t>MWS Royalty - 70% Split</t>
  </si>
  <si>
    <t>Net Offtake Revenue (&gt;$14MM)</t>
  </si>
  <si>
    <t>MWS Royalty - 90% Split</t>
  </si>
  <si>
    <t xml:space="preserve">(1) Net Offtake Revenue (&lt; $14MM) </t>
  </si>
  <si>
    <t>(2) Net Offtake Revenue above $14MM</t>
  </si>
  <si>
    <t>Total MWS Royalty</t>
  </si>
  <si>
    <t>Revised Bid Form - NOT OUR PROPOSAL</t>
  </si>
  <si>
    <t>Original Bid Form</t>
  </si>
  <si>
    <t>Company Name:</t>
  </si>
  <si>
    <t>Burnham RNG, LLC</t>
  </si>
  <si>
    <t>Line Item Number</t>
  </si>
  <si>
    <t>Description</t>
  </si>
  <si>
    <t>Unit</t>
  </si>
  <si>
    <t xml:space="preserve">Extended amount </t>
  </si>
  <si>
    <t>20- year Evaluative Value of the sale of RNG and EAs</t>
  </si>
  <si>
    <t>$</t>
  </si>
  <si>
    <t>%</t>
  </si>
  <si>
    <t>20-year Allowance for Operations and Maintenance</t>
  </si>
  <si>
    <t>20-year Allowance for RIN Management</t>
  </si>
  <si>
    <t>20 year Evaluative Net Proceeds</t>
  </si>
  <si>
    <t>Percentage of Net Proceeds offered for Royalty Payments</t>
  </si>
  <si>
    <t>20-year value of Fixed Royalty Payments</t>
  </si>
  <si>
    <t>20-year value of Variable Royalty Payment (cannot be less than zero).</t>
  </si>
  <si>
    <t>This form is for evaluation of proposals.  Actual Variable Royalty Payment will be determined using actual Capital Cost, Actual O&amp;M Cost, actual Third Party Fees, and actual value of sales of RNG and Environment Attributes.</t>
  </si>
  <si>
    <t xml:space="preserve">Basis for 20 year evaluative value.  These amounts are for evaluative purposes only and are not guaranteed by MWS nor Burnham RNG, LLC.
6,605,287 DTH of Biogas. 850 cfm year 0 increasing 2.5%/year upto 1,500 cfm year 20
600 BTU/CF Biogas
90% uptime of RNG Facility
97% capture of Methane by RNG Facility
$2.39/rin year 0 and escalated 1% per year
$3.20/DTH less $1.00/DTH wheel tax year 0.  Methane value escalated at 3%/year.
</t>
  </si>
  <si>
    <t>RIN Brokerage</t>
  </si>
  <si>
    <t>20-year value of Variable Royalty Payment ( &gt; 0 )</t>
  </si>
  <si>
    <t>20- year Evaluative Value RNG and EAs after brokerage</t>
  </si>
  <si>
    <t>(-) Previous Evaluative Value of RNG and EAs</t>
  </si>
  <si>
    <t>Incremental Offtake Value</t>
  </si>
  <si>
    <t>Previous Sharing Pct</t>
  </si>
  <si>
    <t>Incremental Royalty Expected</t>
  </si>
  <si>
    <t>(+) Previous Total Evaluative Contract Value to MWS</t>
  </si>
  <si>
    <t>Updated Total Evaluative Contract Value to MWS</t>
  </si>
  <si>
    <t>Updated</t>
  </si>
  <si>
    <t>Period</t>
  </si>
  <si>
    <t>Price</t>
  </si>
  <si>
    <t>Year</t>
  </si>
  <si>
    <t>Real time data retrieval (right click the table and click 'Refresh')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</si>
  <si>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</si>
  <si>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</si>
  <si>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</si>
  <si>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</si>
  <si>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</si>
  <si>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</si>
  <si>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</si>
  <si>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</si>
  <si>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</si>
  <si>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</si>
  <si>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Jan '27</t>
  </si>
  <si>
    <t>Feb '27</t>
  </si>
  <si>
    <t>Mar '27</t>
  </si>
  <si>
    <t>Apr '27</t>
  </si>
  <si>
    <t>&amp;QNG&amp;C27</t>
  </si>
  <si>
    <t>&amp;QNG&amp;C28</t>
  </si>
  <si>
    <t>&amp;QNG&amp;C29</t>
  </si>
  <si>
    <t>Source:</t>
  </si>
  <si>
    <t>https://pricing.ems.schneider-electric.com/cme/ngco/default.aspx</t>
  </si>
  <si>
    <t>NYMEX (HHub)</t>
  </si>
  <si>
    <t>Basis</t>
  </si>
  <si>
    <t>Tenn City Gate</t>
  </si>
  <si>
    <t>Sagepoint D3 RIN Price Case</t>
  </si>
  <si>
    <t>Ares</t>
  </si>
  <si>
    <t>Historical</t>
  </si>
  <si>
    <t>Dynamic</t>
  </si>
  <si>
    <t>Row Labels</t>
  </si>
  <si>
    <t>Average of RIN Price</t>
  </si>
  <si>
    <t>Grand Total</t>
  </si>
  <si>
    <t>Label</t>
  </si>
  <si>
    <t>D3 RIN Price Optimistic</t>
  </si>
  <si>
    <t>D3 RIN Price Pessimistic</t>
  </si>
  <si>
    <t>D3 RIN Price Base Case</t>
  </si>
  <si>
    <t>&lt;-- CAGR (2025 - 2035)</t>
  </si>
  <si>
    <t>RIN Prices</t>
  </si>
  <si>
    <t>RIN Prices, $/MMBtu</t>
  </si>
  <si>
    <t>(-) Brokerage</t>
  </si>
  <si>
    <t>Gross Offtake</t>
  </si>
  <si>
    <t>MWS Total Evaluative Contract Value ($MM) - 70% Royalty</t>
  </si>
  <si>
    <t>20-yr TOTAL RNG Production</t>
  </si>
  <si>
    <t>Avg. D3 RIN, $/RIN</t>
  </si>
  <si>
    <t>$ in millions</t>
  </si>
  <si>
    <t>(-) 20-year Allowance for RIN Management</t>
  </si>
  <si>
    <t>Net Offtake Revenue (1) + (2)</t>
  </si>
  <si>
    <t>Royalty Under 70% Royalty (1)</t>
  </si>
  <si>
    <t>(-) Capital Cost Allowance</t>
  </si>
  <si>
    <t>(-) Allowance for Operations and Maintenance</t>
  </si>
  <si>
    <t>Available Royalty - 70% Sharing</t>
  </si>
  <si>
    <t>Royalty Payment (70%)</t>
  </si>
  <si>
    <t>MWS Total Royalty ($MM) - 70% (up to $270MM) and 90% (above $270MM Net Offtake Revenue)</t>
  </si>
  <si>
    <t>Royalty Under 90% Royalty (2)</t>
  </si>
  <si>
    <t>Royalty Payment (90%)</t>
  </si>
  <si>
    <t>TOTAL ROYALTY to MWS</t>
  </si>
  <si>
    <t>TOTAL ROYALTY to MWS w/o 90% Tier</t>
  </si>
  <si>
    <t>Benefit of 90% Split</t>
  </si>
  <si>
    <t>% Benefit</t>
  </si>
  <si>
    <t>Net Revenue</t>
  </si>
  <si>
    <t>Net Proceeds Available</t>
  </si>
  <si>
    <t>MWS 70% Share</t>
  </si>
  <si>
    <t>MWS 90% Share</t>
  </si>
  <si>
    <t>BRNG Share</t>
  </si>
  <si>
    <t>Offtake Revenue excl. brokerage</t>
  </si>
  <si>
    <t>Brokerage (20%)</t>
  </si>
  <si>
    <t>Offtake Rev., net of brokerage</t>
  </si>
  <si>
    <t>Allowance for OMM</t>
  </si>
  <si>
    <t>Avail. For Royalty</t>
  </si>
  <si>
    <t>MWS Fixed Royalty</t>
  </si>
  <si>
    <t>Tier 1 Split 70% to MWS</t>
  </si>
  <si>
    <t>Tier 2 Split 90% to MWS</t>
  </si>
  <si>
    <t>Burnham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</si>
</sst>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&quot;$&quot;#,##0.0_);[Red]\(&quot;$&quot;#,##0.0\)"/>
    <numFmt numFmtId="168" formatCode="m/d/yy;@"/>
    <numFmt numFmtId="169" formatCode="&quot;Yes&quot;;;&quot;No&quot;"/>
    <numFmt numFmtId="170" formatCode="#,##0.0\x"/>
    <numFmt numFmtId="171" formatCode="#,##0.0_);\(#,##0.0\)"/>
    <numFmt numFmtId="172" formatCode="_(&quot;$&quot;* #,##0_);_(&quot;$&quot;* \(#,##0\);_(&quot;$&quot;* &quot;-&quot;??_);_(@_)"/>
    <numFmt numFmtId="173" formatCode="#,##0.00000000_);\(#,##0.00000000\)"/>
    <numFmt numFmtId="174" formatCode="&quot;$&quot;#,##0.000_);[Red]\(&quot;$&quot;#,##0.000\)"/>
    <numFmt numFmtId="175" formatCode="_(* #,##0.0_);_(* \(#,##0.0\);_(* &quot;-&quot;?_);_(@_)"/>
    <numFmt numFmtId="176" formatCode="0.0"/>
    <numFmt numFmtId="177" formatCode="#,##0.0%_);\(#,##0.0%\)"/>
    <numFmt numFmtId="178" formatCode="&quot;$&quot;#,##0.0_);\(&quot;$&quot;#,##0.0\)"/>
    <numFmt numFmtId="179" formatCode="yyyy"/>
    <numFmt numFmtId="180" formatCode="\$0.#0"/>
  </numFmts>
  <fonts count="5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Aptos Narrow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i/>
      <sz val="10"/>
      <color theme="1"/>
      <name val="Aptos Narrow"/>
      <family val="2"/>
    </font>
    <font>
      <sz val="11"/>
      <color rgb="FF00B050"/>
      <name val="Aptos Narrow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sz val="8"/>
      <color rgb="FF0000FF"/>
      <name val="Arial"/>
      <family val="2"/>
    </font>
    <font>
      <sz val="10"/>
      <color theme="0"/>
      <name val="Calibri"/>
      <family val="2"/>
      <scheme val="minor"/>
    </font>
    <font>
      <sz val="8"/>
      <color rgb="FF0000FF"/>
      <name val="Arial"/>
      <family val="2"/>
    </font>
    <font>
      <sz val="8"/>
      <color theme="0" tint="-0.499984740745262"/>
      <name val="Arial"/>
      <family val="2"/>
    </font>
    <font>
      <i/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FF"/>
      <name val="Aptos Narrow"/>
      <family val="2"/>
    </font>
    <font>
      <b/>
      <i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rgb="FFC00000"/>
      <name val="Aptos Narrow"/>
      <family val="2"/>
    </font>
    <font>
      <sz val="9"/>
      <color theme="0" tint="-0.249977111117893"/>
      <name val="Aptos Narrow"/>
      <family val="2"/>
    </font>
    <font>
      <sz val="10"/>
      <color theme="8" tint="-0.249977111117893"/>
      <name val="Calibri"/>
      <family val="2"/>
      <scheme val="minor"/>
    </font>
    <font>
      <i/>
      <sz val="11"/>
      <color rgb="FF00B050"/>
      <name val="Aptos Narrow"/>
      <family val="2"/>
    </font>
    <font>
      <i/>
      <sz val="11"/>
      <color rgb="FF0000FF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sz val="11"/>
      <color theme="0"/>
      <name val="Aptos Narrow"/>
      <family val="2"/>
    </font>
    <font>
      <i/>
      <sz val="11"/>
      <color theme="0"/>
      <name val="Aptos Narrow"/>
      <family val="2"/>
    </font>
    <font>
      <sz val="11"/>
      <color theme="1" tint="0.34998626667073579"/>
      <name val="Aptos Narrow"/>
      <family val="2"/>
    </font>
    <font>
      <b/>
      <u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sz val="14"/>
      <color theme="0"/>
      <name val="Aptos Narrow"/>
      <family val="2"/>
    </font>
    <font>
      <b/>
      <sz val="18"/>
      <color theme="1"/>
      <name val="Aptos Narrow"/>
      <family val="2"/>
    </font>
    <font>
      <i/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Aptos Narrow"/>
      <family val="2"/>
    </font>
    <font>
      <sz val="10"/>
      <color rgb="FF0000FF"/>
      <name val="Calibri"/>
      <family val="2"/>
      <scheme val="minor"/>
    </font>
    <font>
      <b/>
      <sz val="8"/>
      <color theme="1"/>
      <name val="Verdana"/>
      <family val="2"/>
    </font>
    <font>
      <sz val="11"/>
      <color rgb="FF0000FF"/>
      <name val="Calibri"/>
      <family val="2"/>
      <scheme val="minor"/>
    </font>
    <font>
      <b/>
      <sz val="11"/>
      <color theme="0"/>
      <name val="Aptos Narrow"/>
      <family val="2"/>
    </font>
    <font>
      <sz val="9"/>
      <color theme="1"/>
      <name val="Aptos Narrow"/>
      <family val="2"/>
    </font>
    <font>
      <i/>
      <u/>
      <sz val="11"/>
      <color theme="1"/>
      <name val="Aptos Narrow"/>
      <family val="2"/>
    </font>
    <font>
      <sz val="11"/>
      <name val="Aptos Narrow"/>
      <family val="2"/>
    </font>
    <font>
      <sz val="11"/>
      <color rgb="FF00B05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0"/>
      <name val="Calibri"/>
      <family val="2"/>
      <scheme val="minor"/>
    </font>
    <font>
      <sz val="11"/>
      <color rgb="FF008000"/>
      <name val="Aptos Narrow"/>
      <family val="2"/>
    </font>
    <font>
      <i/>
      <sz val="10"/>
      <color rgb="FF0000FF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6374D"/>
        <bgColor indexed="64"/>
      </patternFill>
    </fill>
    <fill>
      <patternFill patternType="solid">
        <fgColor theme="3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indexed="64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412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/>
    <xf numFmtId="0" fontId="6" fillId="0" borderId="8" xfId="0" applyFont="1" applyBorder="1" applyAlignment="1">
      <alignment horizontal="center"/>
    </xf>
    <xf numFmtId="165" fontId="3" fillId="0" borderId="8" xfId="0" applyNumberFormat="1" applyFont="1" applyBorder="1"/>
    <xf numFmtId="165" fontId="5" fillId="0" borderId="8" xfId="0" applyNumberFormat="1" applyFont="1" applyBorder="1"/>
    <xf numFmtId="165" fontId="5" fillId="0" borderId="0" xfId="0" applyNumberFormat="1" applyFont="1"/>
    <xf numFmtId="0" fontId="6" fillId="0" borderId="0" xfId="0" applyFont="1"/>
    <xf numFmtId="165" fontId="5" fillId="0" borderId="0" xfId="3" applyNumberFormat="1" applyFont="1"/>
    <xf numFmtId="9" fontId="5" fillId="0" borderId="0" xfId="0" applyNumberFormat="1" applyFont="1"/>
    <xf numFmtId="8" fontId="3" fillId="0" borderId="0" xfId="0" applyNumberFormat="1" applyFont="1"/>
    <xf numFmtId="8" fontId="5" fillId="0" borderId="0" xfId="3" applyNumberFormat="1" applyFont="1"/>
    <xf numFmtId="8" fontId="5" fillId="0" borderId="0" xfId="0" applyNumberFormat="1" applyFont="1"/>
    <xf numFmtId="39" fontId="5" fillId="0" borderId="0" xfId="0" applyNumberFormat="1" applyFont="1"/>
    <xf numFmtId="43" fontId="5" fillId="0" borderId="0" xfId="3" applyFont="1"/>
    <xf numFmtId="10" fontId="5" fillId="0" borderId="0" xfId="0" applyNumberFormat="1" applyFont="1"/>
    <xf numFmtId="6" fontId="5" fillId="0" borderId="0" xfId="0" applyNumberFormat="1" applyFont="1"/>
    <xf numFmtId="6" fontId="5" fillId="0" borderId="8" xfId="0" applyNumberFormat="1" applyFont="1" applyBorder="1"/>
    <xf numFmtId="165" fontId="5" fillId="0" borderId="0" xfId="3" applyNumberFormat="1" applyFont="1" applyBorder="1"/>
    <xf numFmtId="6" fontId="5" fillId="0" borderId="0" xfId="3" applyNumberFormat="1" applyFont="1" applyBorder="1"/>
    <xf numFmtId="6" fontId="7" fillId="0" borderId="8" xfId="0" applyNumberFormat="1" applyFont="1" applyBorder="1"/>
    <xf numFmtId="0" fontId="7" fillId="0" borderId="8" xfId="0" applyFont="1" applyBorder="1"/>
    <xf numFmtId="0" fontId="7" fillId="0" borderId="0" xfId="0" applyFont="1"/>
    <xf numFmtId="0" fontId="8" fillId="0" borderId="0" xfId="0" applyFont="1"/>
    <xf numFmtId="6" fontId="5" fillId="0" borderId="8" xfId="3" applyNumberFormat="1" applyFont="1" applyBorder="1"/>
    <xf numFmtId="168" fontId="9" fillId="0" borderId="0" xfId="0" applyNumberFormat="1" applyFont="1" applyAlignment="1">
      <alignment horizontal="center"/>
    </xf>
    <xf numFmtId="38" fontId="5" fillId="0" borderId="0" xfId="3" applyNumberFormat="1" applyFont="1" applyBorder="1"/>
    <xf numFmtId="167" fontId="5" fillId="0" borderId="0" xfId="0" applyNumberFormat="1" applyFont="1"/>
    <xf numFmtId="6" fontId="3" fillId="0" borderId="0" xfId="0" applyNumberFormat="1" applyFont="1"/>
    <xf numFmtId="38" fontId="5" fillId="0" borderId="0" xfId="0" applyNumberFormat="1" applyFont="1"/>
    <xf numFmtId="37" fontId="5" fillId="0" borderId="0" xfId="0" applyNumberFormat="1" applyFont="1"/>
    <xf numFmtId="37" fontId="5" fillId="0" borderId="8" xfId="0" applyNumberFormat="1" applyFont="1" applyBorder="1"/>
    <xf numFmtId="37" fontId="7" fillId="0" borderId="8" xfId="0" applyNumberFormat="1" applyFont="1" applyBorder="1"/>
    <xf numFmtId="168" fontId="3" fillId="0" borderId="0" xfId="0" applyNumberFormat="1" applyFont="1"/>
    <xf numFmtId="39" fontId="9" fillId="0" borderId="0" xfId="3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9" fontId="3" fillId="0" borderId="0" xfId="0" applyNumberFormat="1" applyFont="1"/>
    <xf numFmtId="0" fontId="7" fillId="3" borderId="0" xfId="0" applyFont="1" applyFill="1"/>
    <xf numFmtId="166" fontId="7" fillId="3" borderId="0" xfId="0" applyNumberFormat="1" applyFont="1" applyFill="1"/>
    <xf numFmtId="6" fontId="7" fillId="0" borderId="0" xfId="0" applyNumberFormat="1" applyFont="1"/>
    <xf numFmtId="0" fontId="5" fillId="0" borderId="0" xfId="0" applyFont="1" applyAlignment="1">
      <alignment horizontal="left" indent="1"/>
    </xf>
    <xf numFmtId="9" fontId="5" fillId="0" borderId="0" xfId="3" applyNumberFormat="1" applyFont="1"/>
    <xf numFmtId="0" fontId="5" fillId="4" borderId="8" xfId="0" applyFont="1" applyFill="1" applyBorder="1"/>
    <xf numFmtId="0" fontId="6" fillId="4" borderId="8" xfId="0" applyFont="1" applyFill="1" applyBorder="1" applyAlignment="1">
      <alignment horizontal="center"/>
    </xf>
    <xf numFmtId="6" fontId="5" fillId="4" borderId="8" xfId="0" applyNumberFormat="1" applyFont="1" applyFill="1" applyBorder="1"/>
    <xf numFmtId="0" fontId="5" fillId="4" borderId="0" xfId="0" applyFont="1" applyFill="1"/>
    <xf numFmtId="0" fontId="6" fillId="4" borderId="0" xfId="0" applyFont="1" applyFill="1" applyAlignment="1">
      <alignment horizontal="center"/>
    </xf>
    <xf numFmtId="37" fontId="5" fillId="4" borderId="0" xfId="0" applyNumberFormat="1" applyFont="1" applyFill="1"/>
    <xf numFmtId="0" fontId="7" fillId="4" borderId="8" xfId="0" applyFont="1" applyFill="1" applyBorder="1"/>
    <xf numFmtId="0" fontId="8" fillId="4" borderId="8" xfId="0" applyFont="1" applyFill="1" applyBorder="1" applyAlignment="1">
      <alignment horizontal="center"/>
    </xf>
    <xf numFmtId="6" fontId="7" fillId="4" borderId="8" xfId="0" applyNumberFormat="1" applyFont="1" applyFill="1" applyBorder="1"/>
    <xf numFmtId="167" fontId="3" fillId="4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37" fontId="5" fillId="0" borderId="0" xfId="3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8" fontId="5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5" fontId="10" fillId="0" borderId="0" xfId="3" applyNumberFormat="1" applyFont="1"/>
    <xf numFmtId="8" fontId="10" fillId="0" borderId="0" xfId="0" applyNumberFormat="1" applyFont="1"/>
    <xf numFmtId="166" fontId="10" fillId="0" borderId="0" xfId="0" applyNumberFormat="1" applyFont="1"/>
    <xf numFmtId="8" fontId="3" fillId="0" borderId="0" xfId="0" applyNumberFormat="1" applyFont="1" applyAlignment="1">
      <alignment horizontal="center"/>
    </xf>
    <xf numFmtId="0" fontId="11" fillId="0" borderId="0" xfId="4" applyFont="1" applyAlignment="1">
      <alignment vertical="center"/>
    </xf>
    <xf numFmtId="0" fontId="12" fillId="5" borderId="6" xfId="4" applyFont="1" applyFill="1" applyBorder="1" applyAlignment="1">
      <alignment horizontal="centerContinuous" vertical="center"/>
    </xf>
    <xf numFmtId="0" fontId="13" fillId="0" borderId="0" xfId="0" applyFont="1"/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14" fontId="16" fillId="0" borderId="0" xfId="4" applyNumberFormat="1" applyFont="1" applyAlignment="1">
      <alignment horizontal="right" vertical="center"/>
    </xf>
    <xf numFmtId="0" fontId="17" fillId="0" borderId="0" xfId="4" applyFont="1" applyAlignment="1">
      <alignment vertical="center"/>
    </xf>
    <xf numFmtId="39" fontId="16" fillId="0" borderId="4" xfId="4" applyNumberFormat="1" applyFont="1" applyBorder="1" applyAlignment="1">
      <alignment horizontal="center" vertical="center"/>
    </xf>
    <xf numFmtId="0" fontId="18" fillId="0" borderId="0" xfId="0" applyFont="1"/>
    <xf numFmtId="8" fontId="13" fillId="0" borderId="0" xfId="0" applyNumberFormat="1" applyFont="1"/>
    <xf numFmtId="14" fontId="11" fillId="0" borderId="0" xfId="4" applyNumberFormat="1" applyFont="1" applyAlignment="1">
      <alignment horizontal="right" vertical="center"/>
    </xf>
    <xf numFmtId="39" fontId="16" fillId="0" borderId="10" xfId="4" applyNumberFormat="1" applyFont="1" applyBorder="1" applyAlignment="1">
      <alignment horizontal="center" vertical="center"/>
    </xf>
    <xf numFmtId="39" fontId="16" fillId="6" borderId="10" xfId="4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8" fontId="5" fillId="0" borderId="1" xfId="0" applyNumberFormat="1" applyFont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/>
    <xf numFmtId="0" fontId="5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169" fontId="5" fillId="0" borderId="0" xfId="0" applyNumberFormat="1" applyFont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165" fontId="5" fillId="0" borderId="8" xfId="3" applyNumberFormat="1" applyFont="1" applyBorder="1"/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6" fontId="24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25" fillId="0" borderId="0" xfId="0" applyFont="1"/>
    <xf numFmtId="6" fontId="5" fillId="0" borderId="0" xfId="0" applyNumberFormat="1" applyFont="1" applyAlignment="1">
      <alignment horizontal="center"/>
    </xf>
    <xf numFmtId="8" fontId="28" fillId="0" borderId="0" xfId="0" applyNumberFormat="1" applyFont="1"/>
    <xf numFmtId="9" fontId="6" fillId="0" borderId="0" xfId="0" applyNumberFormat="1" applyFont="1" applyAlignment="1">
      <alignment horizontal="center"/>
    </xf>
    <xf numFmtId="37" fontId="3" fillId="4" borderId="0" xfId="0" applyNumberFormat="1" applyFont="1" applyFill="1"/>
    <xf numFmtId="8" fontId="6" fillId="0" borderId="0" xfId="0" applyNumberFormat="1" applyFont="1"/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7" fillId="0" borderId="8" xfId="0" applyFont="1" applyBorder="1" applyAlignment="1">
      <alignment horizontal="right"/>
    </xf>
    <xf numFmtId="37" fontId="3" fillId="0" borderId="0" xfId="3" applyNumberFormat="1" applyFont="1" applyAlignment="1">
      <alignment horizontal="center"/>
    </xf>
    <xf numFmtId="9" fontId="30" fillId="0" borderId="0" xfId="0" applyNumberFormat="1" applyFont="1"/>
    <xf numFmtId="0" fontId="8" fillId="0" borderId="0" xfId="0" applyFont="1" applyAlignment="1">
      <alignment horizontal="center"/>
    </xf>
    <xf numFmtId="6" fontId="6" fillId="0" borderId="0" xfId="0" applyNumberFormat="1" applyFont="1" applyAlignment="1">
      <alignment horizontal="center"/>
    </xf>
    <xf numFmtId="165" fontId="7" fillId="0" borderId="0" xfId="0" applyNumberFormat="1" applyFont="1"/>
    <xf numFmtId="43" fontId="5" fillId="0" borderId="0" xfId="0" applyNumberFormat="1" applyFont="1"/>
    <xf numFmtId="164" fontId="5" fillId="0" borderId="0" xfId="3" applyNumberFormat="1" applyFont="1"/>
    <xf numFmtId="164" fontId="7" fillId="0" borderId="8" xfId="0" applyNumberFormat="1" applyFont="1" applyBorder="1"/>
    <xf numFmtId="164" fontId="7" fillId="0" borderId="0" xfId="0" applyNumberFormat="1" applyFont="1"/>
    <xf numFmtId="37" fontId="7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37" fontId="7" fillId="0" borderId="8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left" indent="1"/>
    </xf>
    <xf numFmtId="164" fontId="5" fillId="0" borderId="8" xfId="3" applyNumberFormat="1" applyFont="1" applyBorder="1"/>
    <xf numFmtId="0" fontId="31" fillId="12" borderId="0" xfId="0" applyFont="1" applyFill="1"/>
    <xf numFmtId="0" fontId="32" fillId="12" borderId="0" xfId="0" applyFont="1" applyFill="1"/>
    <xf numFmtId="0" fontId="32" fillId="12" borderId="0" xfId="0" applyFont="1" applyFill="1" applyAlignment="1">
      <alignment horizontal="center"/>
    </xf>
    <xf numFmtId="37" fontId="31" fillId="12" borderId="0" xfId="0" applyNumberFormat="1" applyFont="1" applyFill="1" applyAlignment="1">
      <alignment horizontal="center"/>
    </xf>
    <xf numFmtId="0" fontId="31" fillId="12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5" fillId="0" borderId="0" xfId="3" applyNumberFormat="1" applyFont="1" applyFill="1" applyBorder="1"/>
    <xf numFmtId="164" fontId="5" fillId="0" borderId="0" xfId="3" applyNumberFormat="1" applyFont="1" applyFill="1" applyBorder="1"/>
    <xf numFmtId="0" fontId="26" fillId="0" borderId="0" xfId="0" applyFont="1"/>
    <xf numFmtId="8" fontId="3" fillId="11" borderId="0" xfId="0" applyNumberFormat="1" applyFont="1" applyFill="1"/>
    <xf numFmtId="9" fontId="3" fillId="11" borderId="8" xfId="0" applyNumberFormat="1" applyFont="1" applyFill="1" applyBorder="1" applyAlignment="1">
      <alignment horizontal="center"/>
    </xf>
    <xf numFmtId="166" fontId="33" fillId="0" borderId="0" xfId="0" applyNumberFormat="1" applyFont="1"/>
    <xf numFmtId="7" fontId="33" fillId="0" borderId="0" xfId="0" applyNumberFormat="1" applyFont="1"/>
    <xf numFmtId="9" fontId="34" fillId="0" borderId="0" xfId="0" applyNumberFormat="1" applyFont="1" applyAlignment="1">
      <alignment horizontal="center"/>
    </xf>
    <xf numFmtId="9" fontId="3" fillId="11" borderId="0" xfId="0" applyNumberFormat="1" applyFont="1" applyFill="1" applyAlignment="1">
      <alignment horizontal="center"/>
    </xf>
    <xf numFmtId="9" fontId="33" fillId="0" borderId="0" xfId="0" applyNumberFormat="1" applyFont="1" applyAlignment="1">
      <alignment horizontal="center"/>
    </xf>
    <xf numFmtId="37" fontId="5" fillId="0" borderId="8" xfId="3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166" fontId="5" fillId="0" borderId="13" xfId="0" applyNumberFormat="1" applyFont="1" applyBorder="1" applyAlignment="1">
      <alignment horizontal="center"/>
    </xf>
    <xf numFmtId="166" fontId="5" fillId="0" borderId="14" xfId="0" applyNumberFormat="1" applyFont="1" applyBorder="1" applyAlignment="1">
      <alignment horizontal="center"/>
    </xf>
    <xf numFmtId="166" fontId="5" fillId="0" borderId="15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Continuous"/>
    </xf>
    <xf numFmtId="171" fontId="5" fillId="0" borderId="13" xfId="3" applyNumberFormat="1" applyFont="1" applyBorder="1" applyAlignment="1">
      <alignment horizontal="center"/>
    </xf>
    <xf numFmtId="171" fontId="5" fillId="0" borderId="14" xfId="3" applyNumberFormat="1" applyFont="1" applyBorder="1" applyAlignment="1">
      <alignment horizontal="center"/>
    </xf>
    <xf numFmtId="171" fontId="5" fillId="0" borderId="15" xfId="3" applyNumberFormat="1" applyFont="1" applyBorder="1" applyAlignment="1">
      <alignment horizontal="center"/>
    </xf>
    <xf numFmtId="171" fontId="5" fillId="0" borderId="0" xfId="3" applyNumberFormat="1" applyFont="1" applyBorder="1" applyAlignment="1">
      <alignment horizontal="center"/>
    </xf>
    <xf numFmtId="6" fontId="9" fillId="0" borderId="0" xfId="0" applyNumberFormat="1" applyFont="1" applyAlignment="1">
      <alignment horizontal="center"/>
    </xf>
    <xf numFmtId="37" fontId="9" fillId="0" borderId="0" xfId="0" applyNumberFormat="1" applyFont="1" applyAlignment="1">
      <alignment horizontal="center"/>
    </xf>
    <xf numFmtId="7" fontId="5" fillId="0" borderId="0" xfId="0" applyNumberFormat="1" applyFont="1" applyAlignment="1">
      <alignment horizontal="center"/>
    </xf>
    <xf numFmtId="6" fontId="33" fillId="0" borderId="0" xfId="0" applyNumberFormat="1" applyFont="1"/>
    <xf numFmtId="8" fontId="8" fillId="0" borderId="0" xfId="0" applyNumberFormat="1" applyFont="1" applyAlignment="1">
      <alignment horizontal="center"/>
    </xf>
    <xf numFmtId="37" fontId="8" fillId="0" borderId="0" xfId="3" applyNumberFormat="1" applyFont="1" applyAlignment="1">
      <alignment horizontal="center"/>
    </xf>
    <xf numFmtId="37" fontId="35" fillId="0" borderId="13" xfId="3" applyNumberFormat="1" applyFont="1" applyBorder="1" applyAlignment="1">
      <alignment horizontal="center"/>
    </xf>
    <xf numFmtId="37" fontId="35" fillId="0" borderId="14" xfId="3" applyNumberFormat="1" applyFont="1" applyBorder="1" applyAlignment="1">
      <alignment horizontal="center"/>
    </xf>
    <xf numFmtId="37" fontId="35" fillId="0" borderId="15" xfId="3" applyNumberFormat="1" applyFont="1" applyBorder="1" applyAlignment="1">
      <alignment horizontal="center"/>
    </xf>
    <xf numFmtId="37" fontId="35" fillId="0" borderId="0" xfId="3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6" fontId="5" fillId="0" borderId="8" xfId="0" applyNumberFormat="1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9" fontId="5" fillId="0" borderId="8" xfId="0" applyNumberFormat="1" applyFont="1" applyBorder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Continuous"/>
    </xf>
    <xf numFmtId="0" fontId="37" fillId="0" borderId="0" xfId="0" applyFont="1"/>
    <xf numFmtId="0" fontId="37" fillId="0" borderId="8" xfId="0" applyFont="1" applyBorder="1"/>
    <xf numFmtId="0" fontId="5" fillId="0" borderId="5" xfId="0" applyFont="1" applyBorder="1" applyAlignment="1">
      <alignment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37" fillId="0" borderId="1" xfId="0" applyFont="1" applyBorder="1" applyAlignment="1">
      <alignment wrapText="1"/>
    </xf>
    <xf numFmtId="172" fontId="37" fillId="2" borderId="1" xfId="1" applyNumberFormat="1" applyFont="1" applyFill="1" applyBorder="1" applyAlignment="1">
      <alignment horizontal="right" wrapText="1"/>
    </xf>
    <xf numFmtId="7" fontId="37" fillId="0" borderId="1" xfId="0" applyNumberFormat="1" applyFont="1" applyBorder="1" applyAlignment="1">
      <alignment horizontal="center" wrapText="1"/>
    </xf>
    <xf numFmtId="0" fontId="33" fillId="7" borderId="1" xfId="0" applyFont="1" applyFill="1" applyBorder="1" applyAlignment="1">
      <alignment horizontal="center" wrapText="1"/>
    </xf>
    <xf numFmtId="172" fontId="32" fillId="7" borderId="1" xfId="1" applyNumberFormat="1" applyFont="1" applyFill="1" applyBorder="1" applyAlignment="1" applyProtection="1">
      <alignment horizontal="right" wrapText="1"/>
      <protection locked="0"/>
    </xf>
    <xf numFmtId="172" fontId="37" fillId="0" borderId="1" xfId="0" applyNumberFormat="1" applyFont="1" applyBorder="1" applyAlignment="1">
      <alignment horizontal="right" wrapText="1"/>
    </xf>
    <xf numFmtId="9" fontId="32" fillId="7" borderId="1" xfId="2" applyFont="1" applyFill="1" applyBorder="1" applyAlignment="1" applyProtection="1">
      <alignment horizontal="right" wrapText="1"/>
      <protection locked="0"/>
    </xf>
    <xf numFmtId="0" fontId="33" fillId="7" borderId="4" xfId="0" applyFont="1" applyFill="1" applyBorder="1" applyAlignment="1">
      <alignment horizontal="center" wrapText="1"/>
    </xf>
    <xf numFmtId="0" fontId="37" fillId="0" borderId="4" xfId="0" applyFont="1" applyBorder="1" applyAlignment="1">
      <alignment wrapText="1"/>
    </xf>
    <xf numFmtId="172" fontId="32" fillId="7" borderId="4" xfId="1" applyNumberFormat="1" applyFont="1" applyFill="1" applyBorder="1" applyAlignment="1" applyProtection="1">
      <alignment horizontal="right" wrapText="1"/>
      <protection locked="0"/>
    </xf>
    <xf numFmtId="172" fontId="37" fillId="0" borderId="4" xfId="0" applyNumberFormat="1" applyFont="1" applyBorder="1" applyAlignment="1">
      <alignment horizontal="right" wrapText="1"/>
    </xf>
    <xf numFmtId="9" fontId="32" fillId="7" borderId="4" xfId="2" applyFont="1" applyFill="1" applyBorder="1" applyAlignment="1" applyProtection="1">
      <alignment horizontal="right" wrapText="1"/>
      <protection locked="0"/>
    </xf>
    <xf numFmtId="0" fontId="5" fillId="0" borderId="4" xfId="0" applyFont="1" applyBorder="1" applyAlignment="1">
      <alignment horizontal="center" wrapText="1"/>
    </xf>
    <xf numFmtId="172" fontId="37" fillId="2" borderId="4" xfId="1" applyNumberFormat="1" applyFont="1" applyFill="1" applyBorder="1" applyAlignment="1" applyProtection="1">
      <alignment horizontal="right" wrapText="1"/>
    </xf>
    <xf numFmtId="0" fontId="5" fillId="0" borderId="1" xfId="0" applyFont="1" applyBorder="1" applyAlignment="1">
      <alignment horizontal="center" wrapText="1"/>
    </xf>
    <xf numFmtId="44" fontId="37" fillId="2" borderId="1" xfId="1" applyFont="1" applyFill="1" applyBorder="1" applyAlignment="1">
      <alignment horizontal="right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Continuous" vertical="center" wrapText="1"/>
    </xf>
    <xf numFmtId="164" fontId="5" fillId="0" borderId="0" xfId="3" applyNumberFormat="1" applyFont="1" applyAlignment="1">
      <alignment wrapText="1"/>
    </xf>
    <xf numFmtId="164" fontId="5" fillId="0" borderId="0" xfId="0" applyNumberFormat="1" applyFont="1" applyAlignment="1">
      <alignment wrapText="1"/>
    </xf>
    <xf numFmtId="165" fontId="5" fillId="0" borderId="0" xfId="3" applyNumberFormat="1" applyFont="1" applyAlignment="1">
      <alignment wrapText="1"/>
    </xf>
    <xf numFmtId="43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164" fontId="5" fillId="0" borderId="0" xfId="3" applyNumberFormat="1" applyFont="1" applyBorder="1"/>
    <xf numFmtId="166" fontId="5" fillId="0" borderId="17" xfId="0" applyNumberFormat="1" applyFont="1" applyBorder="1" applyAlignment="1">
      <alignment horizontal="center"/>
    </xf>
    <xf numFmtId="8" fontId="9" fillId="0" borderId="0" xfId="0" applyNumberFormat="1" applyFont="1" applyAlignment="1">
      <alignment horizontal="center"/>
    </xf>
    <xf numFmtId="37" fontId="9" fillId="0" borderId="8" xfId="0" applyNumberFormat="1" applyFont="1" applyBorder="1" applyAlignment="1">
      <alignment horizontal="center"/>
    </xf>
    <xf numFmtId="37" fontId="5" fillId="0" borderId="13" xfId="3" applyNumberFormat="1" applyFont="1" applyBorder="1" applyAlignment="1">
      <alignment horizontal="center"/>
    </xf>
    <xf numFmtId="37" fontId="5" fillId="0" borderId="14" xfId="3" applyNumberFormat="1" applyFont="1" applyBorder="1" applyAlignment="1">
      <alignment horizontal="center"/>
    </xf>
    <xf numFmtId="37" fontId="5" fillId="0" borderId="15" xfId="3" applyNumberFormat="1" applyFont="1" applyBorder="1" applyAlignment="1">
      <alignment horizontal="center"/>
    </xf>
    <xf numFmtId="37" fontId="5" fillId="0" borderId="0" xfId="3" applyNumberFormat="1" applyFont="1" applyBorder="1" applyAlignment="1">
      <alignment horizontal="center"/>
    </xf>
    <xf numFmtId="37" fontId="5" fillId="0" borderId="1" xfId="3" applyNumberFormat="1" applyFont="1" applyBorder="1" applyAlignment="1">
      <alignment horizontal="center"/>
    </xf>
    <xf numFmtId="173" fontId="5" fillId="0" borderId="0" xfId="0" applyNumberFormat="1" applyFont="1"/>
    <xf numFmtId="174" fontId="7" fillId="0" borderId="8" xfId="0" applyNumberFormat="1" applyFont="1" applyBorder="1"/>
    <xf numFmtId="166" fontId="32" fillId="7" borderId="1" xfId="2" applyNumberFormat="1" applyFont="1" applyFill="1" applyBorder="1" applyAlignment="1" applyProtection="1">
      <alignment horizontal="right" wrapText="1"/>
      <protection locked="0"/>
    </xf>
    <xf numFmtId="9" fontId="29" fillId="0" borderId="8" xfId="0" applyNumberFormat="1" applyFont="1" applyBorder="1" applyAlignment="1">
      <alignment horizontal="right"/>
    </xf>
    <xf numFmtId="9" fontId="6" fillId="0" borderId="0" xfId="3" applyNumberFormat="1" applyFont="1" applyBorder="1"/>
    <xf numFmtId="0" fontId="5" fillId="0" borderId="0" xfId="0" applyFont="1" applyAlignment="1">
      <alignment horizontal="left"/>
    </xf>
    <xf numFmtId="6" fontId="3" fillId="0" borderId="0" xfId="3" applyNumberFormat="1" applyFont="1" applyBorder="1" applyAlignment="1">
      <alignment horizontal="right"/>
    </xf>
    <xf numFmtId="6" fontId="7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5" fontId="7" fillId="0" borderId="0" xfId="3" applyNumberFormat="1" applyFont="1" applyBorder="1"/>
    <xf numFmtId="14" fontId="44" fillId="0" borderId="0" xfId="0" applyNumberFormat="1" applyFont="1"/>
    <xf numFmtId="44" fontId="0" fillId="0" borderId="0" xfId="1" applyFont="1"/>
    <xf numFmtId="6" fontId="9" fillId="0" borderId="8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6" fontId="7" fillId="0" borderId="18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45" fillId="0" borderId="0" xfId="0" applyFont="1" applyAlignment="1">
      <alignment wrapText="1"/>
    </xf>
    <xf numFmtId="0" fontId="42" fillId="16" borderId="0" xfId="0" applyFont="1" applyFill="1" applyAlignment="1">
      <alignment wrapText="1"/>
    </xf>
    <xf numFmtId="44" fontId="42" fillId="16" borderId="0" xfId="0" applyNumberFormat="1" applyFont="1" applyFill="1" applyAlignment="1">
      <alignment horizontal="center" vertical="center" wrapText="1"/>
    </xf>
    <xf numFmtId="0" fontId="42" fillId="16" borderId="0" xfId="0" applyFont="1" applyFill="1"/>
    <xf numFmtId="0" fontId="42" fillId="16" borderId="8" xfId="0" applyFont="1" applyFill="1" applyBorder="1"/>
    <xf numFmtId="168" fontId="3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right"/>
    </xf>
    <xf numFmtId="0" fontId="6" fillId="13" borderId="0" xfId="0" applyFont="1" applyFill="1" applyAlignment="1">
      <alignment horizontal="right"/>
    </xf>
    <xf numFmtId="0" fontId="43" fillId="14" borderId="0" xfId="0" applyFont="1" applyFill="1" applyAlignment="1">
      <alignment horizontal="right"/>
    </xf>
    <xf numFmtId="0" fontId="33" fillId="15" borderId="0" xfId="0" applyFont="1" applyFill="1" applyAlignment="1">
      <alignment horizontal="right"/>
    </xf>
    <xf numFmtId="9" fontId="7" fillId="0" borderId="8" xfId="0" applyNumberFormat="1" applyFont="1" applyBorder="1" applyAlignment="1">
      <alignment horizontal="center"/>
    </xf>
    <xf numFmtId="9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39" fillId="17" borderId="0" xfId="0" applyFont="1" applyFill="1" applyAlignment="1">
      <alignment horizontal="centerContinuous" vertical="center"/>
    </xf>
    <xf numFmtId="165" fontId="5" fillId="0" borderId="0" xfId="3" applyNumberFormat="1" applyFont="1" applyAlignment="1">
      <alignment horizontal="center"/>
    </xf>
    <xf numFmtId="37" fontId="35" fillId="0" borderId="3" xfId="3" applyNumberFormat="1" applyFont="1" applyBorder="1" applyAlignment="1">
      <alignment horizontal="center"/>
    </xf>
    <xf numFmtId="37" fontId="35" fillId="0" borderId="19" xfId="3" applyNumberFormat="1" applyFont="1" applyBorder="1" applyAlignment="1">
      <alignment horizontal="center"/>
    </xf>
    <xf numFmtId="37" fontId="35" fillId="0" borderId="20" xfId="3" applyNumberFormat="1" applyFont="1" applyBorder="1" applyAlignment="1">
      <alignment horizontal="center"/>
    </xf>
    <xf numFmtId="37" fontId="35" fillId="0" borderId="21" xfId="3" applyNumberFormat="1" applyFont="1" applyBorder="1" applyAlignment="1">
      <alignment horizontal="center"/>
    </xf>
    <xf numFmtId="167" fontId="5" fillId="0" borderId="0" xfId="3" applyNumberFormat="1" applyFont="1"/>
    <xf numFmtId="167" fontId="7" fillId="0" borderId="8" xfId="0" applyNumberFormat="1" applyFont="1" applyBorder="1"/>
    <xf numFmtId="0" fontId="47" fillId="17" borderId="0" xfId="0" applyFont="1" applyFill="1"/>
    <xf numFmtId="0" fontId="47" fillId="17" borderId="0" xfId="0" applyFont="1" applyFill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165" fontId="5" fillId="0" borderId="0" xfId="3" applyNumberFormat="1" applyFont="1" applyFill="1" applyAlignment="1">
      <alignment horizontal="center"/>
    </xf>
    <xf numFmtId="8" fontId="5" fillId="0" borderId="0" xfId="3" applyNumberFormat="1" applyFont="1" applyFill="1" applyAlignment="1">
      <alignment horizontal="right"/>
    </xf>
    <xf numFmtId="167" fontId="7" fillId="0" borderId="0" xfId="0" applyNumberFormat="1" applyFont="1"/>
    <xf numFmtId="9" fontId="8" fillId="0" borderId="0" xfId="0" applyNumberFormat="1" applyFont="1"/>
    <xf numFmtId="9" fontId="6" fillId="0" borderId="0" xfId="2" applyFont="1" applyFill="1" applyAlignment="1">
      <alignment horizontal="right"/>
    </xf>
    <xf numFmtId="167" fontId="5" fillId="0" borderId="8" xfId="3" applyNumberFormat="1" applyFont="1" applyBorder="1"/>
    <xf numFmtId="0" fontId="7" fillId="4" borderId="0" xfId="0" applyFont="1" applyFill="1"/>
    <xf numFmtId="0" fontId="5" fillId="4" borderId="0" xfId="0" applyFont="1" applyFill="1" applyAlignment="1">
      <alignment horizontal="left" indent="1"/>
    </xf>
    <xf numFmtId="164" fontId="5" fillId="4" borderId="0" xfId="3" applyNumberFormat="1" applyFont="1" applyFill="1"/>
    <xf numFmtId="167" fontId="7" fillId="4" borderId="0" xfId="3" applyNumberFormat="1" applyFont="1" applyFill="1"/>
    <xf numFmtId="0" fontId="5" fillId="0" borderId="11" xfId="0" applyFont="1" applyBorder="1"/>
    <xf numFmtId="165" fontId="5" fillId="0" borderId="11" xfId="3" applyNumberFormat="1" applyFont="1" applyFill="1" applyBorder="1" applyAlignment="1">
      <alignment horizontal="center"/>
    </xf>
    <xf numFmtId="8" fontId="5" fillId="0" borderId="11" xfId="3" applyNumberFormat="1" applyFont="1" applyFill="1" applyBorder="1" applyAlignment="1">
      <alignment horizontal="right"/>
    </xf>
    <xf numFmtId="167" fontId="5" fillId="0" borderId="11" xfId="3" applyNumberFormat="1" applyFont="1" applyBorder="1"/>
    <xf numFmtId="164" fontId="5" fillId="0" borderId="11" xfId="3" applyNumberFormat="1" applyFont="1" applyBorder="1"/>
    <xf numFmtId="167" fontId="5" fillId="0" borderId="12" xfId="3" applyNumberFormat="1" applyFont="1" applyBorder="1"/>
    <xf numFmtId="167" fontId="7" fillId="0" borderId="12" xfId="0" applyNumberFormat="1" applyFont="1" applyBorder="1"/>
    <xf numFmtId="9" fontId="8" fillId="0" borderId="11" xfId="2" applyFont="1" applyFill="1" applyBorder="1" applyAlignment="1">
      <alignment horizontal="right"/>
    </xf>
    <xf numFmtId="167" fontId="7" fillId="4" borderId="11" xfId="3" applyNumberFormat="1" applyFont="1" applyFill="1" applyBorder="1"/>
    <xf numFmtId="164" fontId="5" fillId="4" borderId="11" xfId="3" applyNumberFormat="1" applyFont="1" applyFill="1" applyBorder="1"/>
    <xf numFmtId="9" fontId="6" fillId="0" borderId="11" xfId="2" applyFont="1" applyFill="1" applyBorder="1" applyAlignment="1">
      <alignment horizontal="right"/>
    </xf>
    <xf numFmtId="0" fontId="31" fillId="17" borderId="0" xfId="0" applyFont="1" applyFill="1"/>
    <xf numFmtId="0" fontId="31" fillId="17" borderId="11" xfId="0" applyFont="1" applyFill="1" applyBorder="1" applyAlignment="1">
      <alignment horizontal="center"/>
    </xf>
    <xf numFmtId="0" fontId="31" fillId="17" borderId="0" xfId="0" applyFont="1" applyFill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5" fillId="0" borderId="22" xfId="0" applyFont="1" applyBorder="1"/>
    <xf numFmtId="165" fontId="5" fillId="0" borderId="22" xfId="3" applyNumberFormat="1" applyFont="1" applyFill="1" applyBorder="1" applyAlignment="1">
      <alignment horizontal="center"/>
    </xf>
    <xf numFmtId="8" fontId="5" fillId="0" borderId="22" xfId="3" applyNumberFormat="1" applyFont="1" applyFill="1" applyBorder="1" applyAlignment="1">
      <alignment horizontal="right"/>
    </xf>
    <xf numFmtId="167" fontId="5" fillId="0" borderId="22" xfId="3" applyNumberFormat="1" applyFont="1" applyBorder="1"/>
    <xf numFmtId="164" fontId="5" fillId="0" borderId="22" xfId="3" applyNumberFormat="1" applyFont="1" applyBorder="1"/>
    <xf numFmtId="167" fontId="5" fillId="0" borderId="23" xfId="3" applyNumberFormat="1" applyFont="1" applyBorder="1"/>
    <xf numFmtId="167" fontId="7" fillId="0" borderId="23" xfId="0" applyNumberFormat="1" applyFont="1" applyBorder="1"/>
    <xf numFmtId="9" fontId="6" fillId="0" borderId="22" xfId="2" applyFont="1" applyFill="1" applyBorder="1" applyAlignment="1">
      <alignment horizontal="right"/>
    </xf>
    <xf numFmtId="167" fontId="7" fillId="4" borderId="22" xfId="3" applyNumberFormat="1" applyFont="1" applyFill="1" applyBorder="1"/>
    <xf numFmtId="164" fontId="5" fillId="4" borderId="22" xfId="3" applyNumberFormat="1" applyFont="1" applyFill="1" applyBorder="1"/>
    <xf numFmtId="167" fontId="7" fillId="0" borderId="8" xfId="3" applyNumberFormat="1" applyFont="1" applyBorder="1"/>
    <xf numFmtId="167" fontId="7" fillId="0" borderId="12" xfId="3" applyNumberFormat="1" applyFont="1" applyBorder="1"/>
    <xf numFmtId="164" fontId="5" fillId="0" borderId="11" xfId="3" applyNumberFormat="1" applyFont="1" applyFill="1" applyBorder="1"/>
    <xf numFmtId="6" fontId="5" fillId="0" borderId="1" xfId="0" applyNumberFormat="1" applyFont="1" applyBorder="1" applyAlignment="1">
      <alignment horizontal="center"/>
    </xf>
    <xf numFmtId="167" fontId="7" fillId="0" borderId="0" xfId="3" applyNumberFormat="1" applyFont="1" applyBorder="1"/>
    <xf numFmtId="167" fontId="5" fillId="0" borderId="0" xfId="3" applyNumberFormat="1" applyFont="1" applyBorder="1"/>
    <xf numFmtId="8" fontId="27" fillId="0" borderId="0" xfId="3" applyNumberFormat="1" applyFont="1" applyAlignment="1">
      <alignment horizontal="center"/>
    </xf>
    <xf numFmtId="166" fontId="5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175" fontId="5" fillId="0" borderId="0" xfId="0" applyNumberFormat="1" applyFont="1"/>
    <xf numFmtId="0" fontId="7" fillId="0" borderId="0" xfId="0" applyFont="1" applyAlignment="1">
      <alignment horizontal="center" vertical="center" wrapText="1"/>
    </xf>
    <xf numFmtId="164" fontId="5" fillId="0" borderId="0" xfId="3" applyNumberFormat="1" applyFont="1" applyBorder="1" applyAlignment="1">
      <alignment horizontal="right" wrapText="1"/>
    </xf>
    <xf numFmtId="0" fontId="7" fillId="0" borderId="8" xfId="0" applyFont="1" applyBorder="1" applyAlignment="1">
      <alignment wrapText="1"/>
    </xf>
    <xf numFmtId="167" fontId="7" fillId="0" borderId="8" xfId="3" applyNumberFormat="1" applyFont="1" applyBorder="1" applyAlignment="1">
      <alignment horizontal="right" wrapText="1"/>
    </xf>
    <xf numFmtId="0" fontId="7" fillId="0" borderId="0" xfId="0" applyFont="1" applyAlignment="1">
      <alignment wrapText="1"/>
    </xf>
    <xf numFmtId="164" fontId="7" fillId="0" borderId="0" xfId="3" applyNumberFormat="1" applyFont="1" applyBorder="1" applyAlignment="1">
      <alignment horizontal="right" wrapText="1"/>
    </xf>
    <xf numFmtId="9" fontId="5" fillId="0" borderId="0" xfId="3" applyNumberFormat="1" applyFont="1" applyBorder="1" applyAlignment="1">
      <alignment horizontal="right" wrapText="1"/>
    </xf>
    <xf numFmtId="164" fontId="6" fillId="0" borderId="0" xfId="3" applyNumberFormat="1" applyFont="1" applyBorder="1" applyAlignment="1">
      <alignment horizontal="right" wrapText="1"/>
    </xf>
    <xf numFmtId="0" fontId="7" fillId="4" borderId="8" xfId="0" applyFont="1" applyFill="1" applyBorder="1" applyAlignment="1">
      <alignment wrapText="1"/>
    </xf>
    <xf numFmtId="167" fontId="7" fillId="4" borderId="8" xfId="3" applyNumberFormat="1" applyFont="1" applyFill="1" applyBorder="1" applyAlignment="1">
      <alignment horizontal="right" wrapText="1"/>
    </xf>
    <xf numFmtId="0" fontId="7" fillId="0" borderId="22" xfId="0" applyFont="1" applyBorder="1" applyAlignment="1">
      <alignment horizontal="center" vertical="center" wrapText="1"/>
    </xf>
    <xf numFmtId="164" fontId="5" fillId="0" borderId="22" xfId="3" applyNumberFormat="1" applyFont="1" applyBorder="1" applyAlignment="1">
      <alignment horizontal="right" wrapText="1"/>
    </xf>
    <xf numFmtId="167" fontId="7" fillId="0" borderId="23" xfId="3" applyNumberFormat="1" applyFont="1" applyBorder="1" applyAlignment="1">
      <alignment horizontal="right" wrapText="1"/>
    </xf>
    <xf numFmtId="164" fontId="7" fillId="0" borderId="22" xfId="3" applyNumberFormat="1" applyFont="1" applyBorder="1" applyAlignment="1">
      <alignment horizontal="right" wrapText="1"/>
    </xf>
    <xf numFmtId="167" fontId="7" fillId="4" borderId="23" xfId="3" applyNumberFormat="1" applyFont="1" applyFill="1" applyBorder="1" applyAlignment="1">
      <alignment horizontal="right" wrapText="1"/>
    </xf>
    <xf numFmtId="164" fontId="6" fillId="0" borderId="22" xfId="3" applyNumberFormat="1" applyFont="1" applyBorder="1" applyAlignment="1">
      <alignment horizontal="right" wrapText="1"/>
    </xf>
    <xf numFmtId="0" fontId="6" fillId="0" borderId="8" xfId="0" applyFont="1" applyBorder="1"/>
    <xf numFmtId="164" fontId="6" fillId="0" borderId="23" xfId="3" applyNumberFormat="1" applyFont="1" applyBorder="1" applyAlignment="1">
      <alignment horizontal="right" wrapText="1"/>
    </xf>
    <xf numFmtId="164" fontId="6" fillId="0" borderId="8" xfId="3" applyNumberFormat="1" applyFont="1" applyBorder="1" applyAlignment="1">
      <alignment horizontal="right" wrapText="1"/>
    </xf>
    <xf numFmtId="167" fontId="6" fillId="0" borderId="8" xfId="3" applyNumberFormat="1" applyFont="1" applyBorder="1" applyAlignment="1">
      <alignment horizontal="right" wrapText="1"/>
    </xf>
    <xf numFmtId="167" fontId="6" fillId="0" borderId="23" xfId="3" applyNumberFormat="1" applyFont="1" applyBorder="1" applyAlignment="1">
      <alignment horizontal="right" wrapText="1"/>
    </xf>
    <xf numFmtId="9" fontId="8" fillId="0" borderId="0" xfId="3" applyNumberFormat="1" applyFont="1" applyBorder="1" applyAlignment="1">
      <alignment horizontal="right" wrapText="1"/>
    </xf>
    <xf numFmtId="9" fontId="8" fillId="0" borderId="22" xfId="3" applyNumberFormat="1" applyFont="1" applyBorder="1" applyAlignment="1">
      <alignment horizontal="right" wrapText="1"/>
    </xf>
    <xf numFmtId="0" fontId="49" fillId="0" borderId="0" xfId="0" applyFont="1" applyAlignment="1">
      <alignment horizontal="left" vertical="center" wrapText="1"/>
    </xf>
    <xf numFmtId="0" fontId="25" fillId="18" borderId="0" xfId="0" applyFont="1" applyFill="1" applyAlignment="1">
      <alignment wrapText="1"/>
    </xf>
    <xf numFmtId="37" fontId="25" fillId="18" borderId="22" xfId="0" applyNumberFormat="1" applyFont="1" applyFill="1" applyBorder="1" applyAlignment="1">
      <alignment horizontal="center" vertical="center" wrapText="1"/>
    </xf>
    <xf numFmtId="37" fontId="25" fillId="18" borderId="0" xfId="0" applyNumberFormat="1" applyFont="1" applyFill="1" applyAlignment="1">
      <alignment horizontal="center" vertical="center" wrapText="1"/>
    </xf>
    <xf numFmtId="8" fontId="25" fillId="18" borderId="22" xfId="0" applyNumberFormat="1" applyFont="1" applyFill="1" applyBorder="1" applyAlignment="1">
      <alignment horizontal="center" vertical="center" wrapText="1"/>
    </xf>
    <xf numFmtId="8" fontId="25" fillId="18" borderId="0" xfId="0" applyNumberFormat="1" applyFont="1" applyFill="1" applyAlignment="1">
      <alignment horizontal="center" vertical="center" wrapText="1"/>
    </xf>
    <xf numFmtId="167" fontId="33" fillId="0" borderId="0" xfId="0" applyNumberFormat="1" applyFont="1"/>
    <xf numFmtId="171" fontId="5" fillId="0" borderId="24" xfId="3" applyNumberFormat="1" applyFont="1" applyBorder="1" applyAlignment="1">
      <alignment horizontal="center"/>
    </xf>
    <xf numFmtId="164" fontId="5" fillId="0" borderId="9" xfId="3" applyNumberFormat="1" applyFont="1" applyBorder="1" applyAlignment="1">
      <alignment wrapText="1"/>
    </xf>
    <xf numFmtId="164" fontId="5" fillId="0" borderId="27" xfId="3" applyNumberFormat="1" applyFont="1" applyBorder="1" applyAlignment="1">
      <alignment horizontal="right" wrapText="1"/>
    </xf>
    <xf numFmtId="164" fontId="5" fillId="0" borderId="9" xfId="3" applyNumberFormat="1" applyFont="1" applyBorder="1" applyAlignment="1">
      <alignment horizontal="right" wrapText="1"/>
    </xf>
    <xf numFmtId="176" fontId="7" fillId="0" borderId="0" xfId="0" applyNumberFormat="1" applyFont="1"/>
    <xf numFmtId="0" fontId="39" fillId="19" borderId="0" xfId="0" applyFont="1" applyFill="1" applyAlignment="1">
      <alignment horizontal="centerContinuous" vertical="center"/>
    </xf>
    <xf numFmtId="171" fontId="5" fillId="10" borderId="3" xfId="3" applyNumberFormat="1" applyFont="1" applyFill="1" applyBorder="1" applyAlignment="1">
      <alignment horizontal="center"/>
    </xf>
    <xf numFmtId="171" fontId="5" fillId="10" borderId="8" xfId="3" applyNumberFormat="1" applyFont="1" applyFill="1" applyBorder="1" applyAlignment="1">
      <alignment horizontal="center"/>
    </xf>
    <xf numFmtId="171" fontId="5" fillId="10" borderId="24" xfId="3" applyNumberFormat="1" applyFont="1" applyFill="1" applyBorder="1" applyAlignment="1">
      <alignment horizontal="center"/>
    </xf>
    <xf numFmtId="171" fontId="5" fillId="10" borderId="0" xfId="3" applyNumberFormat="1" applyFont="1" applyFill="1" applyBorder="1" applyAlignment="1">
      <alignment horizontal="center"/>
    </xf>
    <xf numFmtId="171" fontId="47" fillId="20" borderId="19" xfId="3" applyNumberFormat="1" applyFont="1" applyFill="1" applyBorder="1" applyAlignment="1">
      <alignment horizontal="center"/>
    </xf>
    <xf numFmtId="171" fontId="47" fillId="20" borderId="0" xfId="3" applyNumberFormat="1" applyFont="1" applyFill="1" applyBorder="1" applyAlignment="1">
      <alignment horizontal="center"/>
    </xf>
    <xf numFmtId="171" fontId="47" fillId="20" borderId="25" xfId="3" applyNumberFormat="1" applyFont="1" applyFill="1" applyBorder="1" applyAlignment="1">
      <alignment horizontal="center"/>
    </xf>
    <xf numFmtId="171" fontId="47" fillId="20" borderId="26" xfId="3" applyNumberFormat="1" applyFont="1" applyFill="1" applyBorder="1" applyAlignment="1">
      <alignment horizontal="center"/>
    </xf>
    <xf numFmtId="171" fontId="47" fillId="20" borderId="21" xfId="3" applyNumberFormat="1" applyFont="1" applyFill="1" applyBorder="1" applyAlignment="1">
      <alignment horizontal="center"/>
    </xf>
    <xf numFmtId="171" fontId="47" fillId="20" borderId="8" xfId="3" applyNumberFormat="1" applyFont="1" applyFill="1" applyBorder="1" applyAlignment="1">
      <alignment horizontal="center"/>
    </xf>
    <xf numFmtId="171" fontId="47" fillId="20" borderId="6" xfId="3" applyNumberFormat="1" applyFont="1" applyFill="1" applyBorder="1" applyAlignment="1">
      <alignment horizontal="center"/>
    </xf>
    <xf numFmtId="0" fontId="5" fillId="0" borderId="26" xfId="0" applyFont="1" applyBorder="1" applyAlignment="1">
      <alignment wrapText="1"/>
    </xf>
    <xf numFmtId="164" fontId="5" fillId="0" borderId="26" xfId="3" applyNumberFormat="1" applyFont="1" applyBorder="1" applyAlignment="1">
      <alignment horizontal="right" wrapText="1"/>
    </xf>
    <xf numFmtId="8" fontId="5" fillId="0" borderId="25" xfId="0" applyNumberFormat="1" applyFont="1" applyBorder="1"/>
    <xf numFmtId="37" fontId="5" fillId="0" borderId="26" xfId="3" applyNumberFormat="1" applyFont="1" applyBorder="1" applyAlignment="1">
      <alignment horizontal="center"/>
    </xf>
    <xf numFmtId="177" fontId="5" fillId="0" borderId="0" xfId="0" applyNumberFormat="1" applyFont="1"/>
    <xf numFmtId="178" fontId="5" fillId="0" borderId="0" xfId="0" applyNumberFormat="1" applyFont="1"/>
    <xf numFmtId="9" fontId="6" fillId="0" borderId="0" xfId="3" applyNumberFormat="1" applyFont="1" applyBorder="1" applyAlignment="1">
      <alignment horizontal="right"/>
    </xf>
    <xf numFmtId="166" fontId="7" fillId="3" borderId="0" xfId="0" applyNumberFormat="1" applyFont="1" applyFill="1" applyAlignment="1">
      <alignment horizontal="center"/>
    </xf>
    <xf numFmtId="9" fontId="5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6" fontId="10" fillId="0" borderId="0" xfId="3" applyNumberFormat="1" applyFont="1" applyBorder="1" applyAlignment="1">
      <alignment horizontal="right"/>
    </xf>
    <xf numFmtId="10" fontId="51" fillId="0" borderId="0" xfId="0" applyNumberFormat="1" applyFont="1" applyAlignment="1">
      <alignment horizontal="center"/>
    </xf>
    <xf numFmtId="169" fontId="52" fillId="0" borderId="1" xfId="0" applyNumberFormat="1" applyFont="1" applyBorder="1" applyAlignment="1">
      <alignment horizontal="center"/>
    </xf>
    <xf numFmtId="0" fontId="50" fillId="0" borderId="0" xfId="0" applyFont="1"/>
    <xf numFmtId="0" fontId="53" fillId="0" borderId="0" xfId="0" applyFont="1" applyAlignment="1">
      <alignment horizontal="center"/>
    </xf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4" xfId="4" applyFont="1" applyBorder="1" applyAlignment="1">
      <alignment horizontal="center" vertical="center"/>
    </xf>
    <xf numFmtId="9" fontId="0" fillId="0" borderId="0" xfId="2" applyFont="1"/>
    <xf numFmtId="166" fontId="0" fillId="0" borderId="0" xfId="2" applyNumberFormat="1" applyFont="1"/>
    <xf numFmtId="0" fontId="15" fillId="0" borderId="0" xfId="0" applyFont="1" applyAlignment="1">
      <alignment horizontal="center"/>
    </xf>
    <xf numFmtId="0" fontId="54" fillId="0" borderId="0" xfId="0" applyFont="1" applyAlignment="1">
      <alignment horizontal="right"/>
    </xf>
    <xf numFmtId="10" fontId="0" fillId="0" borderId="0" xfId="2" applyNumberFormat="1" applyFont="1"/>
    <xf numFmtId="1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37" fontId="3" fillId="0" borderId="0" xfId="3" applyNumberFormat="1" applyFont="1" applyFill="1" applyAlignment="1">
      <alignment horizontal="center"/>
    </xf>
    <xf numFmtId="6" fontId="7" fillId="0" borderId="0" xfId="0" applyNumberFormat="1" applyFont="1" applyAlignment="1">
      <alignment horizontal="center"/>
    </xf>
    <xf numFmtId="9" fontId="29" fillId="0" borderId="0" xfId="0" applyNumberFormat="1" applyFont="1" applyAlignment="1">
      <alignment horizontal="right"/>
    </xf>
    <xf numFmtId="6" fontId="55" fillId="0" borderId="0" xfId="0" applyNumberFormat="1" applyFont="1" applyAlignment="1">
      <alignment horizontal="center"/>
    </xf>
    <xf numFmtId="0" fontId="53" fillId="11" borderId="0" xfId="0" applyFont="1" applyFill="1" applyAlignment="1">
      <alignment horizontal="center"/>
    </xf>
    <xf numFmtId="37" fontId="3" fillId="11" borderId="0" xfId="3" applyNumberFormat="1" applyFont="1" applyFill="1" applyAlignment="1">
      <alignment horizontal="center"/>
    </xf>
    <xf numFmtId="6" fontId="6" fillId="0" borderId="8" xfId="0" applyNumberFormat="1" applyFont="1" applyBorder="1" applyAlignment="1">
      <alignment horizontal="center"/>
    </xf>
    <xf numFmtId="8" fontId="55" fillId="0" borderId="0" xfId="0" applyNumberFormat="1" applyFont="1"/>
    <xf numFmtId="0" fontId="56" fillId="0" borderId="0" xfId="0" applyFont="1" applyAlignment="1">
      <alignment horizontal="center" vertical="center" wrapText="1"/>
    </xf>
    <xf numFmtId="6" fontId="3" fillId="0" borderId="0" xfId="0" applyNumberFormat="1" applyFont="1" applyAlignment="1">
      <alignment horizontal="center"/>
    </xf>
    <xf numFmtId="8" fontId="42" fillId="16" borderId="0" xfId="0" applyNumberFormat="1" applyFont="1" applyFill="1"/>
    <xf numFmtId="8" fontId="0" fillId="16" borderId="0" xfId="3" applyNumberFormat="1" applyFont="1" applyFill="1"/>
    <xf numFmtId="8" fontId="0" fillId="16" borderId="0" xfId="0" applyNumberFormat="1" applyFill="1" applyAlignment="1">
      <alignment horizontal="center"/>
    </xf>
    <xf numFmtId="8" fontId="42" fillId="16" borderId="8" xfId="0" applyNumberFormat="1" applyFont="1" applyFill="1" applyBorder="1"/>
    <xf numFmtId="8" fontId="46" fillId="16" borderId="8" xfId="3" applyNumberFormat="1" applyFont="1" applyFill="1" applyBorder="1"/>
    <xf numFmtId="8" fontId="0" fillId="16" borderId="8" xfId="0" applyNumberFormat="1" applyFill="1" applyBorder="1" applyAlignment="1">
      <alignment horizontal="center"/>
    </xf>
    <xf numFmtId="37" fontId="10" fillId="0" borderId="0" xfId="3" applyNumberFormat="1" applyFont="1" applyAlignment="1">
      <alignment horizontal="center"/>
    </xf>
    <xf numFmtId="165" fontId="3" fillId="0" borderId="0" xfId="3" applyNumberFormat="1" applyFont="1"/>
    <xf numFmtId="165" fontId="7" fillId="0" borderId="8" xfId="0" applyNumberFormat="1" applyFont="1" applyBorder="1"/>
    <xf numFmtId="165" fontId="7" fillId="0" borderId="8" xfId="3" applyNumberFormat="1" applyFont="1" applyBorder="1"/>
    <xf numFmtId="168" fontId="9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6" fontId="6" fillId="0" borderId="0" xfId="0" applyNumberFormat="1" applyFont="1"/>
    <xf numFmtId="9" fontId="6" fillId="0" borderId="0" xfId="0" applyNumberFormat="1" applyFont="1"/>
    <xf numFmtId="179" fontId="0" fillId="0" borderId="0" xfId="0" applyNumberFormat="1"/>
    <xf numFmtId="180" fontId="0" fillId="0" borderId="0" xfId="0" applyNumberFormat="1"/>
    <xf numFmtId="166" fontId="0" fillId="0" borderId="0" xfId="0" applyNumberFormat="1"/>
    <xf numFmtId="180" fontId="0" fillId="11" borderId="0" xfId="0" applyNumberFormat="1" applyFill="1"/>
    <xf numFmtId="0" fontId="19" fillId="0" borderId="8" xfId="0" applyFont="1" applyBorder="1" applyAlignment="1">
      <alignment vertical="center"/>
    </xf>
    <xf numFmtId="10" fontId="5" fillId="0" borderId="1" xfId="0" applyNumberFormat="1" applyFont="1" applyBorder="1" applyAlignment="1">
      <alignment horizontal="center"/>
    </xf>
    <xf numFmtId="0" fontId="38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9" fillId="7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wrapText="1"/>
    </xf>
    <xf numFmtId="0" fontId="40" fillId="0" borderId="4" xfId="0" applyFont="1" applyBorder="1" applyAlignment="1">
      <alignment horizontal="right"/>
    </xf>
    <xf numFmtId="0" fontId="40" fillId="0" borderId="3" xfId="0" applyFont="1" applyBorder="1" applyAlignment="1">
      <alignment horizontal="right"/>
    </xf>
    <xf numFmtId="172" fontId="40" fillId="0" borderId="2" xfId="0" applyNumberFormat="1" applyFont="1" applyBorder="1" applyAlignment="1">
      <alignment horizontal="center"/>
    </xf>
    <xf numFmtId="172" fontId="5" fillId="0" borderId="16" xfId="0" applyNumberFormat="1" applyFont="1" applyBorder="1"/>
    <xf numFmtId="0" fontId="4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38" fillId="0" borderId="0" xfId="0" applyFont="1" applyAlignment="1">
      <alignment horizontal="center" vertical="center" wrapText="1"/>
    </xf>
  </cellXfs>
  <cellStyles count="5">
    <cellStyle name="Comma" xfId="3" builtinId="3"/>
    <cellStyle name="Currency" xfId="1" builtinId="4"/>
    <cellStyle name="Normal" xfId="0" builtinId="0"/>
    <cellStyle name="Normal 2 2" xfId="4" xr:uid="{25DBE499-A75A-449E-91CF-2D92D3E4AD84}"/>
    <cellStyle name="Percent" xfId="2" builtinId="5"/>
  </cellStyles>
  <dxfs count="15"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color theme="0" tint="-0.14996795556505021"/>
      </font>
      <fill>
        <patternFill>
          <bgColor theme="3" tint="0.39994506668294322"/>
        </patternFill>
      </fill>
    </dxf>
    <dxf>
      <font>
        <color theme="0" tint="-4.9989318521683403E-2"/>
      </font>
      <fill>
        <patternFill>
          <bgColor theme="3" tint="-0.24994659260841701"/>
        </patternFill>
      </fill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Next 12 Mo - Strip $/MMBtu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183908045977011E-2"/>
          <c:y val="0.16484450213280916"/>
          <c:w val="0.94942528735632181"/>
          <c:h val="0.732407605391987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HenryHub!$B$4:$B$17</c:f>
              <c:strCache>
                <c:ptCount val="14"/>
                <c:pt idx="0">
                  <c:v>Mar '26</c:v>
                </c:pt>
                <c:pt idx="1">
                  <c:v>Apr '26</c:v>
                </c:pt>
                <c:pt idx="2">
                  <c:v>May '26</c:v>
                </c:pt>
                <c:pt idx="3">
                  <c:v>Jun '26</c:v>
                </c:pt>
                <c:pt idx="4">
                  <c:v>Jul '26</c:v>
                </c:pt>
                <c:pt idx="5">
                  <c:v>Aug '26</c:v>
                </c:pt>
                <c:pt idx="6">
                  <c:v>Sep '26</c:v>
                </c:pt>
                <c:pt idx="7">
                  <c:v>Oct '26</c:v>
                </c:pt>
                <c:pt idx="8">
                  <c:v>Nov '26</c:v>
                </c:pt>
                <c:pt idx="9">
                  <c:v>Dec '26</c:v>
                </c:pt>
                <c:pt idx="10">
                  <c:v>Jan '27</c:v>
                </c:pt>
                <c:pt idx="11">
                  <c:v>Feb '27</c:v>
                </c:pt>
                <c:pt idx="12">
                  <c:v>Mar '27</c:v>
                </c:pt>
                <c:pt idx="13">
                  <c:v>Apr '27</c:v>
                </c:pt>
              </c:strCache>
            </c:strRef>
          </c:cat>
          <c:val>
            <c:numRef>
              <c:f>HenryHub!$C$4:$C$17</c:f>
              <c:numCache>
                <c:formatCode>_("$"* #,##0.00_);_("$"* \(#,##0.00\);_("$"* "-"??_);_(@_)</c:formatCode>
                <c:ptCount val="14"/>
                <c:pt idx="0">
                  <c:v>4.37</c:v>
                </c:pt>
                <c:pt idx="1">
                  <c:v>4.0410000000000004</c:v>
                </c:pt>
                <c:pt idx="2">
                  <c:v>4.0220000000000002</c:v>
                </c:pt>
                <c:pt idx="3">
                  <c:v>4.17</c:v>
                </c:pt>
                <c:pt idx="4">
                  <c:v>4.3520000000000003</c:v>
                </c:pt>
                <c:pt idx="5">
                  <c:v>4.383</c:v>
                </c:pt>
                <c:pt idx="6">
                  <c:v>4.3460000000000001</c:v>
                </c:pt>
                <c:pt idx="7">
                  <c:v>4.399</c:v>
                </c:pt>
                <c:pt idx="8">
                  <c:v>4.577</c:v>
                </c:pt>
                <c:pt idx="9">
                  <c:v>5.0860000000000003</c:v>
                </c:pt>
                <c:pt idx="10">
                  <c:v>5.3970000000000002</c:v>
                </c:pt>
                <c:pt idx="11">
                  <c:v>4.7939999999999996</c:v>
                </c:pt>
                <c:pt idx="12">
                  <c:v>3.827</c:v>
                </c:pt>
                <c:pt idx="13">
                  <c:v>3.3660000000000001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1-4AEC-A40A-951DA591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386240"/>
        <c:axId val="656671695"/>
      </c:lineChart>
      <c:catAx>
        <c:axId val="910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71695"/>
        <c:crosses val="autoZero"/>
        <c:auto val="1"/>
        <c:lblAlgn val="ctr"/>
        <c:lblOffset val="100"/>
        <c:noMultiLvlLbl val="0"/>
      </c:catAx>
      <c:valAx>
        <c:axId val="65667169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91038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D3 RIN Curve, $/RIN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'RIN Curves'!$H$2</c:f>
              <c:strCache>
                <c:ptCount val="1"/>
                <c:pt idx="0">
                  <c:v>Ares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'RIN Curves'!$G$6:$G$44</c:f>
              <c:numCache>
                <c:formatCode>General</c:formatCode>
                <c:ptCount val="3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</c:numCache>
            </c:numRef>
          </c:cat>
          <c:val>
            <c:numRef>
              <c:f>'RIN Curves'!$H$6:$H$44</c:f>
              <c:numCache>
                <c:formatCode>General</c:formatCode>
                <c:ptCount val="39"/>
                <c:pt idx="12" formatCode="&quot;$&quot;#,##0.00_);[Red]\(&quot;$&quot;#,##0.00\)">
                  <c:v>2.3404618400390462</c:v>
                </c:pt>
                <c:pt idx="13" formatCode="&quot;$&quot;#,##0.00_);[Red]\(&quot;$&quot;#,##0.00\)">
                  <c:v>2.4896872943770032</c:v>
                </c:pt>
                <c:pt idx="14" formatCode="&quot;$&quot;#,##0.00_);[Red]\(&quot;$&quot;#,##0.00\)">
                  <c:v>2.6040894002779571</c:v>
                </c:pt>
                <c:pt idx="15" formatCode="&quot;$&quot;#,##0.00_);[Red]\(&quot;$&quot;#,##0.00\)">
                  <c:v>2.6619581040516365</c:v>
                </c:pt>
                <c:pt idx="16" formatCode="&quot;$&quot;#,##0.00_);[Red]\(&quot;$&quot;#,##0.00\)">
                  <c:v>2.7118203928073998</c:v>
                </c:pt>
                <c:pt idx="17" formatCode="&quot;$&quot;#,##0.00_);[Red]\(&quot;$&quot;#,##0.00\)">
                  <c:v>2.7914812580932673</c:v>
                </c:pt>
                <c:pt idx="18" formatCode="&quot;$&quot;#,##0.00_);[Red]\(&quot;$&quot;#,##0.00\)">
                  <c:v>2.9160810589464075</c:v>
                </c:pt>
                <c:pt idx="19" formatCode="&quot;$&quot;#,##0.00_);[Red]\(&quot;$&quot;#,##0.00\)">
                  <c:v>2.9781765172612142</c:v>
                </c:pt>
                <c:pt idx="20" formatCode="&quot;$&quot;#,##0.00_);[Red]\(&quot;$&quot;#,##0.00\)">
                  <c:v>2.9101358522712708</c:v>
                </c:pt>
                <c:pt idx="21" formatCode="&quot;$&quot;#,##0.00_);[Red]\(&quot;$&quot;#,##0.00\)">
                  <c:v>2.8799223864483365</c:v>
                </c:pt>
                <c:pt idx="22" formatCode="&quot;$&quot;#,##0.00_);[Red]\(&quot;$&quot;#,##0.00\)">
                  <c:v>2.8742293511089954</c:v>
                </c:pt>
                <c:pt idx="23" formatCode="&quot;$&quot;#,##0.00_);[Red]\(&quot;$&quot;#,##0.00\)">
                  <c:v>2.9338871538336271</c:v>
                </c:pt>
                <c:pt idx="24" formatCode="&quot;$&quot;#,##0.00_);[Red]\(&quot;$&quot;#,##0.00\)">
                  <c:v>2.9947832201034275</c:v>
                </c:pt>
                <c:pt idx="25" formatCode="&quot;$&quot;#,##0.00_);[Red]\(&quot;$&quot;#,##0.00\)">
                  <c:v>3.0569432514450559</c:v>
                </c:pt>
                <c:pt idx="26" formatCode="&quot;$&quot;#,##0.00_);[Red]\(&quot;$&quot;#,##0.00\)">
                  <c:v>3.120393482848733</c:v>
                </c:pt>
                <c:pt idx="27" formatCode="&quot;$&quot;#,##0.00_);[Red]\(&quot;$&quot;#,##0.00\)">
                  <c:v>3.1851606938408499</c:v>
                </c:pt>
                <c:pt idx="28" formatCode="&quot;$&quot;#,##0.00_);[Red]\(&quot;$&quot;#,##0.00\)">
                  <c:v>3.2512722197864368</c:v>
                </c:pt>
                <c:pt idx="29" formatCode="&quot;$&quot;#,##0.00_);[Red]\(&quot;$&quot;#,##0.00\)">
                  <c:v>3.3187559634261912</c:v>
                </c:pt>
                <c:pt idx="30" formatCode="&quot;$&quot;#,##0.00_);[Red]\(&quot;$&quot;#,##0.00\)">
                  <c:v>3.387640406652991</c:v>
                </c:pt>
                <c:pt idx="31" formatCode="&quot;$&quot;#,##0.00_);[Red]\(&quot;$&quot;#,##0.00\)">
                  <c:v>3.4579546225328461</c:v>
                </c:pt>
                <c:pt idx="32" formatCode="&quot;$&quot;#,##0.00_);[Red]\(&quot;$&quot;#,##0.00\)">
                  <c:v>3.5297282875753377</c:v>
                </c:pt>
                <c:pt idx="33" formatCode="&quot;$&quot;#,##0.00_);[Red]\(&quot;$&quot;#,##0.00\)">
                  <c:v>3.6029916942587552</c:v>
                </c:pt>
                <c:pt idx="34" formatCode="&quot;$&quot;#,##0.00_);[Red]\(&quot;$&quot;#,##0.00\)">
                  <c:v>3.6777757638152244</c:v>
                </c:pt>
                <c:pt idx="35" formatCode="&quot;$&quot;#,##0.00_);[Red]\(&quot;$&quot;#,##0.00\)">
                  <c:v>3.7541120592811574</c:v>
                </c:pt>
                <c:pt idx="36" formatCode="&quot;$&quot;#,##0.00_);[Red]\(&quot;$&quot;#,##0.00\)">
                  <c:v>3.8320327988186431</c:v>
                </c:pt>
                <c:pt idx="37" formatCode="&quot;$&quot;#,##0.00_);[Red]\(&quot;$&quot;#,##0.00\)">
                  <c:v>3.9115708693132727</c:v>
                </c:pt>
                <c:pt idx="38" formatCode="&quot;$&quot;#,##0.00_);[Red]\(&quot;$&quot;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F-4105-B4A4-47192183A7B7}"/>
            </c:ext>
          </c:extLst>
        </c:ser>
        <c:ser>
          <c:idx val="1"/>
          <c:order val="1"/>
          <c:tx>
            <c:strRef>
              <c:f>'RIN Curves'!$I$2</c:f>
              <c:strCache>
                <c:ptCount val="1"/>
                <c:pt idx="0">
                  <c:v>$2.39 esc. @ 1.0%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'RIN Curves'!$G$6:$G$44</c:f>
              <c:numCache>
                <c:formatCode>General</c:formatCode>
                <c:ptCount val="3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</c:numCache>
            </c:numRef>
          </c:cat>
          <c:val>
            <c:numRef>
              <c:f>'RIN Curves'!$I$6:$I$44</c:f>
              <c:numCache>
                <c:formatCode>"$"#,##0.00_);[Red]\("$"#,##0.00\)</c:formatCode>
                <c:ptCount val="39"/>
                <c:pt idx="15">
                  <c:v>2.39</c:v>
                </c:pt>
                <c:pt idx="16">
                  <c:v>2.4138999999999999</c:v>
                </c:pt>
                <c:pt idx="17">
                  <c:v>2.4380389999999998</c:v>
                </c:pt>
                <c:pt idx="18">
                  <c:v>2.46241939</c:v>
                </c:pt>
                <c:pt idx="19">
                  <c:v>2.4870435838999998</c:v>
                </c:pt>
                <c:pt idx="20">
                  <c:v>2.5119140197389997</c:v>
                </c:pt>
                <c:pt idx="21">
                  <c:v>2.5370331599363896</c:v>
                </c:pt>
                <c:pt idx="22">
                  <c:v>2.5624034915357536</c:v>
                </c:pt>
                <c:pt idx="23">
                  <c:v>2.588027526451111</c:v>
                </c:pt>
                <c:pt idx="24">
                  <c:v>2.6139078017156221</c:v>
                </c:pt>
                <c:pt idx="25">
                  <c:v>2.6400468797327785</c:v>
                </c:pt>
                <c:pt idx="26">
                  <c:v>2.6664473485301063</c:v>
                </c:pt>
                <c:pt idx="27">
                  <c:v>2.6931118220154073</c:v>
                </c:pt>
                <c:pt idx="28">
                  <c:v>2.7200429402355613</c:v>
                </c:pt>
                <c:pt idx="29">
                  <c:v>2.7472433696379168</c:v>
                </c:pt>
                <c:pt idx="30">
                  <c:v>2.774715803334296</c:v>
                </c:pt>
                <c:pt idx="31">
                  <c:v>2.8024629613676391</c:v>
                </c:pt>
                <c:pt idx="32">
                  <c:v>2.8304875909813156</c:v>
                </c:pt>
                <c:pt idx="33">
                  <c:v>2.8587924668911286</c:v>
                </c:pt>
                <c:pt idx="34">
                  <c:v>2.8873803915600398</c:v>
                </c:pt>
                <c:pt idx="35">
                  <c:v>2.91625419547564</c:v>
                </c:pt>
                <c:pt idx="36">
                  <c:v>2.9454167374303966</c:v>
                </c:pt>
                <c:pt idx="37">
                  <c:v>2.9748709048047006</c:v>
                </c:pt>
                <c:pt idx="38">
                  <c:v>3.0046196138527477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F-4105-B4A4-47192183A7B7}"/>
            </c:ext>
          </c:extLst>
        </c:ser>
        <c:ser>
          <c:idx val="2"/>
          <c:order val="2"/>
          <c:tx>
            <c:strRef>
              <c:f>'RIN Curves'!$J$2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'RIN Curves'!$G$6:$G$44</c:f>
              <c:numCache>
                <c:formatCode>General</c:formatCode>
                <c:ptCount val="3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</c:numCache>
            </c:numRef>
          </c:cat>
          <c:val>
            <c:numRef>
              <c:f>'RIN Curves'!$J$6:$J$44</c:f>
              <c:numCache>
                <c:formatCode>"$"#,##0.00_);[Red]\("$"#,##0.00\)</c:formatCode>
                <c:ptCount val="39"/>
                <c:pt idx="0">
                  <c:v>0.73499999999999999</c:v>
                </c:pt>
                <c:pt idx="1">
                  <c:v>0.94537037037037053</c:v>
                </c:pt>
                <c:pt idx="2">
                  <c:v>1.1598290598290604</c:v>
                </c:pt>
                <c:pt idx="3">
                  <c:v>2.0779230769230783</c:v>
                </c:pt>
                <c:pt idx="4">
                  <c:v>2.4494690265486727</c:v>
                </c:pt>
                <c:pt idx="5">
                  <c:v>1.8759259259259262</c:v>
                </c:pt>
                <c:pt idx="6">
                  <c:v>1.4938524590163935</c:v>
                </c:pt>
                <c:pt idx="7">
                  <c:v>2.1900714285714296</c:v>
                </c:pt>
                <c:pt idx="8">
                  <c:v>2.780357142857143</c:v>
                </c:pt>
                <c:pt idx="9">
                  <c:v>2.7842567567567564</c:v>
                </c:pt>
                <c:pt idx="10">
                  <c:v>2.7536206896551727</c:v>
                </c:pt>
                <c:pt idx="11">
                  <c:v>2.8623015873015891</c:v>
                </c:pt>
                <c:pt idx="12">
                  <c:v>2.4357407407407408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6-4764-A897-6313CA01770B}"/>
            </c:ext>
          </c:extLst>
        </c:ser>
        <c:ser>
          <c:idx val="3"/>
          <c:order val="3"/>
          <c:tx>
            <c:strRef>
              <c:f>'RIN Curves'!$K$2</c:f>
              <c:strCache>
                <c:ptCount val="1"/>
                <c:pt idx="0">
                  <c:v>Hist Extrapolated @ 2.6% ( 25% of 2013-2025 CAGR)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'RIN Curves'!$G$6:$G$44</c:f>
              <c:numCache>
                <c:formatCode>General</c:formatCode>
                <c:ptCount val="3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</c:numCache>
            </c:numRef>
          </c:cat>
          <c:val>
            <c:numRef>
              <c:f>'RIN Curves'!$K$6:$K$44</c:f>
              <c:numCache>
                <c:formatCode>General</c:formatCode>
                <c:ptCount val="39"/>
                <c:pt idx="15" formatCode="&quot;$&quot;#,##0.00_);[Red]\(&quot;$&quot;#,##0.00\)">
                  <c:v>2.4996784684382667</c:v>
                </c:pt>
                <c:pt idx="16" formatCode="&quot;$&quot;#,##0.00_);[Red]\(&quot;$&quot;#,##0.00\)">
                  <c:v>2.5652945492358357</c:v>
                </c:pt>
                <c:pt idx="17" formatCode="&quot;$&quot;#,##0.00_);[Red]\(&quot;$&quot;#,##0.00\)">
                  <c:v>2.6326330395807105</c:v>
                </c:pt>
                <c:pt idx="18" formatCode="&quot;$&quot;#,##0.00_);[Red]\(&quot;$&quot;#,##0.00\)">
                  <c:v>2.7017391523934529</c:v>
                </c:pt>
                <c:pt idx="19" formatCode="&quot;$&quot;#,##0.00_);[Red]\(&quot;$&quot;#,##0.00\)">
                  <c:v>2.7726592874251246</c:v>
                </c:pt>
                <c:pt idx="20" formatCode="&quot;$&quot;#,##0.00_);[Red]\(&quot;$&quot;#,##0.00\)">
                  <c:v>2.8454410624113624</c:v>
                </c:pt>
                <c:pt idx="21" formatCode="&quot;$&quot;#,##0.00_);[Red]\(&quot;$&quot;#,##0.00\)">
                  <c:v>2.9201333450442379</c:v>
                </c:pt>
                <c:pt idx="22" formatCode="&quot;$&quot;#,##0.00_);[Red]\(&quot;$&quot;#,##0.00\)">
                  <c:v>2.9967862857833762</c:v>
                </c:pt>
                <c:pt idx="23" formatCode="&quot;$&quot;#,##0.00_);[Red]\(&quot;$&quot;#,##0.00\)">
                  <c:v>3.0754513515283568</c:v>
                </c:pt>
                <c:pt idx="24" formatCode="&quot;$&quot;#,##0.00_);[Red]\(&quot;$&quot;#,##0.00\)">
                  <c:v>3.1561813601750113</c:v>
                </c:pt>
                <c:pt idx="25" formatCode="&quot;$&quot;#,##0.00_);[Red]\(&quot;$&quot;#,##0.00\)">
                  <c:v>3.2390305160788158</c:v>
                </c:pt>
                <c:pt idx="26" formatCode="&quot;$&quot;#,##0.00_);[Red]\(&quot;$&quot;#,##0.00\)">
                  <c:v>3.3240544464491899</c:v>
                </c:pt>
                <c:pt idx="27" formatCode="&quot;$&quot;#,##0.00_);[Red]\(&quot;$&quot;#,##0.00\)">
                  <c:v>3.4113102386991421</c:v>
                </c:pt>
                <c:pt idx="28" formatCode="&quot;$&quot;#,##0.00_);[Red]\(&quot;$&quot;#,##0.00\)">
                  <c:v>3.5008564787753325</c:v>
                </c:pt>
                <c:pt idx="29" formatCode="&quot;$&quot;#,##0.00_);[Red]\(&quot;$&quot;#,##0.00\)">
                  <c:v>3.5927532904942945</c:v>
                </c:pt>
                <c:pt idx="30" formatCode="&quot;$&quot;#,##0.00_);[Red]\(&quot;$&quot;#,##0.00\)">
                  <c:v>3.6870623759112244</c:v>
                </c:pt>
                <c:pt idx="31" formatCode="&quot;$&quot;#,##0.00_);[Red]\(&quot;$&quot;#,##0.00\)">
                  <c:v>3.7838470567484439</c:v>
                </c:pt>
                <c:pt idx="32" formatCode="&quot;$&quot;#,##0.00_);[Red]\(&quot;$&quot;#,##0.00\)">
                  <c:v>3.8831723169113515</c:v>
                </c:pt>
                <c:pt idx="33" formatCode="&quot;$&quot;#,##0.00_);[Red]\(&quot;$&quot;#,##0.00\)">
                  <c:v>3.9851048461204099</c:v>
                </c:pt>
                <c:pt idx="34" formatCode="&quot;$&quot;#,##0.00_);[Red]\(&quot;$&quot;#,##0.00\)">
                  <c:v>4.0897130846884648</c:v>
                </c:pt>
                <c:pt idx="35" formatCode="&quot;$&quot;#,##0.00_);[Red]\(&quot;$&quot;#,##0.00\)">
                  <c:v>4.1970672694734592</c:v>
                </c:pt>
                <c:pt idx="36" formatCode="&quot;$&quot;#,##0.00_);[Red]\(&quot;$&quot;#,##0.00\)">
                  <c:v>4.3072394810373975</c:v>
                </c:pt>
                <c:pt idx="37" formatCode="&quot;$&quot;#,##0.00_);[Red]\(&quot;$&quot;#,##0.00\)">
                  <c:v>4.420303692043225</c:v>
                </c:pt>
                <c:pt idx="38" formatCode="&quot;$&quot;#,##0.00_);[Red]\(&quot;$&quot;#,##0.00\)">
                  <c:v>4.5363358169221151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6-4764-A897-6313CA017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96208"/>
        <c:axId val="46697648"/>
      </c:lineChart>
      <c:catAx>
        <c:axId val="4669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7648"/>
        <c:crosses val="autoZero"/>
        <c:auto val="1"/>
        <c:lblAlgn val="ctr"/>
        <c:lblOffset val="100"/>
        <c:noMultiLvlLbl val="0"/>
      </c:catAx>
      <c:valAx>
        <c:axId val="466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waterfall" uniqueId="{9C1F2DE0-EA5C-4EB4-A584-5FD26B3DE926}">
          <cx:dataPt idx="3">
            <cx:spPr>
              <a:solidFill>
                <a:srgbClr val="EEECE1">
                  <a:lumMod val="75000"/>
                </a:srgbClr>
              </a:solidFill>
            </cx:spPr>
          </cx:dataPt>
          <cx:dataPt idx="5">
            <cx:spPr>
              <a:solidFill>
                <a:srgbClr val="C0504D"/>
              </a:solidFill>
            </cx:spPr>
          </cx:dataPt>
          <cx:dataPt idx="7">
            <cx:spPr>
              <a:solidFill>
                <a:srgbClr val="EEECE1">
                  <a:lumMod val="75000"/>
                </a:srgbClr>
              </a:solidFill>
            </cx:spPr>
          </cx:dataPt>
          <cx:dataPt idx="8">
            <cx:spPr>
              <a:solidFill>
                <a:srgbClr val="1F497D">
                  <a:lumMod val="40000"/>
                  <a:lumOff val="60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2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200">
                  <a:latin typeface="Aptos Narrow" panose="020B00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6"/>
              <cx:idx val="8"/>
            </cx:subtotals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waterfall" uniqueId="{9C1F2DE0-EA5C-4EB4-A584-5FD26B3DE926}">
          <cx:dataPt idx="5">
            <cx:spPr>
              <a:solidFill>
                <a:srgbClr val="9BBB59">
                  <a:lumMod val="75000"/>
                </a:srgbClr>
              </a:solidFill>
            </cx:spPr>
          </cx:dataPt>
          <cx:dataPt idx="7">
            <cx:spPr>
              <a:solidFill>
                <a:srgbClr val="EEECE1">
                  <a:lumMod val="75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2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200">
                  <a:latin typeface="Aptos Narrow" panose="020B00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5"/>
            </cx:subtotals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waterfall" uniqueId="{9C1F2DE0-EA5C-4EB4-A584-5FD26B3DE926}">
          <cx:dataPt idx="5">
            <cx:spPr>
              <a:solidFill>
                <a:srgbClr val="9BBB59">
                  <a:lumMod val="75000"/>
                </a:srgbClr>
              </a:solidFill>
            </cx:spPr>
          </cx:dataPt>
          <cx:dataPt idx="7">
            <cx:spPr>
              <a:solidFill>
                <a:srgbClr val="EEECE1">
                  <a:lumMod val="75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2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200">
                  <a:latin typeface="Aptos Narrow" panose="020B00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5"/>
            </cx:subtotals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waterfall" uniqueId="{9C1F2DE0-EA5C-4EB4-A584-5FD26B3DE926}">
          <cx:dataPt idx="5">
            <cx:spPr>
              <a:solidFill>
                <a:srgbClr val="9BBB59">
                  <a:lumMod val="75000"/>
                </a:srgbClr>
              </a:solidFill>
            </cx:spPr>
          </cx:dataPt>
          <cx:dataPt idx="6">
            <cx:spPr>
              <a:solidFill>
                <a:srgbClr val="EEECE1">
                  <a:lumMod val="75000"/>
                </a:srgbClr>
              </a:solidFill>
            </cx:spPr>
          </cx:dataPt>
          <cx:dataPt idx="7">
            <cx:spPr>
              <a:solidFill>
                <a:srgbClr val="EEECE1">
                  <a:lumMod val="75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2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200">
                  <a:latin typeface="Aptos Narrow" panose="020B00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5"/>
            </cx:subtotals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/>
            </a:pPr>
            <a:endParaRPr lang="en-US" sz="1200"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waterfall" uniqueId="{D7F3862F-9BEE-4F1C-897B-0789D1F5C7D8}">
          <cx:dataPt idx="1">
            <cx:spPr>
              <a:pattFill prst="ltUpDiag">
                <a:fgClr>
                  <a:srgbClr val="4F81BD"/>
                </a:fgClr>
                <a:bgClr>
                  <a:sysClr val="window" lastClr="FFFFFF"/>
                </a:bgClr>
              </a:pattFill>
              <a:ln>
                <a:solidFill>
                  <a:srgbClr val="4F81BD"/>
                </a:solidFill>
                <a:prstDash val="dash"/>
              </a:ln>
            </cx:spPr>
          </cx:dataPt>
          <cx:dataPt idx="7">
            <cx:spPr>
              <a:solidFill>
                <a:srgbClr val="9BBB59"/>
              </a:solidFill>
            </cx:spPr>
          </cx:dataPt>
          <cx:dataPt idx="8">
            <cx:spPr>
              <a:solidFill>
                <a:srgbClr val="EEECE1">
                  <a:lumMod val="75000"/>
                </a:srgbClr>
              </a:solidFill>
            </cx:spPr>
          </cx:dataPt>
          <cx:dataPt idx="9">
            <cx:spPr>
              <a:solidFill>
                <a:srgbClr val="EEECE1">
                  <a:lumMod val="75000"/>
                </a:srgbClr>
              </a:solidFill>
            </cx:spPr>
          </cx:dataPt>
          <cx:dataPt idx="10">
            <cx:spPr>
              <a:solidFill>
                <a:srgbClr val="1F497D">
                  <a:lumMod val="40000"/>
                  <a:lumOff val="60000"/>
                </a:srgbClr>
              </a:solidFill>
            </cx:spPr>
          </cx:dataPt>
          <cx:dataPt idx="12">
            <cx:spPr>
              <a:solidFill>
                <a:srgbClr val="EEECE1">
                  <a:lumMod val="75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0B0004020202020204" pitchFamily="34" charset="0"/>
                </a:endParaRPr>
              </a:p>
            </cx:txP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1200" b="0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0B0004020202020204" pitchFamily="34" charset="0"/>
                    </a:rPr>
                    <a:t> 355.0 </a:t>
                  </a:r>
                </a:p>
              </cx:txPr>
            </cx:dataLabel>
          </cx:dataLabels>
          <cx:dataId val="0"/>
          <cx:layoutPr>
            <cx:visibility connectorLines="0"/>
            <cx:subtotals>
              <cx:idx val="2"/>
              <cx:idx val="3"/>
              <cx:idx val="7"/>
              <cx:idx val="10"/>
              <cx:idx val="11"/>
            </cx:subtotals>
          </cx:layoutPr>
        </cx:series>
      </cx:plotAreaRegion>
      <cx:axis id="0" hidden="1">
        <cx:catScaling gapWidth="0.5"/>
        <cx:tickLabels/>
      </cx:axis>
      <cx:axis id="1" hidden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plotArea>
      <cx:plotAreaRegion>
        <cx:series layoutId="waterfall" uniqueId="{0941CFC4-CC60-48C5-A3EF-24AE8A094F8B}">
          <cx:dataPt idx="1">
            <cx:spPr>
              <a:pattFill prst="ltUpDiag">
                <a:fgClr>
                  <a:srgbClr val="4F81BD"/>
                </a:fgClr>
                <a:bgClr>
                  <a:sysClr val="window" lastClr="FFFFFF"/>
                </a:bgClr>
              </a:pattFill>
              <a:ln w="15875">
                <a:solidFill>
                  <a:srgbClr val="4F81BD"/>
                </a:solidFill>
                <a:prstDash val="dash"/>
              </a:ln>
            </cx:spPr>
          </cx:dataPt>
          <cx:dataPt idx="7">
            <cx:spPr>
              <a:solidFill>
                <a:srgbClr val="EEECE1">
                  <a:lumMod val="75000"/>
                </a:srgbClr>
              </a:solidFill>
            </cx:spPr>
          </cx:dataPt>
          <cx:dataPt idx="8">
            <cx:spPr>
              <a:solidFill>
                <a:srgbClr val="EEECE1">
                  <a:lumMod val="75000"/>
                </a:srgbClr>
              </a:solidFill>
            </cx:spPr>
          </cx:dataPt>
          <cx:dataPt idx="9">
            <cx:spPr>
              <a:solidFill>
                <a:srgbClr val="EEECE1">
                  <a:lumMod val="75000"/>
                </a:srgbClr>
              </a:solidFill>
            </cx:spPr>
          </cx:dataPt>
          <cx:dataPt idx="10">
            <cx:spPr>
              <a:solidFill>
                <a:srgbClr val="1F497D">
                  <a:lumMod val="20000"/>
                  <a:lumOff val="8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0B0004020202020204" pitchFamily="34" charset="0"/>
                </a:endParaRPr>
              </a:p>
            </cx:txPr>
          </cx:dataLabels>
          <cx:dataId val="0"/>
          <cx:layoutPr>
            <cx:subtotals>
              <cx:idx val="2"/>
              <cx:idx val="6"/>
              <cx:idx val="10"/>
            </cx:subtotals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000">
              <a:latin typeface="Aptos Narrow" panose="020B0004020202020204" pitchFamily="34" charset="0"/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>
              <a:latin typeface="Aptos Narrow" panose="020B00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image" Target="../media/image3.png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343164</xdr:colOff>
      <xdr:row>27</xdr:row>
      <xdr:rowOff>38894</xdr:rowOff>
    </xdr:from>
    <xdr:to>
      <xdr:col>23</xdr:col>
      <xdr:colOff>705964</xdr:colOff>
      <xdr:row>43</xdr:row>
      <xdr:rowOff>27679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AAF67-6A12-AAF2-DD4D-6276B48D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1852" y="5182394"/>
          <a:ext cx="6540026" cy="28473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357188</xdr:colOff>
      <xdr:row>43</xdr:row>
      <xdr:rowOff>23812</xdr:rowOff>
    </xdr:from>
    <xdr:to>
      <xdr:col>24</xdr:col>
      <xdr:colOff>142707</xdr:colOff>
      <xdr:row>62</xdr:row>
      <xdr:rowOff>1032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3838A3-BC29-7AD1-D130-15F18B83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6219" y="8536781"/>
          <a:ext cx="6335009" cy="3600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11</xdr:col>
      <xdr:colOff>122238</xdr:colOff>
      <xdr:row>31</xdr:row>
      <xdr:rowOff>7674</xdr:rowOff>
    </xdr:from>
    <xdr:to>
      <xdr:col>16</xdr:col>
      <xdr:colOff>343164</xdr:colOff>
      <xdr:row>35</xdr:row>
      <xdr:rowOff>29052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F072A2E-0A5D-CB9D-3AFF-2A1F581A18C3}"/>
            </a:ext>
          </a:extLst>
        </xdr:cNvPr>
        <xdr:cNvCxnSpPr>
          <a:stCxn id="2" idx="1"/>
        </xdr:cNvCxnSpPr>
      </xdr:nvCxnSpPr>
      <xdr:spPr>
        <a:xfrm flipH="1" flipV="1">
          <a:off x="5039519" y="5865549"/>
          <a:ext cx="3852333" cy="735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30</xdr:row>
      <xdr:rowOff>166687</xdr:rowOff>
    </xdr:from>
    <xdr:to>
      <xdr:col>16</xdr:col>
      <xdr:colOff>357188</xdr:colOff>
      <xdr:row>52</xdr:row>
      <xdr:rowOff>109789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5369DCF-3D61-4EE8-BEA1-70DA0A563077}"/>
            </a:ext>
          </a:extLst>
        </xdr:cNvPr>
        <xdr:cNvCxnSpPr>
          <a:stCxn id="3" idx="1"/>
        </xdr:cNvCxnSpPr>
      </xdr:nvCxnSpPr>
      <xdr:spPr>
        <a:xfrm flipH="1" flipV="1">
          <a:off x="7989094" y="6203156"/>
          <a:ext cx="3667125" cy="41341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10583</xdr:colOff>
      <xdr:row>0</xdr:row>
      <xdr:rowOff>222249</xdr:rowOff>
    </xdr:from>
    <xdr:to>
      <xdr:col>19</xdr:col>
      <xdr:colOff>306893</xdr:colOff>
      <xdr:row>15</xdr:row>
      <xdr:rowOff>236160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29A3E-457D-40E7-5AF6-DDCC9D07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708" y="222249"/>
          <a:ext cx="8583083" cy="3818658"/>
        </a:xfrm>
        <a:prstGeom prst="rect">
          <a:avLst/>
        </a:prstGeom>
      </xdr:spPr>
    </xdr:pic>
    <xdr:clientData/>
  </xdr:twoCellAnchor>
  <xdr:twoCellAnchor>
    <xdr:from>
      <xdr:col>11</xdr:col>
      <xdr:colOff>415395</xdr:colOff>
      <xdr:row>43</xdr:row>
      <xdr:rowOff>159014</xdr:rowOff>
    </xdr:from>
    <xdr:to>
      <xdr:col>25</xdr:col>
      <xdr:colOff>384175</xdr:colOff>
      <xdr:row>68</xdr:row>
      <xdr:rowOff>18786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E679E16-331F-CC0D-9485-4A459385D6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528" y="11275747"/>
              <a:ext cx="9247189" cy="4385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398990</xdr:colOff>
      <xdr:row>22</xdr:row>
      <xdr:rowOff>28839</xdr:rowOff>
    </xdr:from>
    <xdr:to>
      <xdr:col>25</xdr:col>
      <xdr:colOff>373062</xdr:colOff>
      <xdr:row>43</xdr:row>
      <xdr:rowOff>48947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159102A-9FFA-FF9B-8B6E-6CA1BD796D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1007" y="6847681"/>
              <a:ext cx="9257772" cy="4313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401107</xdr:colOff>
      <xdr:row>22</xdr:row>
      <xdr:rowOff>25664</xdr:rowOff>
    </xdr:from>
    <xdr:to>
      <xdr:col>25</xdr:col>
      <xdr:colOff>369887</xdr:colOff>
      <xdr:row>43</xdr:row>
      <xdr:rowOff>52122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AFD5D42-9113-AB1D-69B2-ECE522AEAD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8890" y="6848739"/>
              <a:ext cx="9260947" cy="43158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401107</xdr:colOff>
      <xdr:row>22</xdr:row>
      <xdr:rowOff>25664</xdr:rowOff>
    </xdr:from>
    <xdr:to>
      <xdr:col>25</xdr:col>
      <xdr:colOff>369887</xdr:colOff>
      <xdr:row>43</xdr:row>
      <xdr:rowOff>52122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32404FF-E937-64C4-308F-C475C048CF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8890" y="6848739"/>
              <a:ext cx="9260947" cy="43158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20</xdr:col>
      <xdr:colOff>0</xdr:colOff>
      <xdr:row>18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0EF33-821A-4A35-8B33-B74753767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170509</xdr:colOff>
      <xdr:row>22</xdr:row>
      <xdr:rowOff>25871</xdr:rowOff>
    </xdr:from>
    <xdr:to>
      <xdr:col>19</xdr:col>
      <xdr:colOff>170444</xdr:colOff>
      <xdr:row>53</xdr:row>
      <xdr:rowOff>74659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25F075-3AA3-E9B3-6099-B41E4B3E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0953" y="4061649"/>
          <a:ext cx="7088416" cy="59100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128057</xdr:colOff>
      <xdr:row>7</xdr:row>
      <xdr:rowOff>4762</xdr:rowOff>
    </xdr:from>
    <xdr:to>
      <xdr:col>31</xdr:col>
      <xdr:colOff>78317</xdr:colOff>
      <xdr:row>29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3FCF9-435F-C137-C781-45DC12D71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883581</xdr:colOff>
      <xdr:row>45</xdr:row>
      <xdr:rowOff>98641</xdr:rowOff>
    </xdr:from>
    <xdr:to>
      <xdr:col>22</xdr:col>
      <xdr:colOff>277220</xdr:colOff>
      <xdr:row>59</xdr:row>
      <xdr:rowOff>91857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1B0572F-FF67-3C10-0651-98047BE1A7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1764" y="8459474"/>
              <a:ext cx="9252014" cy="253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67</xdr:row>
      <xdr:rowOff>0</xdr:rowOff>
    </xdr:from>
    <xdr:to>
      <xdr:col>26</xdr:col>
      <xdr:colOff>537984</xdr:colOff>
      <xdr:row>88</xdr:row>
      <xdr:rowOff>11844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B9102A2-A9BD-4A41-954F-88851E9973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7125" y="12344400"/>
              <a:ext cx="12982926" cy="3809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.sharepoint.com/sites/Corp/Shared%20Documents/4.%20Projects%20&amp;%20Key%20Partners/Greenfield/Food/Missouri%20Organic%20Recycling%20(Kansas,%20MO)/10.%20Analytics/BRNG_Missouri%20Organics_v05.xlsx" TargetMode="External"/><Relationship Id="rId1" Type="http://schemas.openxmlformats.org/officeDocument/2006/relationships/externalLinkPath" Target="/sites/Corp/Shared%20Documents/4.%20Projects%20&amp;%20Key%20Partners/Greenfield/Food/Missouri%20Organic%20Recycling%20(Kansas,%20MO)/10.%20Analytics/BRNG_Missouri%20Organics_v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.sharepoint.com/sites/Corp/Shared%20Documents/4.%20Projects%20&amp;%20Key%20Partners/Greenfield/WWTP/South/Nashville/02%20Financial%20Model%20&amp;%20Support/00%20Archive/Nashville%20Econ%20Model%20(BRA%20Discussion)_v2.xlsx" TargetMode="External"/><Relationship Id="rId1" Type="http://schemas.openxmlformats.org/officeDocument/2006/relationships/externalLinkPath" Target="file:///C:\Users\JonniAnwar\OneDrive%20-%20Burnham%20RNG\Greenfield%20Development\WWTP\South\Nashville\02%20Financial%20Model%20&amp;%20Support\00%20Archive\Nashville%20Econ%20Model%20(BRA%20Discussion)_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.sharepoint.com/sites/Corp/Shared%20Documents/4.%20Projects%20&amp;%20Key%20Partners/Greenfield/WWTP/South/Nashville/02%20Financial%20Model%20&amp;%20Support/00%20Archive/Nashville%20Econ%20Model%20(BRA%20Discussion)_v10.xlsx" TargetMode="External"/><Relationship Id="rId1" Type="http://schemas.openxmlformats.org/officeDocument/2006/relationships/externalLinkPath" Target="file:///C:\Users\JonniAnwar\OneDrive%20-%20Burnham%20RNG\Greenfield%20Development\WWTP\South\Nashville\02%20Financial%20Model%20&amp;%20Support\00%20Archive\Nashville%20Econ%20Model%20(BRA%20Discussion)_v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-my.sharepoint.com/personal/jonni_burnhamrng_com/Documents/Desktop/GPSD%20Phase%202%20Refaire_v1.xlsx" TargetMode="External"/><Relationship Id="rId1" Type="http://schemas.openxmlformats.org/officeDocument/2006/relationships/externalLinkPath" Target="https://burnhamdev-my.sharepoint.com/personal/jonni_burnhamrng_com/Documents/Desktop/GPSD%20Phase%202%20Refaire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- Base"/>
      <sheetName val="Capex"/>
      <sheetName val="OPEX"/>
      <sheetName val="HenryHub"/>
      <sheetName val="Feedstock Tracker"/>
      <sheetName val="MassBalance _v8"/>
      <sheetName val="Reference NLA "/>
      <sheetName val="COD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id Form"/>
      <sheetName val="MODEL"/>
      <sheetName val="Simple Model"/>
      <sheetName val="FeedStock"/>
      <sheetName val="RNG Pricing"/>
      <sheetName val="RIN Sagepoint Case"/>
      <sheetName val="HenryHub"/>
      <sheetName val="Capex"/>
      <sheetName val="GUU_Capex"/>
      <sheetName val="OPEX"/>
      <sheetName val="FIXED"/>
      <sheetName val="Mass Balance"/>
      <sheetName val="Export_Monthly"/>
      <sheetName val="Other&gt;&gt;"/>
      <sheetName val="Sheet2"/>
      <sheetName val="M.3 - 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id Form"/>
      <sheetName val="MODEL"/>
      <sheetName val="Simple Model"/>
      <sheetName val="FeedStock"/>
      <sheetName val="RNG Pricing"/>
      <sheetName val="RIN Sagepoint Case"/>
      <sheetName val="HenryHub"/>
      <sheetName val="Capex"/>
      <sheetName val="GUU_Capex"/>
      <sheetName val="OPEX"/>
      <sheetName val="FIXED"/>
      <sheetName val="Mass Balance"/>
      <sheetName val="Export_Monthly"/>
      <sheetName val="Other&gt;&gt;"/>
      <sheetName val="Sheet2"/>
      <sheetName val="M.3 - 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Model"/>
      <sheetName val="Capex"/>
      <sheetName val="Feedstock"/>
      <sheetName val="HenryHub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Szambelan" refreshedDate="45972.407924074076" createdVersion="8" refreshedVersion="8" minRefreshableVersion="3" recordCount="1372" xr:uid="{68EE648E-EB6C-492E-B15A-F20306046B43}">
  <cacheSource type="worksheet">
    <worksheetSource ref="A1:G1373" sheet="D3 RIN Price Aug'13 - Sep'25"/>
  </cacheSource>
  <cacheFields count="7">
    <cacheField name="Transfer Date by Week" numFmtId="14">
      <sharedItems containsSemiMixedTypes="0" containsNonDate="0" containsDate="1" containsString="0" minDate="2013-08-26T00:00:00" maxDate="2025-09-23T00:00:00"/>
    </cacheField>
    <cacheField name="Month" numFmtId="0">
      <sharedItems containsSemiMixedTypes="0" containsString="0" containsNumber="1" containsInteger="1" minValue="1" maxValue="12" count="12">
        <n v="8"/>
        <n v="4"/>
        <n v="9"/>
        <n v="10"/>
        <n v="11"/>
        <n v="12"/>
        <n v="1"/>
        <n v="2"/>
        <n v="3"/>
        <n v="5"/>
        <n v="6"/>
        <n v="7"/>
      </sharedItems>
    </cacheField>
    <cacheField name="Transfer Year" numFmtId="0">
      <sharedItems containsSemiMixedTypes="0" containsString="0" containsNumber="1" containsInteger="1" minValue="2013" maxValue="2025"/>
    </cacheField>
    <cacheField name="RIN Year" numFmtId="0">
      <sharedItems containsSemiMixedTypes="0" containsString="0" containsNumber="1" containsInteger="1" minValue="2013" maxValue="2025" count="13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Fuel (D Code)" numFmtId="0">
      <sharedItems/>
    </cacheField>
    <cacheField name="QAP Service Type" numFmtId="0">
      <sharedItems/>
    </cacheField>
    <cacheField name="RIN Price" numFmtId="8">
      <sharedItems containsSemiMixedTypes="0" containsString="0" containsNumber="1" minValue="0.43" maxValue="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2">
  <r>
    <d v="2013-08-26T00:00:00"/>
    <x v="0"/>
    <n v="2013"/>
    <x v="0"/>
    <s v="D3"/>
    <s v="Unverified"/>
    <n v="1.2"/>
  </r>
  <r>
    <d v="2014-04-28T00:00:00"/>
    <x v="1"/>
    <n v="2014"/>
    <x v="0"/>
    <s v="D3"/>
    <s v="Unverified"/>
    <n v="0.7"/>
  </r>
  <r>
    <d v="2014-08-11T00:00:00"/>
    <x v="0"/>
    <n v="2014"/>
    <x v="0"/>
    <s v="D3"/>
    <s v="Unverified"/>
    <n v="0.52"/>
  </r>
  <r>
    <d v="2014-08-11T00:00:00"/>
    <x v="0"/>
    <n v="2014"/>
    <x v="1"/>
    <s v="D3"/>
    <s v="Unverified"/>
    <n v="0.52"/>
  </r>
  <r>
    <d v="2014-08-25T00:00:00"/>
    <x v="0"/>
    <n v="2014"/>
    <x v="1"/>
    <s v="D3"/>
    <s v="Unverified"/>
    <n v="0.95"/>
  </r>
  <r>
    <d v="2014-09-29T00:00:00"/>
    <x v="2"/>
    <n v="2014"/>
    <x v="1"/>
    <s v="D3"/>
    <s v="Unverified"/>
    <n v="0.91"/>
  </r>
  <r>
    <d v="2014-10-06T00:00:00"/>
    <x v="3"/>
    <n v="2014"/>
    <x v="1"/>
    <s v="D3"/>
    <s v="Unverified"/>
    <n v="0.53"/>
  </r>
  <r>
    <d v="2014-10-20T00:00:00"/>
    <x v="3"/>
    <n v="2014"/>
    <x v="1"/>
    <s v="D3"/>
    <s v="Unverified"/>
    <n v="0.75"/>
  </r>
  <r>
    <d v="2014-10-27T00:00:00"/>
    <x v="3"/>
    <n v="2014"/>
    <x v="1"/>
    <s v="D3"/>
    <s v="Unverified"/>
    <n v="0.93"/>
  </r>
  <r>
    <d v="2014-11-24T00:00:00"/>
    <x v="4"/>
    <n v="2014"/>
    <x v="1"/>
    <s v="D3"/>
    <s v="Unverified"/>
    <n v="0.82"/>
  </r>
  <r>
    <d v="2014-12-01T00:00:00"/>
    <x v="5"/>
    <n v="2014"/>
    <x v="1"/>
    <s v="D3"/>
    <s v="Unverified"/>
    <n v="0.84"/>
  </r>
  <r>
    <d v="2014-12-08T00:00:00"/>
    <x v="5"/>
    <n v="2014"/>
    <x v="1"/>
    <s v="D3"/>
    <s v="Unverified"/>
    <n v="0.56000000000000005"/>
  </r>
  <r>
    <d v="2014-12-22T00:00:00"/>
    <x v="5"/>
    <n v="2014"/>
    <x v="1"/>
    <s v="D3"/>
    <s v="Unverified"/>
    <n v="0.84"/>
  </r>
  <r>
    <d v="2015-01-05T00:00:00"/>
    <x v="6"/>
    <n v="2015"/>
    <x v="1"/>
    <s v="D3"/>
    <s v="Unverified"/>
    <n v="0.63"/>
  </r>
  <r>
    <d v="2015-01-26T00:00:00"/>
    <x v="6"/>
    <n v="2015"/>
    <x v="1"/>
    <s v="D3"/>
    <s v="Unverified"/>
    <n v="0.64"/>
  </r>
  <r>
    <d v="2015-02-16T00:00:00"/>
    <x v="7"/>
    <n v="2015"/>
    <x v="1"/>
    <s v="D3"/>
    <s v="Unverified"/>
    <n v="0.75"/>
  </r>
  <r>
    <d v="2015-02-23T00:00:00"/>
    <x v="7"/>
    <n v="2015"/>
    <x v="1"/>
    <s v="D3"/>
    <s v="Unverified"/>
    <n v="0.8"/>
  </r>
  <r>
    <d v="2015-03-02T00:00:00"/>
    <x v="8"/>
    <n v="2015"/>
    <x v="1"/>
    <s v="D3"/>
    <s v="Unverified"/>
    <n v="0.63"/>
  </r>
  <r>
    <d v="2015-03-02T00:00:00"/>
    <x v="8"/>
    <n v="2015"/>
    <x v="2"/>
    <s v="D3"/>
    <s v="Q-RIN"/>
    <n v="0.6"/>
  </r>
  <r>
    <d v="2015-03-02T00:00:00"/>
    <x v="8"/>
    <n v="2015"/>
    <x v="2"/>
    <s v="D3"/>
    <s v="Unverified"/>
    <n v="0.57999999999999996"/>
  </r>
  <r>
    <d v="2015-03-09T00:00:00"/>
    <x v="8"/>
    <n v="2015"/>
    <x v="1"/>
    <s v="D3"/>
    <s v="Unverified"/>
    <n v="0.73"/>
  </r>
  <r>
    <d v="2015-03-09T00:00:00"/>
    <x v="8"/>
    <n v="2015"/>
    <x v="2"/>
    <s v="D3"/>
    <s v="Unverified"/>
    <n v="0.74"/>
  </r>
  <r>
    <d v="2015-03-23T00:00:00"/>
    <x v="8"/>
    <n v="2015"/>
    <x v="2"/>
    <s v="D3"/>
    <s v="Q-RIN"/>
    <n v="1.06"/>
  </r>
  <r>
    <d v="2015-03-23T00:00:00"/>
    <x v="8"/>
    <n v="2015"/>
    <x v="2"/>
    <s v="D3"/>
    <s v="Unverified"/>
    <n v="0.76"/>
  </r>
  <r>
    <d v="2015-03-30T00:00:00"/>
    <x v="8"/>
    <n v="2015"/>
    <x v="1"/>
    <s v="D3"/>
    <s v="Unverified"/>
    <n v="0.72"/>
  </r>
  <r>
    <d v="2015-03-30T00:00:00"/>
    <x v="8"/>
    <n v="2015"/>
    <x v="2"/>
    <s v="D3"/>
    <s v="Unverified"/>
    <n v="0.77"/>
  </r>
  <r>
    <d v="2015-04-06T00:00:00"/>
    <x v="1"/>
    <n v="2015"/>
    <x v="2"/>
    <s v="D3"/>
    <s v="Q-RIN"/>
    <n v="0.77"/>
  </r>
  <r>
    <d v="2015-04-13T00:00:00"/>
    <x v="1"/>
    <n v="2015"/>
    <x v="2"/>
    <s v="D3"/>
    <s v="Q-RIN"/>
    <n v="0.67"/>
  </r>
  <r>
    <d v="2015-04-20T00:00:00"/>
    <x v="1"/>
    <n v="2015"/>
    <x v="1"/>
    <s v="D3"/>
    <s v="Unverified"/>
    <n v="0.73"/>
  </r>
  <r>
    <d v="2015-04-20T00:00:00"/>
    <x v="1"/>
    <n v="2015"/>
    <x v="2"/>
    <s v="D3"/>
    <s v="Q-RIN"/>
    <n v="1.04"/>
  </r>
  <r>
    <d v="2015-04-20T00:00:00"/>
    <x v="1"/>
    <n v="2015"/>
    <x v="2"/>
    <s v="D3"/>
    <s v="Unverified"/>
    <n v="0.81"/>
  </r>
  <r>
    <d v="2015-05-11T00:00:00"/>
    <x v="9"/>
    <n v="2015"/>
    <x v="2"/>
    <s v="D3"/>
    <s v="Unverified"/>
    <n v="0.8"/>
  </r>
  <r>
    <d v="2015-05-18T00:00:00"/>
    <x v="9"/>
    <n v="2015"/>
    <x v="2"/>
    <s v="D3"/>
    <s v="Q-RIN"/>
    <n v="1.02"/>
  </r>
  <r>
    <d v="2015-05-18T00:00:00"/>
    <x v="9"/>
    <n v="2015"/>
    <x v="2"/>
    <s v="D3"/>
    <s v="Unverified"/>
    <n v="0.84"/>
  </r>
  <r>
    <d v="2015-05-25T00:00:00"/>
    <x v="9"/>
    <n v="2015"/>
    <x v="2"/>
    <s v="D3"/>
    <s v="Q-RIN"/>
    <n v="0.98"/>
  </r>
  <r>
    <d v="2015-05-25T00:00:00"/>
    <x v="9"/>
    <n v="2015"/>
    <x v="2"/>
    <s v="D3"/>
    <s v="Unverified"/>
    <n v="1.29"/>
  </r>
  <r>
    <d v="2015-06-01T00:00:00"/>
    <x v="10"/>
    <n v="2015"/>
    <x v="2"/>
    <s v="D3"/>
    <s v="Q-RIN"/>
    <n v="1.06"/>
  </r>
  <r>
    <d v="2015-06-08T00:00:00"/>
    <x v="10"/>
    <n v="2015"/>
    <x v="1"/>
    <s v="D3"/>
    <s v="Unverified"/>
    <n v="0.89"/>
  </r>
  <r>
    <d v="2015-06-08T00:00:00"/>
    <x v="10"/>
    <n v="2015"/>
    <x v="2"/>
    <s v="D3"/>
    <s v="Q-RIN"/>
    <n v="1.28"/>
  </r>
  <r>
    <d v="2015-06-15T00:00:00"/>
    <x v="10"/>
    <n v="2015"/>
    <x v="1"/>
    <s v="D3"/>
    <s v="Unverified"/>
    <n v="0.91"/>
  </r>
  <r>
    <d v="2015-06-22T00:00:00"/>
    <x v="10"/>
    <n v="2015"/>
    <x v="1"/>
    <s v="D3"/>
    <s v="Unverified"/>
    <n v="0.95"/>
  </r>
  <r>
    <d v="2015-06-22T00:00:00"/>
    <x v="10"/>
    <n v="2015"/>
    <x v="2"/>
    <s v="D3"/>
    <s v="Q-RIN"/>
    <n v="1.04"/>
  </r>
  <r>
    <d v="2015-06-22T00:00:00"/>
    <x v="10"/>
    <n v="2015"/>
    <x v="2"/>
    <s v="D3"/>
    <s v="Unverified"/>
    <n v="0.97"/>
  </r>
  <r>
    <d v="2015-06-29T00:00:00"/>
    <x v="10"/>
    <n v="2015"/>
    <x v="2"/>
    <s v="D3"/>
    <s v="Unverified"/>
    <n v="0.99"/>
  </r>
  <r>
    <d v="2015-07-06T00:00:00"/>
    <x v="11"/>
    <n v="2015"/>
    <x v="1"/>
    <s v="D3"/>
    <s v="Unverified"/>
    <n v="1.02"/>
  </r>
  <r>
    <d v="2015-07-06T00:00:00"/>
    <x v="11"/>
    <n v="2015"/>
    <x v="2"/>
    <s v="D3"/>
    <s v="Q-RIN"/>
    <n v="0.97"/>
  </r>
  <r>
    <d v="2015-07-13T00:00:00"/>
    <x v="11"/>
    <n v="2015"/>
    <x v="2"/>
    <s v="D3"/>
    <s v="Q-RIN"/>
    <n v="0.89"/>
  </r>
  <r>
    <d v="2015-07-13T00:00:00"/>
    <x v="11"/>
    <n v="2015"/>
    <x v="2"/>
    <s v="D3"/>
    <s v="Unverified"/>
    <n v="0.77"/>
  </r>
  <r>
    <d v="2015-07-20T00:00:00"/>
    <x v="11"/>
    <n v="2015"/>
    <x v="1"/>
    <s v="D3"/>
    <s v="Unverified"/>
    <n v="1.1000000000000001"/>
  </r>
  <r>
    <d v="2015-07-20T00:00:00"/>
    <x v="11"/>
    <n v="2015"/>
    <x v="2"/>
    <s v="D3"/>
    <s v="Q-RIN"/>
    <n v="0.93"/>
  </r>
  <r>
    <d v="2015-07-20T00:00:00"/>
    <x v="11"/>
    <n v="2015"/>
    <x v="2"/>
    <s v="D3"/>
    <s v="Unverified"/>
    <n v="1.01"/>
  </r>
  <r>
    <d v="2015-07-27T00:00:00"/>
    <x v="11"/>
    <n v="2015"/>
    <x v="2"/>
    <s v="D3"/>
    <s v="Q-RIN"/>
    <n v="1.1299999999999999"/>
  </r>
  <r>
    <d v="2015-07-27T00:00:00"/>
    <x v="11"/>
    <n v="2015"/>
    <x v="2"/>
    <s v="D3"/>
    <s v="Unverified"/>
    <n v="1.22"/>
  </r>
  <r>
    <d v="2015-08-03T00:00:00"/>
    <x v="0"/>
    <n v="2015"/>
    <x v="2"/>
    <s v="D3"/>
    <s v="Q-RIN"/>
    <n v="1.02"/>
  </r>
  <r>
    <d v="2015-08-10T00:00:00"/>
    <x v="0"/>
    <n v="2015"/>
    <x v="2"/>
    <s v="D3"/>
    <s v="Q-RIN"/>
    <n v="1.0900000000000001"/>
  </r>
  <r>
    <d v="2015-08-17T00:00:00"/>
    <x v="0"/>
    <n v="2015"/>
    <x v="2"/>
    <s v="D3"/>
    <s v="Q-RIN"/>
    <n v="0.91"/>
  </r>
  <r>
    <d v="2015-08-24T00:00:00"/>
    <x v="0"/>
    <n v="2015"/>
    <x v="2"/>
    <s v="D3"/>
    <s v="Q-RIN"/>
    <n v="0.96"/>
  </r>
  <r>
    <d v="2015-08-24T00:00:00"/>
    <x v="0"/>
    <n v="2015"/>
    <x v="2"/>
    <s v="D3"/>
    <s v="Unverified"/>
    <n v="0.64"/>
  </r>
  <r>
    <d v="2015-08-31T00:00:00"/>
    <x v="0"/>
    <n v="2015"/>
    <x v="2"/>
    <s v="D3"/>
    <s v="Q-RIN"/>
    <n v="0.98"/>
  </r>
  <r>
    <d v="2015-09-07T00:00:00"/>
    <x v="2"/>
    <n v="2015"/>
    <x v="2"/>
    <s v="D3"/>
    <s v="Unverified"/>
    <n v="0.94"/>
  </r>
  <r>
    <d v="2015-09-14T00:00:00"/>
    <x v="2"/>
    <n v="2015"/>
    <x v="2"/>
    <s v="D3"/>
    <s v="Q-RIN"/>
    <n v="1.02"/>
  </r>
  <r>
    <d v="2015-09-14T00:00:00"/>
    <x v="2"/>
    <n v="2015"/>
    <x v="2"/>
    <s v="D3"/>
    <s v="Unverified"/>
    <n v="0.86"/>
  </r>
  <r>
    <d v="2015-09-21T00:00:00"/>
    <x v="2"/>
    <n v="2015"/>
    <x v="2"/>
    <s v="D3"/>
    <s v="Q-RIN"/>
    <n v="0.95"/>
  </r>
  <r>
    <d v="2015-09-21T00:00:00"/>
    <x v="2"/>
    <n v="2015"/>
    <x v="2"/>
    <s v="D3"/>
    <s v="Unverified"/>
    <n v="0.82"/>
  </r>
  <r>
    <d v="2015-09-28T00:00:00"/>
    <x v="2"/>
    <n v="2015"/>
    <x v="2"/>
    <s v="D3"/>
    <s v="Q-RIN"/>
    <n v="0.77"/>
  </r>
  <r>
    <d v="2015-09-28T00:00:00"/>
    <x v="2"/>
    <n v="2015"/>
    <x v="2"/>
    <s v="D3"/>
    <s v="Unverified"/>
    <n v="0.87"/>
  </r>
  <r>
    <d v="2015-10-05T00:00:00"/>
    <x v="3"/>
    <n v="2015"/>
    <x v="2"/>
    <s v="D3"/>
    <s v="Unverified"/>
    <n v="0.84"/>
  </r>
  <r>
    <d v="2015-10-12T00:00:00"/>
    <x v="3"/>
    <n v="2015"/>
    <x v="1"/>
    <s v="D3"/>
    <s v="Q-RIN"/>
    <n v="0.86"/>
  </r>
  <r>
    <d v="2015-10-12T00:00:00"/>
    <x v="3"/>
    <n v="2015"/>
    <x v="1"/>
    <s v="D3"/>
    <s v="Unverified"/>
    <n v="0.74"/>
  </r>
  <r>
    <d v="2015-10-12T00:00:00"/>
    <x v="3"/>
    <n v="2015"/>
    <x v="2"/>
    <s v="D3"/>
    <s v="Q-RIN"/>
    <n v="0.88"/>
  </r>
  <r>
    <d v="2015-10-12T00:00:00"/>
    <x v="3"/>
    <n v="2015"/>
    <x v="2"/>
    <s v="D3"/>
    <s v="Unverified"/>
    <n v="0.86"/>
  </r>
  <r>
    <d v="2015-10-19T00:00:00"/>
    <x v="3"/>
    <n v="2015"/>
    <x v="2"/>
    <s v="D3"/>
    <s v="Unverified"/>
    <n v="0.64"/>
  </r>
  <r>
    <d v="2015-10-26T00:00:00"/>
    <x v="3"/>
    <n v="2015"/>
    <x v="1"/>
    <s v="D3"/>
    <s v="Unverified"/>
    <n v="0.85"/>
  </r>
  <r>
    <d v="2015-10-26T00:00:00"/>
    <x v="3"/>
    <n v="2015"/>
    <x v="2"/>
    <s v="D3"/>
    <s v="Q-RIN"/>
    <n v="0.81"/>
  </r>
  <r>
    <d v="2015-10-26T00:00:00"/>
    <x v="3"/>
    <n v="2015"/>
    <x v="2"/>
    <s v="D3"/>
    <s v="Unverified"/>
    <n v="0.86"/>
  </r>
  <r>
    <d v="2015-11-09T00:00:00"/>
    <x v="4"/>
    <n v="2015"/>
    <x v="1"/>
    <s v="D3"/>
    <s v="Unverified"/>
    <n v="0.85"/>
  </r>
  <r>
    <d v="2015-11-09T00:00:00"/>
    <x v="4"/>
    <n v="2015"/>
    <x v="2"/>
    <s v="D3"/>
    <s v="Q-RIN"/>
    <n v="1.01"/>
  </r>
  <r>
    <d v="2015-11-09T00:00:00"/>
    <x v="4"/>
    <n v="2015"/>
    <x v="2"/>
    <s v="D3"/>
    <s v="Unverified"/>
    <n v="0.64"/>
  </r>
  <r>
    <d v="2015-11-16T00:00:00"/>
    <x v="4"/>
    <n v="2015"/>
    <x v="1"/>
    <s v="D3"/>
    <s v="Unverified"/>
    <n v="0.88"/>
  </r>
  <r>
    <d v="2015-11-16T00:00:00"/>
    <x v="4"/>
    <n v="2015"/>
    <x v="2"/>
    <s v="D3"/>
    <s v="Q-RIN"/>
    <n v="0.98"/>
  </r>
  <r>
    <d v="2015-11-16T00:00:00"/>
    <x v="4"/>
    <n v="2015"/>
    <x v="2"/>
    <s v="D3"/>
    <s v="Unverified"/>
    <n v="1.01"/>
  </r>
  <r>
    <d v="2015-11-23T00:00:00"/>
    <x v="4"/>
    <n v="2015"/>
    <x v="1"/>
    <s v="D3"/>
    <s v="Unverified"/>
    <n v="1.2"/>
  </r>
  <r>
    <d v="2015-11-23T00:00:00"/>
    <x v="4"/>
    <n v="2015"/>
    <x v="2"/>
    <s v="D3"/>
    <s v="Q-RIN"/>
    <n v="1.1100000000000001"/>
  </r>
  <r>
    <d v="2015-11-30T00:00:00"/>
    <x v="4"/>
    <n v="2015"/>
    <x v="2"/>
    <s v="D3"/>
    <s v="Q-RIN"/>
    <n v="0.88"/>
  </r>
  <r>
    <d v="2015-11-30T00:00:00"/>
    <x v="4"/>
    <n v="2015"/>
    <x v="2"/>
    <s v="D3"/>
    <s v="Unverified"/>
    <n v="0.91"/>
  </r>
  <r>
    <d v="2015-12-07T00:00:00"/>
    <x v="5"/>
    <n v="2015"/>
    <x v="2"/>
    <s v="D3"/>
    <s v="Q-RIN"/>
    <n v="0.91"/>
  </r>
  <r>
    <d v="2015-12-07T00:00:00"/>
    <x v="5"/>
    <n v="2015"/>
    <x v="2"/>
    <s v="D3"/>
    <s v="Unverified"/>
    <n v="1.1000000000000001"/>
  </r>
  <r>
    <d v="2015-12-14T00:00:00"/>
    <x v="5"/>
    <n v="2015"/>
    <x v="1"/>
    <s v="D3"/>
    <s v="Unverified"/>
    <n v="0.71"/>
  </r>
  <r>
    <d v="2015-12-14T00:00:00"/>
    <x v="5"/>
    <n v="2015"/>
    <x v="2"/>
    <s v="D3"/>
    <s v="Q-RIN"/>
    <n v="0.99"/>
  </r>
  <r>
    <d v="2015-12-14T00:00:00"/>
    <x v="5"/>
    <n v="2015"/>
    <x v="2"/>
    <s v="D3"/>
    <s v="Unverified"/>
    <n v="1.24"/>
  </r>
  <r>
    <d v="2015-12-21T00:00:00"/>
    <x v="5"/>
    <n v="2015"/>
    <x v="2"/>
    <s v="D3"/>
    <s v="Q-RIN"/>
    <n v="0.92"/>
  </r>
  <r>
    <d v="2015-12-21T00:00:00"/>
    <x v="5"/>
    <n v="2015"/>
    <x v="2"/>
    <s v="D3"/>
    <s v="Unverified"/>
    <n v="1.08"/>
  </r>
  <r>
    <d v="2015-12-28T00:00:00"/>
    <x v="5"/>
    <n v="2015"/>
    <x v="1"/>
    <s v="D3"/>
    <s v="Unverified"/>
    <n v="1.1000000000000001"/>
  </r>
  <r>
    <d v="2015-12-28T00:00:00"/>
    <x v="5"/>
    <n v="2015"/>
    <x v="2"/>
    <s v="D3"/>
    <s v="Q-RIN"/>
    <n v="1.1399999999999999"/>
  </r>
  <r>
    <d v="2015-12-28T00:00:00"/>
    <x v="5"/>
    <n v="2015"/>
    <x v="2"/>
    <s v="D3"/>
    <s v="Unverified"/>
    <n v="0.75"/>
  </r>
  <r>
    <d v="2016-01-04T00:00:00"/>
    <x v="6"/>
    <n v="2016"/>
    <x v="1"/>
    <s v="D3"/>
    <s v="Unverified"/>
    <n v="0.75"/>
  </r>
  <r>
    <d v="2016-01-04T00:00:00"/>
    <x v="6"/>
    <n v="2016"/>
    <x v="2"/>
    <s v="D3"/>
    <s v="Q-RIN"/>
    <n v="1.0900000000000001"/>
  </r>
  <r>
    <d v="2016-01-11T00:00:00"/>
    <x v="6"/>
    <n v="2016"/>
    <x v="1"/>
    <s v="D3"/>
    <s v="Unverified"/>
    <n v="1.0900000000000001"/>
  </r>
  <r>
    <d v="2016-01-11T00:00:00"/>
    <x v="6"/>
    <n v="2016"/>
    <x v="2"/>
    <s v="D3"/>
    <s v="Q-RIN"/>
    <n v="1.23"/>
  </r>
  <r>
    <d v="2016-01-11T00:00:00"/>
    <x v="6"/>
    <n v="2016"/>
    <x v="2"/>
    <s v="D3"/>
    <s v="Unverified"/>
    <n v="1.2"/>
  </r>
  <r>
    <d v="2016-01-18T00:00:00"/>
    <x v="6"/>
    <n v="2016"/>
    <x v="1"/>
    <s v="D3"/>
    <s v="Unverified"/>
    <n v="1.07"/>
  </r>
  <r>
    <d v="2016-01-18T00:00:00"/>
    <x v="6"/>
    <n v="2016"/>
    <x v="2"/>
    <s v="D3"/>
    <s v="Q-RIN"/>
    <n v="0.82"/>
  </r>
  <r>
    <d v="2016-01-18T00:00:00"/>
    <x v="6"/>
    <n v="2016"/>
    <x v="2"/>
    <s v="D3"/>
    <s v="Unverified"/>
    <n v="1.21"/>
  </r>
  <r>
    <d v="2016-01-25T00:00:00"/>
    <x v="6"/>
    <n v="2016"/>
    <x v="1"/>
    <s v="D3"/>
    <s v="Unverified"/>
    <n v="1.1200000000000001"/>
  </r>
  <r>
    <d v="2016-01-25T00:00:00"/>
    <x v="6"/>
    <n v="2016"/>
    <x v="2"/>
    <s v="D3"/>
    <s v="Q-RIN"/>
    <n v="1.05"/>
  </r>
  <r>
    <d v="2016-01-25T00:00:00"/>
    <x v="6"/>
    <n v="2016"/>
    <x v="2"/>
    <s v="D3"/>
    <s v="Unverified"/>
    <n v="1.23"/>
  </r>
  <r>
    <d v="2016-02-01T00:00:00"/>
    <x v="7"/>
    <n v="2016"/>
    <x v="2"/>
    <s v="D3"/>
    <s v="Q-RIN"/>
    <n v="1.26"/>
  </r>
  <r>
    <d v="2016-02-01T00:00:00"/>
    <x v="7"/>
    <n v="2016"/>
    <x v="3"/>
    <s v="D3"/>
    <s v="Q-RIN"/>
    <n v="1.87"/>
  </r>
  <r>
    <d v="2016-02-08T00:00:00"/>
    <x v="7"/>
    <n v="2016"/>
    <x v="2"/>
    <s v="D3"/>
    <s v="Unverified"/>
    <n v="1.27"/>
  </r>
  <r>
    <d v="2016-02-08T00:00:00"/>
    <x v="7"/>
    <n v="2016"/>
    <x v="3"/>
    <s v="D3"/>
    <s v="Q-RIN"/>
    <n v="1.75"/>
  </r>
  <r>
    <d v="2016-02-15T00:00:00"/>
    <x v="7"/>
    <n v="2016"/>
    <x v="1"/>
    <s v="D3"/>
    <s v="Unverified"/>
    <n v="1.1399999999999999"/>
  </r>
  <r>
    <d v="2016-02-15T00:00:00"/>
    <x v="7"/>
    <n v="2016"/>
    <x v="2"/>
    <s v="D3"/>
    <s v="Q-RIN"/>
    <n v="1.31"/>
  </r>
  <r>
    <d v="2016-02-15T00:00:00"/>
    <x v="7"/>
    <n v="2016"/>
    <x v="2"/>
    <s v="D3"/>
    <s v="Unverified"/>
    <n v="1.3"/>
  </r>
  <r>
    <d v="2016-02-15T00:00:00"/>
    <x v="7"/>
    <n v="2016"/>
    <x v="3"/>
    <s v="D3"/>
    <s v="Q-RIN"/>
    <n v="1.75"/>
  </r>
  <r>
    <d v="2016-02-22T00:00:00"/>
    <x v="7"/>
    <n v="2016"/>
    <x v="0"/>
    <s v="D3"/>
    <s v="Unverified"/>
    <n v="0.52"/>
  </r>
  <r>
    <d v="2016-02-22T00:00:00"/>
    <x v="7"/>
    <n v="2016"/>
    <x v="1"/>
    <s v="D3"/>
    <s v="Unverified"/>
    <n v="1.06"/>
  </r>
  <r>
    <d v="2016-02-22T00:00:00"/>
    <x v="7"/>
    <n v="2016"/>
    <x v="2"/>
    <s v="D3"/>
    <s v="Q-RIN"/>
    <n v="1.31"/>
  </r>
  <r>
    <d v="2016-02-22T00:00:00"/>
    <x v="7"/>
    <n v="2016"/>
    <x v="2"/>
    <s v="D3"/>
    <s v="Unverified"/>
    <n v="1.34"/>
  </r>
  <r>
    <d v="2016-02-22T00:00:00"/>
    <x v="7"/>
    <n v="2016"/>
    <x v="3"/>
    <s v="D3"/>
    <s v="Q-RIN"/>
    <n v="1.74"/>
  </r>
  <r>
    <d v="2016-02-22T00:00:00"/>
    <x v="7"/>
    <n v="2016"/>
    <x v="3"/>
    <s v="D3"/>
    <s v="Unverified"/>
    <n v="1.8"/>
  </r>
  <r>
    <d v="2016-02-29T00:00:00"/>
    <x v="7"/>
    <n v="2016"/>
    <x v="3"/>
    <s v="D3"/>
    <s v="Q-RIN"/>
    <n v="1.64"/>
  </r>
  <r>
    <d v="2016-02-29T00:00:00"/>
    <x v="7"/>
    <n v="2016"/>
    <x v="3"/>
    <s v="D3"/>
    <s v="Unverified"/>
    <n v="1.86"/>
  </r>
  <r>
    <d v="2016-03-07T00:00:00"/>
    <x v="8"/>
    <n v="2016"/>
    <x v="1"/>
    <s v="D3"/>
    <s v="Unverified"/>
    <n v="1.1299999999999999"/>
  </r>
  <r>
    <d v="2016-03-07T00:00:00"/>
    <x v="8"/>
    <n v="2016"/>
    <x v="2"/>
    <s v="D3"/>
    <s v="Q-RIN"/>
    <n v="1.3"/>
  </r>
  <r>
    <d v="2016-03-07T00:00:00"/>
    <x v="8"/>
    <n v="2016"/>
    <x v="3"/>
    <s v="D3"/>
    <s v="Q-RIN"/>
    <n v="1.93"/>
  </r>
  <r>
    <d v="2016-03-14T00:00:00"/>
    <x v="8"/>
    <n v="2016"/>
    <x v="1"/>
    <s v="D3"/>
    <s v="Unverified"/>
    <n v="0.6"/>
  </r>
  <r>
    <d v="2016-03-14T00:00:00"/>
    <x v="8"/>
    <n v="2016"/>
    <x v="2"/>
    <s v="D3"/>
    <s v="Q-RIN"/>
    <n v="1.26"/>
  </r>
  <r>
    <d v="2016-03-14T00:00:00"/>
    <x v="8"/>
    <n v="2016"/>
    <x v="3"/>
    <s v="D3"/>
    <s v="Q-RIN"/>
    <n v="1.6"/>
  </r>
  <r>
    <d v="2016-03-21T00:00:00"/>
    <x v="8"/>
    <n v="2016"/>
    <x v="3"/>
    <s v="D3"/>
    <s v="Q-RIN"/>
    <n v="1.78"/>
  </r>
  <r>
    <d v="2016-03-28T00:00:00"/>
    <x v="8"/>
    <n v="2016"/>
    <x v="1"/>
    <s v="D3"/>
    <s v="Unverified"/>
    <n v="1.07"/>
  </r>
  <r>
    <d v="2016-03-28T00:00:00"/>
    <x v="8"/>
    <n v="2016"/>
    <x v="2"/>
    <s v="D3"/>
    <s v="Q-RIN"/>
    <n v="1.23"/>
  </r>
  <r>
    <d v="2016-03-28T00:00:00"/>
    <x v="8"/>
    <n v="2016"/>
    <x v="2"/>
    <s v="D3"/>
    <s v="Unverified"/>
    <n v="1.33"/>
  </r>
  <r>
    <d v="2016-03-28T00:00:00"/>
    <x v="8"/>
    <n v="2016"/>
    <x v="3"/>
    <s v="D3"/>
    <s v="Q-RIN"/>
    <n v="1.66"/>
  </r>
  <r>
    <d v="2016-03-28T00:00:00"/>
    <x v="8"/>
    <n v="2016"/>
    <x v="3"/>
    <s v="D3"/>
    <s v="Unverified"/>
    <n v="1.8"/>
  </r>
  <r>
    <d v="2016-04-04T00:00:00"/>
    <x v="1"/>
    <n v="2016"/>
    <x v="3"/>
    <s v="D3"/>
    <s v="Q-RIN"/>
    <n v="1.78"/>
  </r>
  <r>
    <d v="2016-04-04T00:00:00"/>
    <x v="1"/>
    <n v="2016"/>
    <x v="3"/>
    <s v="D3"/>
    <s v="Unverified"/>
    <n v="1.84"/>
  </r>
  <r>
    <d v="2016-04-11T00:00:00"/>
    <x v="1"/>
    <n v="2016"/>
    <x v="2"/>
    <s v="D3"/>
    <s v="Unverified"/>
    <n v="1.22"/>
  </r>
  <r>
    <d v="2016-04-11T00:00:00"/>
    <x v="1"/>
    <n v="2016"/>
    <x v="3"/>
    <s v="D3"/>
    <s v="Q-RIN"/>
    <n v="1.79"/>
  </r>
  <r>
    <d v="2016-04-11T00:00:00"/>
    <x v="1"/>
    <n v="2016"/>
    <x v="3"/>
    <s v="D3"/>
    <s v="Unverified"/>
    <n v="1.79"/>
  </r>
  <r>
    <d v="2016-04-18T00:00:00"/>
    <x v="1"/>
    <n v="2016"/>
    <x v="2"/>
    <s v="D3"/>
    <s v="Q-RIN"/>
    <n v="1.26"/>
  </r>
  <r>
    <d v="2016-04-18T00:00:00"/>
    <x v="1"/>
    <n v="2016"/>
    <x v="3"/>
    <s v="D3"/>
    <s v="Q-RIN"/>
    <n v="1.81"/>
  </r>
  <r>
    <d v="2016-04-18T00:00:00"/>
    <x v="1"/>
    <n v="2016"/>
    <x v="3"/>
    <s v="D3"/>
    <s v="Unverified"/>
    <n v="1.65"/>
  </r>
  <r>
    <d v="2016-04-25T00:00:00"/>
    <x v="1"/>
    <n v="2016"/>
    <x v="2"/>
    <s v="D3"/>
    <s v="Q-RIN"/>
    <n v="1.23"/>
  </r>
  <r>
    <d v="2016-04-25T00:00:00"/>
    <x v="1"/>
    <n v="2016"/>
    <x v="2"/>
    <s v="D3"/>
    <s v="Unverified"/>
    <n v="1.3"/>
  </r>
  <r>
    <d v="2016-04-25T00:00:00"/>
    <x v="1"/>
    <n v="2016"/>
    <x v="3"/>
    <s v="D3"/>
    <s v="Q-RIN"/>
    <n v="1.65"/>
  </r>
  <r>
    <d v="2016-04-25T00:00:00"/>
    <x v="1"/>
    <n v="2016"/>
    <x v="3"/>
    <s v="D3"/>
    <s v="Unverified"/>
    <n v="1.83"/>
  </r>
  <r>
    <d v="2016-05-02T00:00:00"/>
    <x v="9"/>
    <n v="2016"/>
    <x v="2"/>
    <s v="D3"/>
    <s v="Unverified"/>
    <n v="1.1100000000000001"/>
  </r>
  <r>
    <d v="2016-05-02T00:00:00"/>
    <x v="9"/>
    <n v="2016"/>
    <x v="3"/>
    <s v="D3"/>
    <s v="Q-RIN"/>
    <n v="1.78"/>
  </r>
  <r>
    <d v="2016-05-02T00:00:00"/>
    <x v="9"/>
    <n v="2016"/>
    <x v="3"/>
    <s v="D3"/>
    <s v="Unverified"/>
    <n v="1.85"/>
  </r>
  <r>
    <d v="2016-05-09T00:00:00"/>
    <x v="9"/>
    <n v="2016"/>
    <x v="2"/>
    <s v="D3"/>
    <s v="Q-RIN"/>
    <n v="1.25"/>
  </r>
  <r>
    <d v="2016-05-09T00:00:00"/>
    <x v="9"/>
    <n v="2016"/>
    <x v="3"/>
    <s v="D3"/>
    <s v="Q-RIN"/>
    <n v="1.66"/>
  </r>
  <r>
    <d v="2016-05-16T00:00:00"/>
    <x v="9"/>
    <n v="2016"/>
    <x v="1"/>
    <s v="D3"/>
    <s v="Unverified"/>
    <n v="1.1499999999999999"/>
  </r>
  <r>
    <d v="2016-05-16T00:00:00"/>
    <x v="9"/>
    <n v="2016"/>
    <x v="2"/>
    <s v="D3"/>
    <s v="Unverified"/>
    <n v="1.31"/>
  </r>
  <r>
    <d v="2016-05-16T00:00:00"/>
    <x v="9"/>
    <n v="2016"/>
    <x v="3"/>
    <s v="D3"/>
    <s v="Q-RIN"/>
    <n v="1.74"/>
  </r>
  <r>
    <d v="2016-05-16T00:00:00"/>
    <x v="9"/>
    <n v="2016"/>
    <x v="3"/>
    <s v="D3"/>
    <s v="Unverified"/>
    <n v="1.75"/>
  </r>
  <r>
    <d v="2016-05-23T00:00:00"/>
    <x v="9"/>
    <n v="2016"/>
    <x v="1"/>
    <s v="D3"/>
    <s v="Unverified"/>
    <n v="1.1399999999999999"/>
  </r>
  <r>
    <d v="2016-05-23T00:00:00"/>
    <x v="9"/>
    <n v="2016"/>
    <x v="2"/>
    <s v="D3"/>
    <s v="Unverified"/>
    <n v="1.25"/>
  </r>
  <r>
    <d v="2016-05-23T00:00:00"/>
    <x v="9"/>
    <n v="2016"/>
    <x v="3"/>
    <s v="D3"/>
    <s v="Q-RIN"/>
    <n v="1.48"/>
  </r>
  <r>
    <d v="2016-05-23T00:00:00"/>
    <x v="9"/>
    <n v="2016"/>
    <x v="3"/>
    <s v="D3"/>
    <s v="Unverified"/>
    <n v="1.48"/>
  </r>
  <r>
    <d v="2016-05-30T00:00:00"/>
    <x v="9"/>
    <n v="2016"/>
    <x v="3"/>
    <s v="D3"/>
    <s v="Q-RIN"/>
    <n v="1.81"/>
  </r>
  <r>
    <d v="2016-05-30T00:00:00"/>
    <x v="9"/>
    <n v="2016"/>
    <x v="3"/>
    <s v="D3"/>
    <s v="Unverified"/>
    <n v="1.85"/>
  </r>
  <r>
    <d v="2016-06-06T00:00:00"/>
    <x v="10"/>
    <n v="2016"/>
    <x v="2"/>
    <s v="D3"/>
    <s v="Q-RIN"/>
    <n v="1.24"/>
  </r>
  <r>
    <d v="2016-06-06T00:00:00"/>
    <x v="10"/>
    <n v="2016"/>
    <x v="3"/>
    <s v="D3"/>
    <s v="Unverified"/>
    <n v="1.75"/>
  </r>
  <r>
    <d v="2016-06-13T00:00:00"/>
    <x v="10"/>
    <n v="2016"/>
    <x v="1"/>
    <s v="D3"/>
    <s v="Unverified"/>
    <n v="0.47"/>
  </r>
  <r>
    <d v="2016-06-13T00:00:00"/>
    <x v="10"/>
    <n v="2016"/>
    <x v="2"/>
    <s v="D3"/>
    <s v="Q-RIN"/>
    <n v="1.25"/>
  </r>
  <r>
    <d v="2016-06-13T00:00:00"/>
    <x v="10"/>
    <n v="2016"/>
    <x v="3"/>
    <s v="D3"/>
    <s v="Q-RIN"/>
    <n v="1.75"/>
  </r>
  <r>
    <d v="2016-06-20T00:00:00"/>
    <x v="10"/>
    <n v="2016"/>
    <x v="2"/>
    <s v="D3"/>
    <s v="Unverified"/>
    <n v="1.26"/>
  </r>
  <r>
    <d v="2016-06-20T00:00:00"/>
    <x v="10"/>
    <n v="2016"/>
    <x v="3"/>
    <s v="D3"/>
    <s v="Q-RIN"/>
    <n v="1.65"/>
  </r>
  <r>
    <d v="2016-06-27T00:00:00"/>
    <x v="10"/>
    <n v="2016"/>
    <x v="1"/>
    <s v="D3"/>
    <s v="Unverified"/>
    <n v="1.21"/>
  </r>
  <r>
    <d v="2016-06-27T00:00:00"/>
    <x v="10"/>
    <n v="2016"/>
    <x v="2"/>
    <s v="D3"/>
    <s v="Unverified"/>
    <n v="1.19"/>
  </r>
  <r>
    <d v="2016-06-27T00:00:00"/>
    <x v="10"/>
    <n v="2016"/>
    <x v="3"/>
    <s v="D3"/>
    <s v="Q-RIN"/>
    <n v="1.55"/>
  </r>
  <r>
    <d v="2016-06-27T00:00:00"/>
    <x v="10"/>
    <n v="2016"/>
    <x v="3"/>
    <s v="D3"/>
    <s v="Unverified"/>
    <n v="1.75"/>
  </r>
  <r>
    <d v="2016-07-04T00:00:00"/>
    <x v="11"/>
    <n v="2016"/>
    <x v="1"/>
    <s v="D3"/>
    <s v="Unverified"/>
    <n v="0.94"/>
  </r>
  <r>
    <d v="2016-07-04T00:00:00"/>
    <x v="11"/>
    <n v="2016"/>
    <x v="2"/>
    <s v="D3"/>
    <s v="Unverified"/>
    <n v="1.1499999999999999"/>
  </r>
  <r>
    <d v="2016-07-04T00:00:00"/>
    <x v="11"/>
    <n v="2016"/>
    <x v="3"/>
    <s v="D3"/>
    <s v="Q-RIN"/>
    <n v="1.99"/>
  </r>
  <r>
    <d v="2016-07-04T00:00:00"/>
    <x v="11"/>
    <n v="2016"/>
    <x v="3"/>
    <s v="D3"/>
    <s v="Unverified"/>
    <n v="1.86"/>
  </r>
  <r>
    <d v="2016-07-11T00:00:00"/>
    <x v="11"/>
    <n v="2016"/>
    <x v="2"/>
    <s v="D3"/>
    <s v="Q-RIN"/>
    <n v="1.25"/>
  </r>
  <r>
    <d v="2016-07-11T00:00:00"/>
    <x v="11"/>
    <n v="2016"/>
    <x v="2"/>
    <s v="D3"/>
    <s v="Unverified"/>
    <n v="1.25"/>
  </r>
  <r>
    <d v="2016-07-11T00:00:00"/>
    <x v="11"/>
    <n v="2016"/>
    <x v="3"/>
    <s v="D3"/>
    <s v="Q-RIN"/>
    <n v="1.79"/>
  </r>
  <r>
    <d v="2016-07-11T00:00:00"/>
    <x v="11"/>
    <n v="2016"/>
    <x v="3"/>
    <s v="D3"/>
    <s v="Unverified"/>
    <n v="1.69"/>
  </r>
  <r>
    <d v="2016-07-18T00:00:00"/>
    <x v="11"/>
    <n v="2016"/>
    <x v="1"/>
    <s v="D3"/>
    <s v="Unverified"/>
    <n v="1.23"/>
  </r>
  <r>
    <d v="2016-07-18T00:00:00"/>
    <x v="11"/>
    <n v="2016"/>
    <x v="2"/>
    <s v="D3"/>
    <s v="Q-RIN"/>
    <n v="1.37"/>
  </r>
  <r>
    <d v="2016-07-18T00:00:00"/>
    <x v="11"/>
    <n v="2016"/>
    <x v="2"/>
    <s v="D3"/>
    <s v="Unverified"/>
    <n v="1.37"/>
  </r>
  <r>
    <d v="2016-07-18T00:00:00"/>
    <x v="11"/>
    <n v="2016"/>
    <x v="3"/>
    <s v="D3"/>
    <s v="Q-RIN"/>
    <n v="1.68"/>
  </r>
  <r>
    <d v="2016-07-18T00:00:00"/>
    <x v="11"/>
    <n v="2016"/>
    <x v="3"/>
    <s v="D3"/>
    <s v="Unverified"/>
    <n v="1.48"/>
  </r>
  <r>
    <d v="2016-07-25T00:00:00"/>
    <x v="11"/>
    <n v="2016"/>
    <x v="1"/>
    <s v="D3"/>
    <s v="Unverified"/>
    <n v="1.2"/>
  </r>
  <r>
    <d v="2016-07-25T00:00:00"/>
    <x v="11"/>
    <n v="2016"/>
    <x v="3"/>
    <s v="D3"/>
    <s v="Q-RIN"/>
    <n v="1.77"/>
  </r>
  <r>
    <d v="2016-07-25T00:00:00"/>
    <x v="11"/>
    <n v="2016"/>
    <x v="3"/>
    <s v="D3"/>
    <s v="Unverified"/>
    <n v="1.71"/>
  </r>
  <r>
    <d v="2016-08-01T00:00:00"/>
    <x v="0"/>
    <n v="2016"/>
    <x v="3"/>
    <s v="D3"/>
    <s v="Q-RIN"/>
    <n v="2.09"/>
  </r>
  <r>
    <d v="2016-08-08T00:00:00"/>
    <x v="0"/>
    <n v="2016"/>
    <x v="3"/>
    <s v="D3"/>
    <s v="Q-RIN"/>
    <n v="1.77"/>
  </r>
  <r>
    <d v="2016-08-08T00:00:00"/>
    <x v="0"/>
    <n v="2016"/>
    <x v="3"/>
    <s v="D3"/>
    <s v="Unverified"/>
    <n v="2.0299999999999998"/>
  </r>
  <r>
    <d v="2016-08-15T00:00:00"/>
    <x v="0"/>
    <n v="2016"/>
    <x v="3"/>
    <s v="D3"/>
    <s v="Q-RIN"/>
    <n v="1.62"/>
  </r>
  <r>
    <d v="2016-08-22T00:00:00"/>
    <x v="0"/>
    <n v="2016"/>
    <x v="3"/>
    <s v="D3"/>
    <s v="Q-RIN"/>
    <n v="1.79"/>
  </r>
  <r>
    <d v="2016-08-22T00:00:00"/>
    <x v="0"/>
    <n v="2016"/>
    <x v="3"/>
    <s v="D3"/>
    <s v="Unverified"/>
    <n v="1.48"/>
  </r>
  <r>
    <d v="2016-08-29T00:00:00"/>
    <x v="0"/>
    <n v="2016"/>
    <x v="1"/>
    <s v="D3"/>
    <s v="Unverified"/>
    <n v="1.25"/>
  </r>
  <r>
    <d v="2016-08-29T00:00:00"/>
    <x v="0"/>
    <n v="2016"/>
    <x v="3"/>
    <s v="D3"/>
    <s v="Q-RIN"/>
    <n v="1.68"/>
  </r>
  <r>
    <d v="2016-08-29T00:00:00"/>
    <x v="0"/>
    <n v="2016"/>
    <x v="3"/>
    <s v="D3"/>
    <s v="Unverified"/>
    <n v="1.9"/>
  </r>
  <r>
    <d v="2016-09-05T00:00:00"/>
    <x v="2"/>
    <n v="2016"/>
    <x v="3"/>
    <s v="D3"/>
    <s v="Q-RIN"/>
    <n v="1.93"/>
  </r>
  <r>
    <d v="2016-09-12T00:00:00"/>
    <x v="2"/>
    <n v="2016"/>
    <x v="1"/>
    <s v="D3"/>
    <s v="Unverified"/>
    <n v="1.27"/>
  </r>
  <r>
    <d v="2016-09-12T00:00:00"/>
    <x v="2"/>
    <n v="2016"/>
    <x v="2"/>
    <s v="D3"/>
    <s v="Unverified"/>
    <n v="1.25"/>
  </r>
  <r>
    <d v="2016-09-12T00:00:00"/>
    <x v="2"/>
    <n v="2016"/>
    <x v="3"/>
    <s v="D3"/>
    <s v="Q-RIN"/>
    <n v="1.89"/>
  </r>
  <r>
    <d v="2016-09-19T00:00:00"/>
    <x v="2"/>
    <n v="2016"/>
    <x v="3"/>
    <s v="D3"/>
    <s v="Q-RIN"/>
    <n v="1.73"/>
  </r>
  <r>
    <d v="2016-09-19T00:00:00"/>
    <x v="2"/>
    <n v="2016"/>
    <x v="3"/>
    <s v="D3"/>
    <s v="Unverified"/>
    <n v="1.86"/>
  </r>
  <r>
    <d v="2016-09-26T00:00:00"/>
    <x v="2"/>
    <n v="2016"/>
    <x v="1"/>
    <s v="D3"/>
    <s v="Unverified"/>
    <n v="1.2"/>
  </r>
  <r>
    <d v="2016-09-26T00:00:00"/>
    <x v="2"/>
    <n v="2016"/>
    <x v="2"/>
    <s v="D3"/>
    <s v="Q-RIN"/>
    <n v="1.61"/>
  </r>
  <r>
    <d v="2016-09-26T00:00:00"/>
    <x v="2"/>
    <n v="2016"/>
    <x v="2"/>
    <s v="D3"/>
    <s v="Unverified"/>
    <n v="1.26"/>
  </r>
  <r>
    <d v="2016-09-26T00:00:00"/>
    <x v="2"/>
    <n v="2016"/>
    <x v="3"/>
    <s v="D3"/>
    <s v="Q-RIN"/>
    <n v="1.98"/>
  </r>
  <r>
    <d v="2016-09-26T00:00:00"/>
    <x v="2"/>
    <n v="2016"/>
    <x v="3"/>
    <s v="D3"/>
    <s v="Unverified"/>
    <n v="1.79"/>
  </r>
  <r>
    <d v="2016-10-03T00:00:00"/>
    <x v="3"/>
    <n v="2016"/>
    <x v="3"/>
    <s v="D3"/>
    <s v="Q-RIN"/>
    <n v="1.92"/>
  </r>
  <r>
    <d v="2016-10-10T00:00:00"/>
    <x v="3"/>
    <n v="2016"/>
    <x v="3"/>
    <s v="D3"/>
    <s v="Q-RIN"/>
    <n v="2.1"/>
  </r>
  <r>
    <d v="2016-10-17T00:00:00"/>
    <x v="3"/>
    <n v="2016"/>
    <x v="1"/>
    <s v="D3"/>
    <s v="Unverified"/>
    <n v="1.26"/>
  </r>
  <r>
    <d v="2016-10-17T00:00:00"/>
    <x v="3"/>
    <n v="2016"/>
    <x v="2"/>
    <s v="D3"/>
    <s v="Q-RIN"/>
    <n v="1.6"/>
  </r>
  <r>
    <d v="2016-10-17T00:00:00"/>
    <x v="3"/>
    <n v="2016"/>
    <x v="3"/>
    <s v="D3"/>
    <s v="Q-RIN"/>
    <n v="1.79"/>
  </r>
  <r>
    <d v="2016-10-24T00:00:00"/>
    <x v="3"/>
    <n v="2016"/>
    <x v="1"/>
    <s v="D3"/>
    <s v="Unverified"/>
    <n v="1.4"/>
  </r>
  <r>
    <d v="2016-10-24T00:00:00"/>
    <x v="3"/>
    <n v="2016"/>
    <x v="2"/>
    <s v="D3"/>
    <s v="Q-RIN"/>
    <n v="1.75"/>
  </r>
  <r>
    <d v="2016-10-24T00:00:00"/>
    <x v="3"/>
    <n v="2016"/>
    <x v="2"/>
    <s v="D3"/>
    <s v="Unverified"/>
    <n v="1.7"/>
  </r>
  <r>
    <d v="2016-10-24T00:00:00"/>
    <x v="3"/>
    <n v="2016"/>
    <x v="3"/>
    <s v="D3"/>
    <s v="Q-RIN"/>
    <n v="1.67"/>
  </r>
  <r>
    <d v="2016-10-31T00:00:00"/>
    <x v="3"/>
    <n v="2016"/>
    <x v="3"/>
    <s v="D3"/>
    <s v="Q-RIN"/>
    <n v="2.11"/>
  </r>
  <r>
    <d v="2016-10-31T00:00:00"/>
    <x v="3"/>
    <n v="2016"/>
    <x v="3"/>
    <s v="D3"/>
    <s v="Unverified"/>
    <n v="2.33"/>
  </r>
  <r>
    <d v="2016-11-07T00:00:00"/>
    <x v="4"/>
    <n v="2016"/>
    <x v="3"/>
    <s v="D3"/>
    <s v="Q-RIN"/>
    <n v="1.97"/>
  </r>
  <r>
    <d v="2016-11-14T00:00:00"/>
    <x v="4"/>
    <n v="2016"/>
    <x v="1"/>
    <s v="D3"/>
    <s v="Unverified"/>
    <n v="1.26"/>
  </r>
  <r>
    <d v="2016-11-14T00:00:00"/>
    <x v="4"/>
    <n v="2016"/>
    <x v="2"/>
    <s v="D3"/>
    <s v="Unverified"/>
    <n v="1.25"/>
  </r>
  <r>
    <d v="2016-11-14T00:00:00"/>
    <x v="4"/>
    <n v="2016"/>
    <x v="3"/>
    <s v="D3"/>
    <s v="Q-RIN"/>
    <n v="1.92"/>
  </r>
  <r>
    <d v="2016-11-21T00:00:00"/>
    <x v="4"/>
    <n v="2016"/>
    <x v="1"/>
    <s v="D3"/>
    <s v="Unverified"/>
    <n v="1.7"/>
  </r>
  <r>
    <d v="2016-11-21T00:00:00"/>
    <x v="4"/>
    <n v="2016"/>
    <x v="2"/>
    <s v="D3"/>
    <s v="Q-RIN"/>
    <n v="1.4"/>
  </r>
  <r>
    <d v="2016-11-21T00:00:00"/>
    <x v="4"/>
    <n v="2016"/>
    <x v="2"/>
    <s v="D3"/>
    <s v="Unverified"/>
    <n v="1.4"/>
  </r>
  <r>
    <d v="2016-11-21T00:00:00"/>
    <x v="4"/>
    <n v="2016"/>
    <x v="3"/>
    <s v="D3"/>
    <s v="Q-RIN"/>
    <n v="2.16"/>
  </r>
  <r>
    <d v="2016-11-28T00:00:00"/>
    <x v="4"/>
    <n v="2016"/>
    <x v="2"/>
    <s v="D3"/>
    <s v="Unverified"/>
    <n v="1.82"/>
  </r>
  <r>
    <d v="2016-11-28T00:00:00"/>
    <x v="4"/>
    <n v="2016"/>
    <x v="3"/>
    <s v="D3"/>
    <s v="Q-RIN"/>
    <n v="2.06"/>
  </r>
  <r>
    <d v="2016-11-28T00:00:00"/>
    <x v="4"/>
    <n v="2016"/>
    <x v="3"/>
    <s v="D3"/>
    <s v="Unverified"/>
    <n v="1.6"/>
  </r>
  <r>
    <d v="2016-12-05T00:00:00"/>
    <x v="5"/>
    <n v="2016"/>
    <x v="2"/>
    <s v="D3"/>
    <s v="Q-RIN"/>
    <n v="1.77"/>
  </r>
  <r>
    <d v="2016-12-05T00:00:00"/>
    <x v="5"/>
    <n v="2016"/>
    <x v="3"/>
    <s v="D3"/>
    <s v="Q-RIN"/>
    <n v="2.33"/>
  </r>
  <r>
    <d v="2016-12-12T00:00:00"/>
    <x v="5"/>
    <n v="2016"/>
    <x v="2"/>
    <s v="D3"/>
    <s v="Unverified"/>
    <n v="1.65"/>
  </r>
  <r>
    <d v="2016-12-12T00:00:00"/>
    <x v="5"/>
    <n v="2016"/>
    <x v="3"/>
    <s v="D3"/>
    <s v="Q-RIN"/>
    <n v="2.4300000000000002"/>
  </r>
  <r>
    <d v="2016-12-19T00:00:00"/>
    <x v="5"/>
    <n v="2016"/>
    <x v="3"/>
    <s v="D3"/>
    <s v="Q-RIN"/>
    <n v="2.23"/>
  </r>
  <r>
    <d v="2016-12-19T00:00:00"/>
    <x v="5"/>
    <n v="2016"/>
    <x v="3"/>
    <s v="D3"/>
    <s v="Unverified"/>
    <n v="2.46"/>
  </r>
  <r>
    <d v="2016-12-26T00:00:00"/>
    <x v="5"/>
    <n v="2016"/>
    <x v="3"/>
    <s v="D3"/>
    <s v="Q-RIN"/>
    <n v="2.2400000000000002"/>
  </r>
  <r>
    <d v="2016-12-26T00:00:00"/>
    <x v="5"/>
    <n v="2016"/>
    <x v="3"/>
    <s v="D3"/>
    <s v="Unverified"/>
    <n v="2.4"/>
  </r>
  <r>
    <d v="2017-01-02T00:00:00"/>
    <x v="6"/>
    <n v="2017"/>
    <x v="3"/>
    <s v="D3"/>
    <s v="Q-RIN"/>
    <n v="2.17"/>
  </r>
  <r>
    <d v="2017-01-02T00:00:00"/>
    <x v="6"/>
    <n v="2017"/>
    <x v="3"/>
    <s v="D3"/>
    <s v="Unverified"/>
    <n v="2.1"/>
  </r>
  <r>
    <d v="2017-01-09T00:00:00"/>
    <x v="6"/>
    <n v="2017"/>
    <x v="3"/>
    <s v="D3"/>
    <s v="Q-RIN"/>
    <n v="2.2999999999999998"/>
  </r>
  <r>
    <d v="2017-01-09T00:00:00"/>
    <x v="6"/>
    <n v="2017"/>
    <x v="3"/>
    <s v="D3"/>
    <s v="Unverified"/>
    <n v="2.23"/>
  </r>
  <r>
    <d v="2017-01-16T00:00:00"/>
    <x v="6"/>
    <n v="2017"/>
    <x v="3"/>
    <s v="D3"/>
    <s v="Q-RIN"/>
    <n v="1.8"/>
  </r>
  <r>
    <d v="2017-01-23T00:00:00"/>
    <x v="6"/>
    <n v="2017"/>
    <x v="2"/>
    <s v="D3"/>
    <s v="Q-RIN"/>
    <n v="2.25"/>
  </r>
  <r>
    <d v="2017-01-23T00:00:00"/>
    <x v="6"/>
    <n v="2017"/>
    <x v="3"/>
    <s v="D3"/>
    <s v="Q-RIN"/>
    <n v="2.2400000000000002"/>
  </r>
  <r>
    <d v="2017-01-30T00:00:00"/>
    <x v="6"/>
    <n v="2017"/>
    <x v="3"/>
    <s v="D3"/>
    <s v="Q-RIN"/>
    <n v="2.31"/>
  </r>
  <r>
    <d v="2017-02-06T00:00:00"/>
    <x v="7"/>
    <n v="2017"/>
    <x v="2"/>
    <s v="D3"/>
    <s v="Unverified"/>
    <n v="2.0499999999999998"/>
  </r>
  <r>
    <d v="2017-02-06T00:00:00"/>
    <x v="7"/>
    <n v="2017"/>
    <x v="3"/>
    <s v="D3"/>
    <s v="Q-RIN"/>
    <n v="2.2599999999999998"/>
  </r>
  <r>
    <d v="2017-02-06T00:00:00"/>
    <x v="7"/>
    <n v="2017"/>
    <x v="3"/>
    <s v="D3"/>
    <s v="Unverified"/>
    <n v="2.5"/>
  </r>
  <r>
    <d v="2017-02-13T00:00:00"/>
    <x v="7"/>
    <n v="2017"/>
    <x v="3"/>
    <s v="D3"/>
    <s v="Q-RIN"/>
    <n v="2.4500000000000002"/>
  </r>
  <r>
    <d v="2017-02-13T00:00:00"/>
    <x v="7"/>
    <n v="2017"/>
    <x v="4"/>
    <s v="D3"/>
    <s v="Q-RIN"/>
    <n v="2.57"/>
  </r>
  <r>
    <d v="2017-02-20T00:00:00"/>
    <x v="7"/>
    <n v="2017"/>
    <x v="2"/>
    <s v="D3"/>
    <s v="Unverified"/>
    <n v="2"/>
  </r>
  <r>
    <d v="2017-02-20T00:00:00"/>
    <x v="7"/>
    <n v="2017"/>
    <x v="3"/>
    <s v="D3"/>
    <s v="Q-RIN"/>
    <n v="1.33"/>
  </r>
  <r>
    <d v="2017-02-20T00:00:00"/>
    <x v="7"/>
    <n v="2017"/>
    <x v="4"/>
    <s v="D3"/>
    <s v="Q-RIN"/>
    <n v="2.0299999999999998"/>
  </r>
  <r>
    <d v="2017-02-27T00:00:00"/>
    <x v="7"/>
    <n v="2017"/>
    <x v="2"/>
    <s v="D3"/>
    <s v="Q-RIN"/>
    <n v="1.97"/>
  </r>
  <r>
    <d v="2017-02-27T00:00:00"/>
    <x v="7"/>
    <n v="2017"/>
    <x v="3"/>
    <s v="D3"/>
    <s v="Q-RIN"/>
    <n v="2.44"/>
  </r>
  <r>
    <d v="2017-02-27T00:00:00"/>
    <x v="7"/>
    <n v="2017"/>
    <x v="3"/>
    <s v="D3"/>
    <s v="Unverified"/>
    <n v="2.23"/>
  </r>
  <r>
    <d v="2017-02-27T00:00:00"/>
    <x v="7"/>
    <n v="2017"/>
    <x v="4"/>
    <s v="D3"/>
    <s v="Q-RIN"/>
    <n v="2.57"/>
  </r>
  <r>
    <d v="2017-03-06T00:00:00"/>
    <x v="8"/>
    <n v="2017"/>
    <x v="3"/>
    <s v="D3"/>
    <s v="Q-RIN"/>
    <n v="2.23"/>
  </r>
  <r>
    <d v="2017-03-06T00:00:00"/>
    <x v="8"/>
    <n v="2017"/>
    <x v="4"/>
    <s v="D3"/>
    <s v="Q-RIN"/>
    <n v="2.52"/>
  </r>
  <r>
    <d v="2017-03-13T00:00:00"/>
    <x v="8"/>
    <n v="2017"/>
    <x v="2"/>
    <s v="D3"/>
    <s v="Q-RIN"/>
    <n v="1.96"/>
  </r>
  <r>
    <d v="2017-03-13T00:00:00"/>
    <x v="8"/>
    <n v="2017"/>
    <x v="2"/>
    <s v="D3"/>
    <s v="Unverified"/>
    <n v="1.1299999999999999"/>
  </r>
  <r>
    <d v="2017-03-13T00:00:00"/>
    <x v="8"/>
    <n v="2017"/>
    <x v="3"/>
    <s v="D3"/>
    <s v="Q-RIN"/>
    <n v="1.74"/>
  </r>
  <r>
    <d v="2017-03-13T00:00:00"/>
    <x v="8"/>
    <n v="2017"/>
    <x v="4"/>
    <s v="D3"/>
    <s v="Q-RIN"/>
    <n v="2.68"/>
  </r>
  <r>
    <d v="2017-03-20T00:00:00"/>
    <x v="8"/>
    <n v="2017"/>
    <x v="2"/>
    <s v="D3"/>
    <s v="Q-RIN"/>
    <n v="1.9"/>
  </r>
  <r>
    <d v="2017-03-20T00:00:00"/>
    <x v="8"/>
    <n v="2017"/>
    <x v="2"/>
    <s v="D3"/>
    <s v="Unverified"/>
    <n v="1.8"/>
  </r>
  <r>
    <d v="2017-03-20T00:00:00"/>
    <x v="8"/>
    <n v="2017"/>
    <x v="3"/>
    <s v="D3"/>
    <s v="Q-RIN"/>
    <n v="2.2200000000000002"/>
  </r>
  <r>
    <d v="2017-03-20T00:00:00"/>
    <x v="8"/>
    <n v="2017"/>
    <x v="4"/>
    <s v="D3"/>
    <s v="Q-RIN"/>
    <n v="2.14"/>
  </r>
  <r>
    <d v="2017-03-27T00:00:00"/>
    <x v="8"/>
    <n v="2017"/>
    <x v="2"/>
    <s v="D3"/>
    <s v="Q-RIN"/>
    <n v="1.9"/>
  </r>
  <r>
    <d v="2017-03-27T00:00:00"/>
    <x v="8"/>
    <n v="2017"/>
    <x v="2"/>
    <s v="D3"/>
    <s v="Unverified"/>
    <n v="1.9"/>
  </r>
  <r>
    <d v="2017-03-27T00:00:00"/>
    <x v="8"/>
    <n v="2017"/>
    <x v="3"/>
    <s v="D3"/>
    <s v="Q-RIN"/>
    <n v="2.2599999999999998"/>
  </r>
  <r>
    <d v="2017-03-27T00:00:00"/>
    <x v="8"/>
    <n v="2017"/>
    <x v="3"/>
    <s v="D3"/>
    <s v="Unverified"/>
    <n v="2.2799999999999998"/>
  </r>
  <r>
    <d v="2017-03-27T00:00:00"/>
    <x v="8"/>
    <n v="2017"/>
    <x v="4"/>
    <s v="D3"/>
    <s v="Q-RIN"/>
    <n v="2.58"/>
  </r>
  <r>
    <d v="2017-04-03T00:00:00"/>
    <x v="1"/>
    <n v="2017"/>
    <x v="3"/>
    <s v="D3"/>
    <s v="Q-RIN"/>
    <n v="2.3199999999999998"/>
  </r>
  <r>
    <d v="2017-04-03T00:00:00"/>
    <x v="1"/>
    <n v="2017"/>
    <x v="4"/>
    <s v="D3"/>
    <s v="Q-RIN"/>
    <n v="2.48"/>
  </r>
  <r>
    <d v="2017-04-10T00:00:00"/>
    <x v="1"/>
    <n v="2017"/>
    <x v="3"/>
    <s v="D3"/>
    <s v="Q-RIN"/>
    <n v="2.38"/>
  </r>
  <r>
    <d v="2017-04-10T00:00:00"/>
    <x v="1"/>
    <n v="2017"/>
    <x v="4"/>
    <s v="D3"/>
    <s v="Q-RIN"/>
    <n v="2.57"/>
  </r>
  <r>
    <d v="2017-04-17T00:00:00"/>
    <x v="1"/>
    <n v="2017"/>
    <x v="4"/>
    <s v="D3"/>
    <s v="Q-RIN"/>
    <n v="2.46"/>
  </r>
  <r>
    <d v="2017-04-24T00:00:00"/>
    <x v="1"/>
    <n v="2017"/>
    <x v="3"/>
    <s v="D3"/>
    <s v="Q-RIN"/>
    <n v="2.25"/>
  </r>
  <r>
    <d v="2017-04-24T00:00:00"/>
    <x v="1"/>
    <n v="2017"/>
    <x v="3"/>
    <s v="D3"/>
    <s v="Unverified"/>
    <n v="1.75"/>
  </r>
  <r>
    <d v="2017-04-24T00:00:00"/>
    <x v="1"/>
    <n v="2017"/>
    <x v="4"/>
    <s v="D3"/>
    <s v="Q-RIN"/>
    <n v="2.59"/>
  </r>
  <r>
    <d v="2017-04-24T00:00:00"/>
    <x v="1"/>
    <n v="2017"/>
    <x v="4"/>
    <s v="D3"/>
    <s v="Unverified"/>
    <n v="2.35"/>
  </r>
  <r>
    <d v="2017-05-01T00:00:00"/>
    <x v="9"/>
    <n v="2017"/>
    <x v="3"/>
    <s v="D3"/>
    <s v="Unverified"/>
    <n v="2.4"/>
  </r>
  <r>
    <d v="2017-05-01T00:00:00"/>
    <x v="9"/>
    <n v="2017"/>
    <x v="4"/>
    <s v="D3"/>
    <s v="Q-RIN"/>
    <n v="2.41"/>
  </r>
  <r>
    <d v="2017-05-08T00:00:00"/>
    <x v="9"/>
    <n v="2017"/>
    <x v="3"/>
    <s v="D3"/>
    <s v="Q-RIN"/>
    <n v="2.38"/>
  </r>
  <r>
    <d v="2017-05-08T00:00:00"/>
    <x v="9"/>
    <n v="2017"/>
    <x v="3"/>
    <s v="D3"/>
    <s v="Unverified"/>
    <n v="2.4"/>
  </r>
  <r>
    <d v="2017-05-08T00:00:00"/>
    <x v="9"/>
    <n v="2017"/>
    <x v="4"/>
    <s v="D3"/>
    <s v="Q-RIN"/>
    <n v="2.54"/>
  </r>
  <r>
    <d v="2017-05-15T00:00:00"/>
    <x v="9"/>
    <n v="2017"/>
    <x v="3"/>
    <s v="D3"/>
    <s v="Q-RIN"/>
    <n v="2.2999999999999998"/>
  </r>
  <r>
    <d v="2017-05-15T00:00:00"/>
    <x v="9"/>
    <n v="2017"/>
    <x v="4"/>
    <s v="D3"/>
    <s v="Q-RIN"/>
    <n v="2.2999999999999998"/>
  </r>
  <r>
    <d v="2017-05-22T00:00:00"/>
    <x v="9"/>
    <n v="2017"/>
    <x v="4"/>
    <s v="D3"/>
    <s v="Q-RIN"/>
    <n v="2.52"/>
  </r>
  <r>
    <d v="2017-05-29T00:00:00"/>
    <x v="9"/>
    <n v="2017"/>
    <x v="3"/>
    <s v="D3"/>
    <s v="Q-RIN"/>
    <n v="2.4700000000000002"/>
  </r>
  <r>
    <d v="2017-05-29T00:00:00"/>
    <x v="9"/>
    <n v="2017"/>
    <x v="3"/>
    <s v="D3"/>
    <s v="Unverified"/>
    <n v="2.4"/>
  </r>
  <r>
    <d v="2017-05-29T00:00:00"/>
    <x v="9"/>
    <n v="2017"/>
    <x v="4"/>
    <s v="D3"/>
    <s v="Q-RIN"/>
    <n v="2.57"/>
  </r>
  <r>
    <d v="2017-06-05T00:00:00"/>
    <x v="10"/>
    <n v="2017"/>
    <x v="3"/>
    <s v="D3"/>
    <s v="Q-RIN"/>
    <n v="2.48"/>
  </r>
  <r>
    <d v="2017-06-05T00:00:00"/>
    <x v="10"/>
    <n v="2017"/>
    <x v="4"/>
    <s v="D3"/>
    <s v="Q-RIN"/>
    <n v="2.46"/>
  </r>
  <r>
    <d v="2017-06-12T00:00:00"/>
    <x v="10"/>
    <n v="2017"/>
    <x v="3"/>
    <s v="D3"/>
    <s v="Q-RIN"/>
    <n v="2.46"/>
  </r>
  <r>
    <d v="2017-06-12T00:00:00"/>
    <x v="10"/>
    <n v="2017"/>
    <x v="4"/>
    <s v="D3"/>
    <s v="Q-RIN"/>
    <n v="2.73"/>
  </r>
  <r>
    <d v="2017-06-19T00:00:00"/>
    <x v="10"/>
    <n v="2017"/>
    <x v="4"/>
    <s v="D3"/>
    <s v="Q-RIN"/>
    <n v="2.4500000000000002"/>
  </r>
  <r>
    <d v="2017-06-26T00:00:00"/>
    <x v="10"/>
    <n v="2017"/>
    <x v="3"/>
    <s v="D3"/>
    <s v="Q-RIN"/>
    <n v="2.42"/>
  </r>
  <r>
    <d v="2017-06-26T00:00:00"/>
    <x v="10"/>
    <n v="2017"/>
    <x v="4"/>
    <s v="D3"/>
    <s v="Q-RIN"/>
    <n v="2.6"/>
  </r>
  <r>
    <d v="2017-06-26T00:00:00"/>
    <x v="10"/>
    <n v="2017"/>
    <x v="4"/>
    <s v="D3"/>
    <s v="Unverified"/>
    <n v="2.2000000000000002"/>
  </r>
  <r>
    <d v="2017-07-03T00:00:00"/>
    <x v="11"/>
    <n v="2017"/>
    <x v="3"/>
    <s v="D3"/>
    <s v="Q-RIN"/>
    <n v="2.4700000000000002"/>
  </r>
  <r>
    <d v="2017-07-03T00:00:00"/>
    <x v="11"/>
    <n v="2017"/>
    <x v="4"/>
    <s v="D3"/>
    <s v="Q-RIN"/>
    <n v="2.7"/>
  </r>
  <r>
    <d v="2017-07-10T00:00:00"/>
    <x v="11"/>
    <n v="2017"/>
    <x v="3"/>
    <s v="D3"/>
    <s v="Q-RIN"/>
    <n v="2.4500000000000002"/>
  </r>
  <r>
    <d v="2017-07-10T00:00:00"/>
    <x v="11"/>
    <n v="2017"/>
    <x v="4"/>
    <s v="D3"/>
    <s v="Q-RIN"/>
    <n v="2.66"/>
  </r>
  <r>
    <d v="2017-07-10T00:00:00"/>
    <x v="11"/>
    <n v="2017"/>
    <x v="4"/>
    <s v="D3"/>
    <s v="Unverified"/>
    <n v="2.4500000000000002"/>
  </r>
  <r>
    <d v="2017-07-17T00:00:00"/>
    <x v="11"/>
    <n v="2017"/>
    <x v="3"/>
    <s v="D3"/>
    <s v="Q-RIN"/>
    <n v="2.29"/>
  </r>
  <r>
    <d v="2017-07-17T00:00:00"/>
    <x v="11"/>
    <n v="2017"/>
    <x v="4"/>
    <s v="D3"/>
    <s v="Q-RIN"/>
    <n v="2.4"/>
  </r>
  <r>
    <d v="2017-07-24T00:00:00"/>
    <x v="11"/>
    <n v="2017"/>
    <x v="4"/>
    <s v="D3"/>
    <s v="Q-RIN"/>
    <n v="2.67"/>
  </r>
  <r>
    <d v="2017-07-31T00:00:00"/>
    <x v="11"/>
    <n v="2017"/>
    <x v="4"/>
    <s v="D3"/>
    <s v="Q-RIN"/>
    <n v="2.77"/>
  </r>
  <r>
    <d v="2017-08-07T00:00:00"/>
    <x v="0"/>
    <n v="2017"/>
    <x v="3"/>
    <s v="D3"/>
    <s v="Q-RIN"/>
    <n v="2.6"/>
  </r>
  <r>
    <d v="2017-08-07T00:00:00"/>
    <x v="0"/>
    <n v="2017"/>
    <x v="4"/>
    <s v="D3"/>
    <s v="Q-RIN"/>
    <n v="2.77"/>
  </r>
  <r>
    <d v="2017-08-14T00:00:00"/>
    <x v="0"/>
    <n v="2017"/>
    <x v="3"/>
    <s v="D3"/>
    <s v="Q-RIN"/>
    <n v="2.61"/>
  </r>
  <r>
    <d v="2017-08-14T00:00:00"/>
    <x v="0"/>
    <n v="2017"/>
    <x v="4"/>
    <s v="D3"/>
    <s v="Q-RIN"/>
    <n v="2.71"/>
  </r>
  <r>
    <d v="2017-08-21T00:00:00"/>
    <x v="0"/>
    <n v="2017"/>
    <x v="3"/>
    <s v="D3"/>
    <s v="Q-RIN"/>
    <n v="2.67"/>
  </r>
  <r>
    <d v="2017-08-21T00:00:00"/>
    <x v="0"/>
    <n v="2017"/>
    <x v="4"/>
    <s v="D3"/>
    <s v="Q-RIN"/>
    <n v="2.64"/>
  </r>
  <r>
    <d v="2017-08-28T00:00:00"/>
    <x v="0"/>
    <n v="2017"/>
    <x v="3"/>
    <s v="D3"/>
    <s v="Q-RIN"/>
    <n v="2.91"/>
  </r>
  <r>
    <d v="2017-08-28T00:00:00"/>
    <x v="0"/>
    <n v="2017"/>
    <x v="4"/>
    <s v="D3"/>
    <s v="Q-RIN"/>
    <n v="2.75"/>
  </r>
  <r>
    <d v="2017-09-04T00:00:00"/>
    <x v="2"/>
    <n v="2017"/>
    <x v="3"/>
    <s v="D3"/>
    <s v="Q-RIN"/>
    <n v="2.9"/>
  </r>
  <r>
    <d v="2017-09-04T00:00:00"/>
    <x v="2"/>
    <n v="2017"/>
    <x v="4"/>
    <s v="D3"/>
    <s v="Q-RIN"/>
    <n v="2.95"/>
  </r>
  <r>
    <d v="2017-09-11T00:00:00"/>
    <x v="2"/>
    <n v="2017"/>
    <x v="3"/>
    <s v="D3"/>
    <s v="Q-RIN"/>
    <n v="2.5299999999999998"/>
  </r>
  <r>
    <d v="2017-09-11T00:00:00"/>
    <x v="2"/>
    <n v="2017"/>
    <x v="4"/>
    <s v="D3"/>
    <s v="Q-RIN"/>
    <n v="2.7"/>
  </r>
  <r>
    <d v="2017-09-11T00:00:00"/>
    <x v="2"/>
    <n v="2017"/>
    <x v="4"/>
    <s v="D3"/>
    <s v="Unverified"/>
    <n v="2.16"/>
  </r>
  <r>
    <d v="2017-09-18T00:00:00"/>
    <x v="2"/>
    <n v="2017"/>
    <x v="3"/>
    <s v="D3"/>
    <s v="Q-RIN"/>
    <n v="2.89"/>
  </r>
  <r>
    <d v="2017-09-18T00:00:00"/>
    <x v="2"/>
    <n v="2017"/>
    <x v="4"/>
    <s v="D3"/>
    <s v="Q-RIN"/>
    <n v="2.65"/>
  </r>
  <r>
    <d v="2017-09-25T00:00:00"/>
    <x v="2"/>
    <n v="2017"/>
    <x v="3"/>
    <s v="D3"/>
    <s v="Q-RIN"/>
    <n v="2.41"/>
  </r>
  <r>
    <d v="2017-09-25T00:00:00"/>
    <x v="2"/>
    <n v="2017"/>
    <x v="4"/>
    <s v="D3"/>
    <s v="Q-RIN"/>
    <n v="2.76"/>
  </r>
  <r>
    <d v="2017-10-02T00:00:00"/>
    <x v="3"/>
    <n v="2017"/>
    <x v="4"/>
    <s v="D3"/>
    <s v="Q-RIN"/>
    <n v="2.82"/>
  </r>
  <r>
    <d v="2017-10-09T00:00:00"/>
    <x v="3"/>
    <n v="2017"/>
    <x v="4"/>
    <s v="D3"/>
    <s v="Q-RIN"/>
    <n v="2.84"/>
  </r>
  <r>
    <d v="2017-10-16T00:00:00"/>
    <x v="3"/>
    <n v="2017"/>
    <x v="4"/>
    <s v="D3"/>
    <s v="Q-RIN"/>
    <n v="2.54"/>
  </r>
  <r>
    <d v="2017-10-23T00:00:00"/>
    <x v="3"/>
    <n v="2017"/>
    <x v="3"/>
    <s v="D3"/>
    <s v="Q-RIN"/>
    <n v="2.83"/>
  </r>
  <r>
    <d v="2017-10-23T00:00:00"/>
    <x v="3"/>
    <n v="2017"/>
    <x v="4"/>
    <s v="D3"/>
    <s v="Q-RIN"/>
    <n v="2.81"/>
  </r>
  <r>
    <d v="2017-10-23T00:00:00"/>
    <x v="3"/>
    <n v="2017"/>
    <x v="4"/>
    <s v="D3"/>
    <s v="Unverified"/>
    <n v="2.6"/>
  </r>
  <r>
    <d v="2017-10-30T00:00:00"/>
    <x v="3"/>
    <n v="2017"/>
    <x v="3"/>
    <s v="D3"/>
    <s v="Q-RIN"/>
    <n v="2.82"/>
  </r>
  <r>
    <d v="2017-10-30T00:00:00"/>
    <x v="3"/>
    <n v="2017"/>
    <x v="4"/>
    <s v="D3"/>
    <s v="Q-RIN"/>
    <n v="2.71"/>
  </r>
  <r>
    <d v="2017-11-06T00:00:00"/>
    <x v="4"/>
    <n v="2017"/>
    <x v="3"/>
    <s v="D3"/>
    <s v="Q-RIN"/>
    <n v="2.84"/>
  </r>
  <r>
    <d v="2017-11-06T00:00:00"/>
    <x v="4"/>
    <n v="2017"/>
    <x v="4"/>
    <s v="D3"/>
    <s v="Q-RIN"/>
    <n v="2.84"/>
  </r>
  <r>
    <d v="2017-11-13T00:00:00"/>
    <x v="4"/>
    <n v="2017"/>
    <x v="3"/>
    <s v="D3"/>
    <s v="Q-RIN"/>
    <n v="2.82"/>
  </r>
  <r>
    <d v="2017-11-13T00:00:00"/>
    <x v="4"/>
    <n v="2017"/>
    <x v="4"/>
    <s v="D3"/>
    <s v="Q-RIN"/>
    <n v="2.74"/>
  </r>
  <r>
    <d v="2017-11-13T00:00:00"/>
    <x v="4"/>
    <n v="2017"/>
    <x v="4"/>
    <s v="D3"/>
    <s v="Unverified"/>
    <n v="2.75"/>
  </r>
  <r>
    <d v="2017-11-20T00:00:00"/>
    <x v="4"/>
    <n v="2017"/>
    <x v="4"/>
    <s v="D3"/>
    <s v="Q-RIN"/>
    <n v="2.61"/>
  </r>
  <r>
    <d v="2017-11-27T00:00:00"/>
    <x v="4"/>
    <n v="2017"/>
    <x v="4"/>
    <s v="D3"/>
    <s v="Q-RIN"/>
    <n v="2.76"/>
  </r>
  <r>
    <d v="2017-12-04T00:00:00"/>
    <x v="5"/>
    <n v="2017"/>
    <x v="4"/>
    <s v="D3"/>
    <s v="Q-RIN"/>
    <n v="2.57"/>
  </r>
  <r>
    <d v="2017-12-04T00:00:00"/>
    <x v="5"/>
    <n v="2017"/>
    <x v="4"/>
    <s v="D3"/>
    <s v="Unverified"/>
    <n v="2.88"/>
  </r>
  <r>
    <d v="2017-12-11T00:00:00"/>
    <x v="5"/>
    <n v="2017"/>
    <x v="3"/>
    <s v="D3"/>
    <s v="Q-RIN"/>
    <n v="2.87"/>
  </r>
  <r>
    <d v="2017-12-11T00:00:00"/>
    <x v="5"/>
    <n v="2017"/>
    <x v="4"/>
    <s v="D3"/>
    <s v="Q-RIN"/>
    <n v="2.94"/>
  </r>
  <r>
    <d v="2017-12-11T00:00:00"/>
    <x v="5"/>
    <n v="2017"/>
    <x v="4"/>
    <s v="D3"/>
    <s v="Unverified"/>
    <n v="2.92"/>
  </r>
  <r>
    <d v="2017-12-18T00:00:00"/>
    <x v="5"/>
    <n v="2017"/>
    <x v="3"/>
    <s v="D3"/>
    <s v="Q-RIN"/>
    <n v="2.4"/>
  </r>
  <r>
    <d v="2017-12-18T00:00:00"/>
    <x v="5"/>
    <n v="2017"/>
    <x v="4"/>
    <s v="D3"/>
    <s v="Q-RIN"/>
    <n v="2.68"/>
  </r>
  <r>
    <d v="2017-12-18T00:00:00"/>
    <x v="5"/>
    <n v="2017"/>
    <x v="4"/>
    <s v="D3"/>
    <s v="Unverified"/>
    <n v="2.75"/>
  </r>
  <r>
    <d v="2017-12-25T00:00:00"/>
    <x v="5"/>
    <n v="2017"/>
    <x v="3"/>
    <s v="D3"/>
    <s v="Q-RIN"/>
    <n v="2.6"/>
  </r>
  <r>
    <d v="2017-12-25T00:00:00"/>
    <x v="5"/>
    <n v="2017"/>
    <x v="4"/>
    <s v="D3"/>
    <s v="Q-RIN"/>
    <n v="2.83"/>
  </r>
  <r>
    <d v="2017-12-25T00:00:00"/>
    <x v="5"/>
    <n v="2017"/>
    <x v="4"/>
    <s v="D3"/>
    <s v="Unverified"/>
    <n v="2.69"/>
  </r>
  <r>
    <d v="2018-01-01T00:00:00"/>
    <x v="6"/>
    <n v="2018"/>
    <x v="4"/>
    <s v="D3"/>
    <s v="Q-RIN"/>
    <n v="2.8"/>
  </r>
  <r>
    <d v="2018-01-01T00:00:00"/>
    <x v="6"/>
    <n v="2018"/>
    <x v="4"/>
    <s v="D3"/>
    <s v="Unverified"/>
    <n v="2.7"/>
  </r>
  <r>
    <d v="2018-01-08T00:00:00"/>
    <x v="6"/>
    <n v="2018"/>
    <x v="3"/>
    <s v="D3"/>
    <s v="Q-RIN"/>
    <n v="2.8"/>
  </r>
  <r>
    <d v="2018-01-08T00:00:00"/>
    <x v="6"/>
    <n v="2018"/>
    <x v="4"/>
    <s v="D3"/>
    <s v="Q-RIN"/>
    <n v="2.71"/>
  </r>
  <r>
    <d v="2018-01-15T00:00:00"/>
    <x v="6"/>
    <n v="2018"/>
    <x v="3"/>
    <s v="D3"/>
    <s v="Q-RIN"/>
    <n v="2.73"/>
  </r>
  <r>
    <d v="2018-01-15T00:00:00"/>
    <x v="6"/>
    <n v="2018"/>
    <x v="4"/>
    <s v="D3"/>
    <s v="Q-RIN"/>
    <n v="2.61"/>
  </r>
  <r>
    <d v="2018-01-15T00:00:00"/>
    <x v="6"/>
    <n v="2018"/>
    <x v="4"/>
    <s v="D3"/>
    <s v="Unverified"/>
    <n v="2.96"/>
  </r>
  <r>
    <d v="2018-01-22T00:00:00"/>
    <x v="6"/>
    <n v="2018"/>
    <x v="4"/>
    <s v="D3"/>
    <s v="Q-RIN"/>
    <n v="2.69"/>
  </r>
  <r>
    <d v="2018-01-29T00:00:00"/>
    <x v="6"/>
    <n v="2018"/>
    <x v="4"/>
    <s v="D3"/>
    <s v="Q-RIN"/>
    <n v="2.68"/>
  </r>
  <r>
    <d v="2018-02-05T00:00:00"/>
    <x v="7"/>
    <n v="2018"/>
    <x v="4"/>
    <s v="D3"/>
    <s v="Q-RIN"/>
    <n v="2.58"/>
  </r>
  <r>
    <d v="2018-02-05T00:00:00"/>
    <x v="7"/>
    <n v="2018"/>
    <x v="4"/>
    <s v="D3"/>
    <s v="Unverified"/>
    <n v="2.65"/>
  </r>
  <r>
    <d v="2018-02-12T00:00:00"/>
    <x v="7"/>
    <n v="2018"/>
    <x v="3"/>
    <s v="D3"/>
    <s v="Q-RIN"/>
    <n v="2.4700000000000002"/>
  </r>
  <r>
    <d v="2018-02-12T00:00:00"/>
    <x v="7"/>
    <n v="2018"/>
    <x v="4"/>
    <s v="D3"/>
    <s v="Q-RIN"/>
    <n v="2.6"/>
  </r>
  <r>
    <d v="2018-02-12T00:00:00"/>
    <x v="7"/>
    <n v="2018"/>
    <x v="4"/>
    <s v="D3"/>
    <s v="Unverified"/>
    <n v="2.6"/>
  </r>
  <r>
    <d v="2018-02-19T00:00:00"/>
    <x v="7"/>
    <n v="2018"/>
    <x v="4"/>
    <s v="D3"/>
    <s v="Q-RIN"/>
    <n v="2.67"/>
  </r>
  <r>
    <d v="2018-02-19T00:00:00"/>
    <x v="7"/>
    <n v="2018"/>
    <x v="4"/>
    <s v="D3"/>
    <s v="Unverified"/>
    <n v="2.36"/>
  </r>
  <r>
    <d v="2018-02-19T00:00:00"/>
    <x v="7"/>
    <n v="2018"/>
    <x v="5"/>
    <s v="D3"/>
    <s v="Q-RIN"/>
    <n v="2.11"/>
  </r>
  <r>
    <d v="2018-02-26T00:00:00"/>
    <x v="7"/>
    <n v="2018"/>
    <x v="3"/>
    <s v="D3"/>
    <s v="Q-RIN"/>
    <n v="2.35"/>
  </r>
  <r>
    <d v="2018-02-26T00:00:00"/>
    <x v="7"/>
    <n v="2018"/>
    <x v="4"/>
    <s v="D3"/>
    <s v="Q-RIN"/>
    <n v="2.4"/>
  </r>
  <r>
    <d v="2018-02-26T00:00:00"/>
    <x v="7"/>
    <n v="2018"/>
    <x v="4"/>
    <s v="D3"/>
    <s v="Unverified"/>
    <n v="2.42"/>
  </r>
  <r>
    <d v="2018-02-26T00:00:00"/>
    <x v="7"/>
    <n v="2018"/>
    <x v="5"/>
    <s v="D3"/>
    <s v="Q-RIN"/>
    <n v="2.66"/>
  </r>
  <r>
    <d v="2018-03-05T00:00:00"/>
    <x v="8"/>
    <n v="2018"/>
    <x v="3"/>
    <s v="D3"/>
    <s v="Q-RIN"/>
    <n v="2.35"/>
  </r>
  <r>
    <d v="2018-03-05T00:00:00"/>
    <x v="8"/>
    <n v="2018"/>
    <x v="4"/>
    <s v="D3"/>
    <s v="Q-RIN"/>
    <n v="2.5"/>
  </r>
  <r>
    <d v="2018-03-05T00:00:00"/>
    <x v="8"/>
    <n v="2018"/>
    <x v="4"/>
    <s v="D3"/>
    <s v="Unverified"/>
    <n v="2.4900000000000002"/>
  </r>
  <r>
    <d v="2018-03-05T00:00:00"/>
    <x v="8"/>
    <n v="2018"/>
    <x v="5"/>
    <s v="D3"/>
    <s v="Q-RIN"/>
    <n v="2.4700000000000002"/>
  </r>
  <r>
    <d v="2018-03-12T00:00:00"/>
    <x v="8"/>
    <n v="2018"/>
    <x v="4"/>
    <s v="D3"/>
    <s v="Q-RIN"/>
    <n v="2.59"/>
  </r>
  <r>
    <d v="2018-03-12T00:00:00"/>
    <x v="8"/>
    <n v="2018"/>
    <x v="4"/>
    <s v="D3"/>
    <s v="Unverified"/>
    <n v="2.59"/>
  </r>
  <r>
    <d v="2018-03-12T00:00:00"/>
    <x v="8"/>
    <n v="2018"/>
    <x v="5"/>
    <s v="D3"/>
    <s v="Q-RIN"/>
    <n v="2.6"/>
  </r>
  <r>
    <d v="2018-03-19T00:00:00"/>
    <x v="8"/>
    <n v="2018"/>
    <x v="3"/>
    <s v="D3"/>
    <s v="Q-RIN"/>
    <n v="2.04"/>
  </r>
  <r>
    <d v="2018-03-19T00:00:00"/>
    <x v="8"/>
    <n v="2018"/>
    <x v="4"/>
    <s v="D3"/>
    <s v="Q-RIN"/>
    <n v="2.67"/>
  </r>
  <r>
    <d v="2018-03-19T00:00:00"/>
    <x v="8"/>
    <n v="2018"/>
    <x v="5"/>
    <s v="D3"/>
    <s v="Q-RIN"/>
    <n v="2.2999999999999998"/>
  </r>
  <r>
    <d v="2018-03-26T00:00:00"/>
    <x v="8"/>
    <n v="2018"/>
    <x v="3"/>
    <s v="D3"/>
    <s v="Q-RIN"/>
    <n v="1.04"/>
  </r>
  <r>
    <d v="2018-03-26T00:00:00"/>
    <x v="8"/>
    <n v="2018"/>
    <x v="3"/>
    <s v="D3"/>
    <s v="Unverified"/>
    <n v="2.54"/>
  </r>
  <r>
    <d v="2018-03-26T00:00:00"/>
    <x v="8"/>
    <n v="2018"/>
    <x v="4"/>
    <s v="D3"/>
    <s v="Q-RIN"/>
    <n v="2.5499999999999998"/>
  </r>
  <r>
    <d v="2018-03-26T00:00:00"/>
    <x v="8"/>
    <n v="2018"/>
    <x v="4"/>
    <s v="D3"/>
    <s v="Unverified"/>
    <n v="2.2999999999999998"/>
  </r>
  <r>
    <d v="2018-03-26T00:00:00"/>
    <x v="8"/>
    <n v="2018"/>
    <x v="5"/>
    <s v="D3"/>
    <s v="Q-RIN"/>
    <n v="2.59"/>
  </r>
  <r>
    <d v="2018-04-02T00:00:00"/>
    <x v="1"/>
    <n v="2018"/>
    <x v="4"/>
    <s v="D3"/>
    <s v="Unverified"/>
    <n v="2.5"/>
  </r>
  <r>
    <d v="2018-04-02T00:00:00"/>
    <x v="1"/>
    <n v="2018"/>
    <x v="5"/>
    <s v="D3"/>
    <s v="Q-RIN"/>
    <n v="2.5099999999999998"/>
  </r>
  <r>
    <d v="2018-04-02T00:00:00"/>
    <x v="1"/>
    <n v="2018"/>
    <x v="5"/>
    <s v="D3"/>
    <s v="Unverified"/>
    <n v="2.4900000000000002"/>
  </r>
  <r>
    <d v="2018-04-09T00:00:00"/>
    <x v="1"/>
    <n v="2018"/>
    <x v="4"/>
    <s v="D3"/>
    <s v="Q-RIN"/>
    <n v="2.4900000000000002"/>
  </r>
  <r>
    <d v="2018-04-09T00:00:00"/>
    <x v="1"/>
    <n v="2018"/>
    <x v="5"/>
    <s v="D3"/>
    <s v="Q-RIN"/>
    <n v="2.52"/>
  </r>
  <r>
    <d v="2018-04-16T00:00:00"/>
    <x v="1"/>
    <n v="2018"/>
    <x v="5"/>
    <s v="D3"/>
    <s v="Q-RIN"/>
    <n v="2.38"/>
  </r>
  <r>
    <d v="2018-04-23T00:00:00"/>
    <x v="1"/>
    <n v="2018"/>
    <x v="4"/>
    <s v="D3"/>
    <s v="Q-RIN"/>
    <n v="2.4700000000000002"/>
  </r>
  <r>
    <d v="2018-04-23T00:00:00"/>
    <x v="1"/>
    <n v="2018"/>
    <x v="5"/>
    <s v="D3"/>
    <s v="Q-RIN"/>
    <n v="2.46"/>
  </r>
  <r>
    <d v="2018-04-23T00:00:00"/>
    <x v="1"/>
    <n v="2018"/>
    <x v="5"/>
    <s v="D3"/>
    <s v="Unverified"/>
    <n v="2.4900000000000002"/>
  </r>
  <r>
    <d v="2018-04-30T00:00:00"/>
    <x v="1"/>
    <n v="2018"/>
    <x v="4"/>
    <s v="D3"/>
    <s v="Q-RIN"/>
    <n v="2.4700000000000002"/>
  </r>
  <r>
    <d v="2018-04-30T00:00:00"/>
    <x v="1"/>
    <n v="2018"/>
    <x v="5"/>
    <s v="D3"/>
    <s v="Q-RIN"/>
    <n v="2.54"/>
  </r>
  <r>
    <d v="2018-05-07T00:00:00"/>
    <x v="9"/>
    <n v="2018"/>
    <x v="5"/>
    <s v="D3"/>
    <s v="Q-RIN"/>
    <n v="2.5"/>
  </r>
  <r>
    <d v="2018-05-14T00:00:00"/>
    <x v="9"/>
    <n v="2018"/>
    <x v="4"/>
    <s v="D3"/>
    <s v="Q-RIN"/>
    <n v="2.44"/>
  </r>
  <r>
    <d v="2018-05-14T00:00:00"/>
    <x v="9"/>
    <n v="2018"/>
    <x v="5"/>
    <s v="D3"/>
    <s v="Q-RIN"/>
    <n v="2.2599999999999998"/>
  </r>
  <r>
    <d v="2018-05-21T00:00:00"/>
    <x v="9"/>
    <n v="2018"/>
    <x v="4"/>
    <s v="D3"/>
    <s v="Q-RIN"/>
    <n v="2.31"/>
  </r>
  <r>
    <d v="2018-05-21T00:00:00"/>
    <x v="9"/>
    <n v="2018"/>
    <x v="5"/>
    <s v="D3"/>
    <s v="Q-RIN"/>
    <n v="2.56"/>
  </r>
  <r>
    <d v="2018-05-21T00:00:00"/>
    <x v="9"/>
    <n v="2018"/>
    <x v="5"/>
    <s v="D3"/>
    <s v="Unverified"/>
    <n v="2.2000000000000002"/>
  </r>
  <r>
    <d v="2018-05-28T00:00:00"/>
    <x v="9"/>
    <n v="2018"/>
    <x v="4"/>
    <s v="D3"/>
    <s v="Q-RIN"/>
    <n v="2.4"/>
  </r>
  <r>
    <d v="2018-05-28T00:00:00"/>
    <x v="9"/>
    <n v="2018"/>
    <x v="5"/>
    <s v="D3"/>
    <s v="Q-RIN"/>
    <n v="2.61"/>
  </r>
  <r>
    <d v="2018-06-04T00:00:00"/>
    <x v="10"/>
    <n v="2018"/>
    <x v="4"/>
    <s v="D3"/>
    <s v="Q-RIN"/>
    <n v="2.2599999999999998"/>
  </r>
  <r>
    <d v="2018-06-04T00:00:00"/>
    <x v="10"/>
    <n v="2018"/>
    <x v="5"/>
    <s v="D3"/>
    <s v="Q-RIN"/>
    <n v="2.4300000000000002"/>
  </r>
  <r>
    <d v="2018-06-11T00:00:00"/>
    <x v="10"/>
    <n v="2018"/>
    <x v="4"/>
    <s v="D3"/>
    <s v="Q-RIN"/>
    <n v="2.2599999999999998"/>
  </r>
  <r>
    <d v="2018-06-11T00:00:00"/>
    <x v="10"/>
    <n v="2018"/>
    <x v="5"/>
    <s v="D3"/>
    <s v="Q-RIN"/>
    <n v="2.46"/>
  </r>
  <r>
    <d v="2018-06-11T00:00:00"/>
    <x v="10"/>
    <n v="2018"/>
    <x v="5"/>
    <s v="D3"/>
    <s v="Unverified"/>
    <n v="2.25"/>
  </r>
  <r>
    <d v="2018-06-18T00:00:00"/>
    <x v="10"/>
    <n v="2018"/>
    <x v="4"/>
    <s v="D3"/>
    <s v="Q-RIN"/>
    <n v="2.44"/>
  </r>
  <r>
    <d v="2018-06-18T00:00:00"/>
    <x v="10"/>
    <n v="2018"/>
    <x v="5"/>
    <s v="D3"/>
    <s v="Q-RIN"/>
    <n v="2.35"/>
  </r>
  <r>
    <d v="2018-06-25T00:00:00"/>
    <x v="10"/>
    <n v="2018"/>
    <x v="5"/>
    <s v="D3"/>
    <s v="Q-RIN"/>
    <n v="2.5"/>
  </r>
  <r>
    <d v="2018-06-25T00:00:00"/>
    <x v="10"/>
    <n v="2018"/>
    <x v="5"/>
    <s v="D3"/>
    <s v="Unverified"/>
    <n v="2.25"/>
  </r>
  <r>
    <d v="2018-07-02T00:00:00"/>
    <x v="11"/>
    <n v="2018"/>
    <x v="4"/>
    <s v="D3"/>
    <s v="Q-RIN"/>
    <n v="2.2599999999999998"/>
  </r>
  <r>
    <d v="2018-07-02T00:00:00"/>
    <x v="11"/>
    <n v="2018"/>
    <x v="5"/>
    <s v="D3"/>
    <s v="Q-RIN"/>
    <n v="2.38"/>
  </r>
  <r>
    <d v="2018-07-09T00:00:00"/>
    <x v="11"/>
    <n v="2018"/>
    <x v="4"/>
    <s v="D3"/>
    <s v="Q-RIN"/>
    <n v="2.34"/>
  </r>
  <r>
    <d v="2018-07-09T00:00:00"/>
    <x v="11"/>
    <n v="2018"/>
    <x v="5"/>
    <s v="D3"/>
    <s v="Q-RIN"/>
    <n v="2.2999999999999998"/>
  </r>
  <r>
    <d v="2018-07-16T00:00:00"/>
    <x v="11"/>
    <n v="2018"/>
    <x v="4"/>
    <s v="D3"/>
    <s v="Q-RIN"/>
    <n v="2.1800000000000002"/>
  </r>
  <r>
    <d v="2018-07-16T00:00:00"/>
    <x v="11"/>
    <n v="2018"/>
    <x v="5"/>
    <s v="D3"/>
    <s v="Q-RIN"/>
    <n v="1.92"/>
  </r>
  <r>
    <d v="2018-07-23T00:00:00"/>
    <x v="11"/>
    <n v="2018"/>
    <x v="4"/>
    <s v="D3"/>
    <s v="Q-RIN"/>
    <n v="2.4"/>
  </r>
  <r>
    <d v="2018-07-23T00:00:00"/>
    <x v="11"/>
    <n v="2018"/>
    <x v="5"/>
    <s v="D3"/>
    <s v="Q-RIN"/>
    <n v="2.27"/>
  </r>
  <r>
    <d v="2018-07-30T00:00:00"/>
    <x v="11"/>
    <n v="2018"/>
    <x v="5"/>
    <s v="D3"/>
    <s v="Q-RIN"/>
    <n v="2.37"/>
  </r>
  <r>
    <d v="2018-08-06T00:00:00"/>
    <x v="0"/>
    <n v="2018"/>
    <x v="4"/>
    <s v="D3"/>
    <s v="Q-RIN"/>
    <n v="2.19"/>
  </r>
  <r>
    <d v="2018-08-06T00:00:00"/>
    <x v="0"/>
    <n v="2018"/>
    <x v="5"/>
    <s v="D3"/>
    <s v="Q-RIN"/>
    <n v="2.2200000000000002"/>
  </r>
  <r>
    <d v="2018-08-13T00:00:00"/>
    <x v="0"/>
    <n v="2018"/>
    <x v="4"/>
    <s v="D3"/>
    <s v="Q-RIN"/>
    <n v="2.14"/>
  </r>
  <r>
    <d v="2018-08-13T00:00:00"/>
    <x v="0"/>
    <n v="2018"/>
    <x v="5"/>
    <s v="D3"/>
    <s v="Q-RIN"/>
    <n v="2.29"/>
  </r>
  <r>
    <d v="2018-08-13T00:00:00"/>
    <x v="0"/>
    <n v="2018"/>
    <x v="5"/>
    <s v="D3"/>
    <s v="Unverified"/>
    <n v="2.1"/>
  </r>
  <r>
    <d v="2018-08-20T00:00:00"/>
    <x v="0"/>
    <n v="2018"/>
    <x v="4"/>
    <s v="D3"/>
    <s v="Unverified"/>
    <n v="1.87"/>
  </r>
  <r>
    <d v="2018-08-20T00:00:00"/>
    <x v="0"/>
    <n v="2018"/>
    <x v="5"/>
    <s v="D3"/>
    <s v="Q-RIN"/>
    <n v="2.16"/>
  </r>
  <r>
    <d v="2018-08-20T00:00:00"/>
    <x v="0"/>
    <n v="2018"/>
    <x v="5"/>
    <s v="D3"/>
    <s v="Unverified"/>
    <n v="2"/>
  </r>
  <r>
    <d v="2018-08-27T00:00:00"/>
    <x v="0"/>
    <n v="2018"/>
    <x v="4"/>
    <s v="D3"/>
    <s v="Q-RIN"/>
    <n v="2.15"/>
  </r>
  <r>
    <d v="2018-08-27T00:00:00"/>
    <x v="0"/>
    <n v="2018"/>
    <x v="5"/>
    <s v="D3"/>
    <s v="Q-RIN"/>
    <n v="2.2999999999999998"/>
  </r>
  <r>
    <d v="2018-08-27T00:00:00"/>
    <x v="0"/>
    <n v="2018"/>
    <x v="5"/>
    <s v="D3"/>
    <s v="Unverified"/>
    <n v="2.1"/>
  </r>
  <r>
    <d v="2018-09-03T00:00:00"/>
    <x v="2"/>
    <n v="2018"/>
    <x v="4"/>
    <s v="D3"/>
    <s v="Q-RIN"/>
    <n v="2.15"/>
  </r>
  <r>
    <d v="2018-09-03T00:00:00"/>
    <x v="2"/>
    <n v="2018"/>
    <x v="5"/>
    <s v="D3"/>
    <s v="Q-RIN"/>
    <n v="2.2799999999999998"/>
  </r>
  <r>
    <d v="2018-09-10T00:00:00"/>
    <x v="2"/>
    <n v="2018"/>
    <x v="4"/>
    <s v="D3"/>
    <s v="Q-RIN"/>
    <n v="2.11"/>
  </r>
  <r>
    <d v="2018-09-10T00:00:00"/>
    <x v="2"/>
    <n v="2018"/>
    <x v="5"/>
    <s v="D3"/>
    <s v="Q-RIN"/>
    <n v="2.25"/>
  </r>
  <r>
    <d v="2018-09-17T00:00:00"/>
    <x v="2"/>
    <n v="2018"/>
    <x v="4"/>
    <s v="D3"/>
    <s v="Q-RIN"/>
    <n v="2.15"/>
  </r>
  <r>
    <d v="2018-09-17T00:00:00"/>
    <x v="2"/>
    <n v="2018"/>
    <x v="4"/>
    <s v="D3"/>
    <s v="Unverified"/>
    <n v="2.13"/>
  </r>
  <r>
    <d v="2018-09-17T00:00:00"/>
    <x v="2"/>
    <n v="2018"/>
    <x v="5"/>
    <s v="D3"/>
    <s v="Q-RIN"/>
    <n v="2.23"/>
  </r>
  <r>
    <d v="2018-09-24T00:00:00"/>
    <x v="2"/>
    <n v="2018"/>
    <x v="4"/>
    <s v="D3"/>
    <s v="Q-RIN"/>
    <n v="2.13"/>
  </r>
  <r>
    <d v="2018-09-24T00:00:00"/>
    <x v="2"/>
    <n v="2018"/>
    <x v="5"/>
    <s v="D3"/>
    <s v="Q-RIN"/>
    <n v="2.29"/>
  </r>
  <r>
    <d v="2018-09-24T00:00:00"/>
    <x v="2"/>
    <n v="2018"/>
    <x v="5"/>
    <s v="D3"/>
    <s v="Unverified"/>
    <n v="2.1800000000000002"/>
  </r>
  <r>
    <d v="2018-10-01T00:00:00"/>
    <x v="3"/>
    <n v="2018"/>
    <x v="5"/>
    <s v="D3"/>
    <s v="Q-RIN"/>
    <n v="2.5099999999999998"/>
  </r>
  <r>
    <d v="2018-10-01T00:00:00"/>
    <x v="3"/>
    <n v="2018"/>
    <x v="5"/>
    <s v="D3"/>
    <s v="Unverified"/>
    <n v="2.71"/>
  </r>
  <r>
    <d v="2018-10-08T00:00:00"/>
    <x v="3"/>
    <n v="2018"/>
    <x v="4"/>
    <s v="D3"/>
    <s v="Q-RIN"/>
    <n v="2.04"/>
  </r>
  <r>
    <d v="2018-10-08T00:00:00"/>
    <x v="3"/>
    <n v="2018"/>
    <x v="5"/>
    <s v="D3"/>
    <s v="Q-RIN"/>
    <n v="2.15"/>
  </r>
  <r>
    <d v="2018-10-15T00:00:00"/>
    <x v="3"/>
    <n v="2018"/>
    <x v="4"/>
    <s v="D3"/>
    <s v="Q-RIN"/>
    <n v="2.0299999999999998"/>
  </r>
  <r>
    <d v="2018-10-15T00:00:00"/>
    <x v="3"/>
    <n v="2018"/>
    <x v="4"/>
    <s v="D3"/>
    <s v="Unverified"/>
    <n v="2"/>
  </r>
  <r>
    <d v="2018-10-15T00:00:00"/>
    <x v="3"/>
    <n v="2018"/>
    <x v="5"/>
    <s v="D3"/>
    <s v="Q-RIN"/>
    <n v="2.46"/>
  </r>
  <r>
    <d v="2018-10-22T00:00:00"/>
    <x v="3"/>
    <n v="2018"/>
    <x v="4"/>
    <s v="D3"/>
    <s v="Q-RIN"/>
    <n v="2.0699999999999998"/>
  </r>
  <r>
    <d v="2018-10-22T00:00:00"/>
    <x v="3"/>
    <n v="2018"/>
    <x v="5"/>
    <s v="D3"/>
    <s v="Q-RIN"/>
    <n v="2"/>
  </r>
  <r>
    <d v="2018-10-29T00:00:00"/>
    <x v="3"/>
    <n v="2018"/>
    <x v="5"/>
    <s v="D3"/>
    <s v="Q-RIN"/>
    <n v="2.2400000000000002"/>
  </r>
  <r>
    <d v="2018-11-05T00:00:00"/>
    <x v="4"/>
    <n v="2018"/>
    <x v="5"/>
    <s v="D3"/>
    <s v="Q-RIN"/>
    <n v="2.09"/>
  </r>
  <r>
    <d v="2018-11-12T00:00:00"/>
    <x v="4"/>
    <n v="2018"/>
    <x v="5"/>
    <s v="D3"/>
    <s v="Q-RIN"/>
    <n v="2"/>
  </r>
  <r>
    <d v="2018-11-19T00:00:00"/>
    <x v="4"/>
    <n v="2018"/>
    <x v="5"/>
    <s v="D3"/>
    <s v="Q-RIN"/>
    <n v="2.1800000000000002"/>
  </r>
  <r>
    <d v="2018-11-26T00:00:00"/>
    <x v="4"/>
    <n v="2018"/>
    <x v="5"/>
    <s v="D3"/>
    <s v="Q-RIN"/>
    <n v="2.38"/>
  </r>
  <r>
    <d v="2018-11-26T00:00:00"/>
    <x v="4"/>
    <n v="2018"/>
    <x v="5"/>
    <s v="D3"/>
    <s v="Unverified"/>
    <n v="2.4500000000000002"/>
  </r>
  <r>
    <d v="2018-12-03T00:00:00"/>
    <x v="5"/>
    <n v="2018"/>
    <x v="5"/>
    <s v="D3"/>
    <s v="Q-RIN"/>
    <n v="2.02"/>
  </r>
  <r>
    <d v="2018-12-10T00:00:00"/>
    <x v="5"/>
    <n v="2018"/>
    <x v="5"/>
    <s v="D3"/>
    <s v="Q-RIN"/>
    <n v="2.02"/>
  </r>
  <r>
    <d v="2018-12-17T00:00:00"/>
    <x v="5"/>
    <n v="2018"/>
    <x v="5"/>
    <s v="D3"/>
    <s v="Q-RIN"/>
    <n v="2.14"/>
  </r>
  <r>
    <d v="2018-12-17T00:00:00"/>
    <x v="5"/>
    <n v="2018"/>
    <x v="5"/>
    <s v="D3"/>
    <s v="Unverified"/>
    <n v="2.27"/>
  </r>
  <r>
    <d v="2018-12-24T00:00:00"/>
    <x v="5"/>
    <n v="2018"/>
    <x v="5"/>
    <s v="D3"/>
    <s v="Q-RIN"/>
    <n v="2.0499999999999998"/>
  </r>
  <r>
    <d v="2018-12-31T00:00:00"/>
    <x v="5"/>
    <n v="2018"/>
    <x v="5"/>
    <s v="D3"/>
    <s v="Q-RIN"/>
    <n v="2.13"/>
  </r>
  <r>
    <d v="2018-12-31T00:00:00"/>
    <x v="5"/>
    <n v="2019"/>
    <x v="5"/>
    <s v="D3"/>
    <s v="Q-RIN"/>
    <n v="2.2999999999999998"/>
  </r>
  <r>
    <d v="2019-01-07T00:00:00"/>
    <x v="6"/>
    <n v="2019"/>
    <x v="4"/>
    <s v="D3"/>
    <s v="Q-RIN"/>
    <n v="1.8"/>
  </r>
  <r>
    <d v="2019-01-07T00:00:00"/>
    <x v="6"/>
    <n v="2019"/>
    <x v="5"/>
    <s v="D3"/>
    <s v="Q-RIN"/>
    <n v="2.12"/>
  </r>
  <r>
    <d v="2019-01-07T00:00:00"/>
    <x v="6"/>
    <n v="2019"/>
    <x v="5"/>
    <s v="D3"/>
    <s v="Unverified"/>
    <n v="1.9"/>
  </r>
  <r>
    <d v="2019-01-14T00:00:00"/>
    <x v="6"/>
    <n v="2019"/>
    <x v="4"/>
    <s v="D3"/>
    <s v="Q-RIN"/>
    <n v="1.76"/>
  </r>
  <r>
    <d v="2019-01-14T00:00:00"/>
    <x v="6"/>
    <n v="2019"/>
    <x v="5"/>
    <s v="D3"/>
    <s v="Q-RIN"/>
    <n v="2"/>
  </r>
  <r>
    <d v="2019-01-14T00:00:00"/>
    <x v="6"/>
    <n v="2019"/>
    <x v="5"/>
    <s v="D3"/>
    <s v="Unverified"/>
    <n v="2.2000000000000002"/>
  </r>
  <r>
    <d v="2019-01-21T00:00:00"/>
    <x v="6"/>
    <n v="2019"/>
    <x v="5"/>
    <s v="D3"/>
    <s v="Q-RIN"/>
    <n v="2.06"/>
  </r>
  <r>
    <d v="2019-01-28T00:00:00"/>
    <x v="6"/>
    <n v="2019"/>
    <x v="5"/>
    <s v="D3"/>
    <s v="Q-RIN"/>
    <n v="1.97"/>
  </r>
  <r>
    <d v="2019-02-04T00:00:00"/>
    <x v="7"/>
    <n v="2019"/>
    <x v="5"/>
    <s v="D3"/>
    <s v="Q-RIN"/>
    <n v="1.9"/>
  </r>
  <r>
    <d v="2019-02-04T00:00:00"/>
    <x v="7"/>
    <n v="2019"/>
    <x v="5"/>
    <s v="D3"/>
    <s v="Unverified"/>
    <n v="1.84"/>
  </r>
  <r>
    <d v="2019-02-11T00:00:00"/>
    <x v="7"/>
    <n v="2019"/>
    <x v="5"/>
    <s v="D3"/>
    <s v="Q-RIN"/>
    <n v="1.87"/>
  </r>
  <r>
    <d v="2019-02-11T00:00:00"/>
    <x v="7"/>
    <n v="2019"/>
    <x v="5"/>
    <s v="D3"/>
    <s v="Unverified"/>
    <n v="1.77"/>
  </r>
  <r>
    <d v="2019-02-11T00:00:00"/>
    <x v="7"/>
    <n v="2019"/>
    <x v="6"/>
    <s v="D3"/>
    <s v="Q-RIN"/>
    <n v="1.85"/>
  </r>
  <r>
    <d v="2019-02-18T00:00:00"/>
    <x v="7"/>
    <n v="2019"/>
    <x v="5"/>
    <s v="D3"/>
    <s v="Q-RIN"/>
    <n v="1.97"/>
  </r>
  <r>
    <d v="2019-02-18T00:00:00"/>
    <x v="7"/>
    <n v="2019"/>
    <x v="5"/>
    <s v="D3"/>
    <s v="Unverified"/>
    <n v="1.77"/>
  </r>
  <r>
    <d v="2019-02-18T00:00:00"/>
    <x v="7"/>
    <n v="2019"/>
    <x v="6"/>
    <s v="D3"/>
    <s v="Q-RIN"/>
    <n v="1.61"/>
  </r>
  <r>
    <d v="2019-02-25T00:00:00"/>
    <x v="7"/>
    <n v="2019"/>
    <x v="4"/>
    <s v="D3"/>
    <s v="Q-RIN"/>
    <n v="1.78"/>
  </r>
  <r>
    <d v="2019-02-25T00:00:00"/>
    <x v="7"/>
    <n v="2019"/>
    <x v="4"/>
    <s v="D3"/>
    <s v="Unverified"/>
    <n v="1.47"/>
  </r>
  <r>
    <d v="2019-02-25T00:00:00"/>
    <x v="7"/>
    <n v="2019"/>
    <x v="5"/>
    <s v="D3"/>
    <s v="Q-RIN"/>
    <n v="1.89"/>
  </r>
  <r>
    <d v="2019-02-25T00:00:00"/>
    <x v="7"/>
    <n v="2019"/>
    <x v="6"/>
    <s v="D3"/>
    <s v="Q-RIN"/>
    <n v="1.82"/>
  </r>
  <r>
    <d v="2019-03-04T00:00:00"/>
    <x v="8"/>
    <n v="2019"/>
    <x v="4"/>
    <s v="D3"/>
    <s v="Unverified"/>
    <n v="1.5"/>
  </r>
  <r>
    <d v="2019-03-04T00:00:00"/>
    <x v="8"/>
    <n v="2019"/>
    <x v="5"/>
    <s v="D3"/>
    <s v="Q-RIN"/>
    <n v="1.8"/>
  </r>
  <r>
    <d v="2019-03-04T00:00:00"/>
    <x v="8"/>
    <n v="2019"/>
    <x v="6"/>
    <s v="D3"/>
    <s v="Q-RIN"/>
    <n v="1.77"/>
  </r>
  <r>
    <d v="2019-03-11T00:00:00"/>
    <x v="8"/>
    <n v="2019"/>
    <x v="4"/>
    <s v="D3"/>
    <s v="Q-RIN"/>
    <n v="1.6"/>
  </r>
  <r>
    <d v="2019-03-11T00:00:00"/>
    <x v="8"/>
    <n v="2019"/>
    <x v="5"/>
    <s v="D3"/>
    <s v="Q-RIN"/>
    <n v="1.84"/>
  </r>
  <r>
    <d v="2019-03-11T00:00:00"/>
    <x v="8"/>
    <n v="2019"/>
    <x v="6"/>
    <s v="D3"/>
    <s v="Q-RIN"/>
    <n v="1.82"/>
  </r>
  <r>
    <d v="2019-03-18T00:00:00"/>
    <x v="8"/>
    <n v="2019"/>
    <x v="4"/>
    <s v="D3"/>
    <s v="Q-RIN"/>
    <n v="1.26"/>
  </r>
  <r>
    <d v="2019-03-18T00:00:00"/>
    <x v="8"/>
    <n v="2019"/>
    <x v="5"/>
    <s v="D3"/>
    <s v="Q-RIN"/>
    <n v="1.85"/>
  </r>
  <r>
    <d v="2019-03-18T00:00:00"/>
    <x v="8"/>
    <n v="2019"/>
    <x v="6"/>
    <s v="D3"/>
    <s v="Q-RIN"/>
    <n v="1.51"/>
  </r>
  <r>
    <d v="2019-03-25T00:00:00"/>
    <x v="8"/>
    <n v="2019"/>
    <x v="4"/>
    <s v="D3"/>
    <s v="Unverified"/>
    <n v="1.78"/>
  </r>
  <r>
    <d v="2019-03-25T00:00:00"/>
    <x v="8"/>
    <n v="2019"/>
    <x v="5"/>
    <s v="D3"/>
    <s v="Q-RIN"/>
    <n v="1.78"/>
  </r>
  <r>
    <d v="2019-03-25T00:00:00"/>
    <x v="8"/>
    <n v="2019"/>
    <x v="5"/>
    <s v="D3"/>
    <s v="Unverified"/>
    <n v="1.84"/>
  </r>
  <r>
    <d v="2019-03-25T00:00:00"/>
    <x v="8"/>
    <n v="2019"/>
    <x v="6"/>
    <s v="D3"/>
    <s v="Q-RIN"/>
    <n v="1.77"/>
  </r>
  <r>
    <d v="2019-04-01T00:00:00"/>
    <x v="1"/>
    <n v="2019"/>
    <x v="5"/>
    <s v="D3"/>
    <s v="Q-RIN"/>
    <n v="1.65"/>
  </r>
  <r>
    <d v="2019-04-01T00:00:00"/>
    <x v="1"/>
    <n v="2019"/>
    <x v="6"/>
    <s v="D3"/>
    <s v="Q-RIN"/>
    <n v="1.64"/>
  </r>
  <r>
    <d v="2019-04-08T00:00:00"/>
    <x v="1"/>
    <n v="2019"/>
    <x v="6"/>
    <s v="D3"/>
    <s v="Q-RIN"/>
    <n v="1.6"/>
  </r>
  <r>
    <d v="2019-04-15T00:00:00"/>
    <x v="1"/>
    <n v="2019"/>
    <x v="6"/>
    <s v="D3"/>
    <s v="Q-RIN"/>
    <n v="1.76"/>
  </r>
  <r>
    <d v="2019-04-22T00:00:00"/>
    <x v="1"/>
    <n v="2019"/>
    <x v="5"/>
    <s v="D3"/>
    <s v="Q-RIN"/>
    <n v="1.67"/>
  </r>
  <r>
    <d v="2019-04-22T00:00:00"/>
    <x v="1"/>
    <n v="2019"/>
    <x v="6"/>
    <s v="D3"/>
    <s v="Q-RIN"/>
    <n v="1.72"/>
  </r>
  <r>
    <d v="2019-04-29T00:00:00"/>
    <x v="1"/>
    <n v="2019"/>
    <x v="6"/>
    <s v="D3"/>
    <s v="Q-RIN"/>
    <n v="1.71"/>
  </r>
  <r>
    <d v="2019-05-06T00:00:00"/>
    <x v="9"/>
    <n v="2019"/>
    <x v="5"/>
    <s v="D3"/>
    <s v="Unverified"/>
    <n v="1.25"/>
  </r>
  <r>
    <d v="2019-05-06T00:00:00"/>
    <x v="9"/>
    <n v="2019"/>
    <x v="6"/>
    <s v="D3"/>
    <s v="Q-RIN"/>
    <n v="1.54"/>
  </r>
  <r>
    <d v="2019-05-13T00:00:00"/>
    <x v="9"/>
    <n v="2019"/>
    <x v="6"/>
    <s v="D3"/>
    <s v="Q-RIN"/>
    <n v="1.67"/>
  </r>
  <r>
    <d v="2019-05-20T00:00:00"/>
    <x v="9"/>
    <n v="2019"/>
    <x v="6"/>
    <s v="D3"/>
    <s v="Q-RIN"/>
    <n v="1.57"/>
  </r>
  <r>
    <d v="2019-05-27T00:00:00"/>
    <x v="9"/>
    <n v="2019"/>
    <x v="6"/>
    <s v="D3"/>
    <s v="Q-RIN"/>
    <n v="1.54"/>
  </r>
  <r>
    <d v="2019-05-27T00:00:00"/>
    <x v="9"/>
    <n v="2019"/>
    <x v="6"/>
    <s v="D3"/>
    <s v="Unverified"/>
    <n v="1.1000000000000001"/>
  </r>
  <r>
    <d v="2019-06-03T00:00:00"/>
    <x v="10"/>
    <n v="2019"/>
    <x v="6"/>
    <s v="D3"/>
    <s v="Q-RIN"/>
    <n v="1.46"/>
  </r>
  <r>
    <d v="2019-06-10T00:00:00"/>
    <x v="10"/>
    <n v="2019"/>
    <x v="5"/>
    <s v="D3"/>
    <s v="Q-RIN"/>
    <n v="1.38"/>
  </r>
  <r>
    <d v="2019-06-10T00:00:00"/>
    <x v="10"/>
    <n v="2019"/>
    <x v="6"/>
    <s v="D3"/>
    <s v="Q-RIN"/>
    <n v="1.47"/>
  </r>
  <r>
    <d v="2019-06-17T00:00:00"/>
    <x v="10"/>
    <n v="2019"/>
    <x v="6"/>
    <s v="D3"/>
    <s v="Q-RIN"/>
    <n v="1.38"/>
  </r>
  <r>
    <d v="2019-06-24T00:00:00"/>
    <x v="10"/>
    <n v="2019"/>
    <x v="6"/>
    <s v="D3"/>
    <s v="Q-RIN"/>
    <n v="1.17"/>
  </r>
  <r>
    <d v="2019-06-24T00:00:00"/>
    <x v="10"/>
    <n v="2019"/>
    <x v="6"/>
    <s v="D3"/>
    <s v="Unverified"/>
    <n v="0.7"/>
  </r>
  <r>
    <d v="2019-07-01T00:00:00"/>
    <x v="11"/>
    <n v="2019"/>
    <x v="6"/>
    <s v="D3"/>
    <s v="Q-RIN"/>
    <n v="1.1299999999999999"/>
  </r>
  <r>
    <d v="2019-07-08T00:00:00"/>
    <x v="11"/>
    <n v="2019"/>
    <x v="6"/>
    <s v="D3"/>
    <s v="Q-RIN"/>
    <n v="0.99"/>
  </r>
  <r>
    <d v="2019-07-15T00:00:00"/>
    <x v="11"/>
    <n v="2019"/>
    <x v="5"/>
    <s v="D3"/>
    <s v="Q-RIN"/>
    <n v="0.8"/>
  </r>
  <r>
    <d v="2019-07-15T00:00:00"/>
    <x v="11"/>
    <n v="2019"/>
    <x v="6"/>
    <s v="D3"/>
    <s v="Q-RIN"/>
    <n v="1.36"/>
  </r>
  <r>
    <d v="2019-07-22T00:00:00"/>
    <x v="11"/>
    <n v="2019"/>
    <x v="6"/>
    <s v="D3"/>
    <s v="Q-RIN"/>
    <n v="1.34"/>
  </r>
  <r>
    <d v="2019-07-29T00:00:00"/>
    <x v="11"/>
    <n v="2019"/>
    <x v="6"/>
    <s v="D3"/>
    <s v="Q-RIN"/>
    <n v="1.27"/>
  </r>
  <r>
    <d v="2019-07-29T00:00:00"/>
    <x v="11"/>
    <n v="2019"/>
    <x v="6"/>
    <s v="D3"/>
    <s v="Unverified"/>
    <n v="1.71"/>
  </r>
  <r>
    <d v="2019-08-05T00:00:00"/>
    <x v="0"/>
    <n v="2019"/>
    <x v="5"/>
    <s v="D3"/>
    <s v="Q-RIN"/>
    <n v="0.52"/>
  </r>
  <r>
    <d v="2019-08-05T00:00:00"/>
    <x v="0"/>
    <n v="2019"/>
    <x v="6"/>
    <s v="D3"/>
    <s v="Q-RIN"/>
    <n v="0.7"/>
  </r>
  <r>
    <d v="2019-08-12T00:00:00"/>
    <x v="0"/>
    <n v="2019"/>
    <x v="5"/>
    <s v="D3"/>
    <s v="Q-RIN"/>
    <n v="0.48"/>
  </r>
  <r>
    <d v="2019-08-12T00:00:00"/>
    <x v="0"/>
    <n v="2019"/>
    <x v="6"/>
    <s v="D3"/>
    <s v="Q-RIN"/>
    <n v="1.01"/>
  </r>
  <r>
    <d v="2019-08-19T00:00:00"/>
    <x v="0"/>
    <n v="2019"/>
    <x v="6"/>
    <s v="D3"/>
    <s v="Q-RIN"/>
    <n v="1.1599999999999999"/>
  </r>
  <r>
    <d v="2019-08-26T00:00:00"/>
    <x v="0"/>
    <n v="2019"/>
    <x v="6"/>
    <s v="D3"/>
    <s v="Q-RIN"/>
    <n v="0.64"/>
  </r>
  <r>
    <d v="2019-09-02T00:00:00"/>
    <x v="2"/>
    <n v="2019"/>
    <x v="6"/>
    <s v="D3"/>
    <s v="Q-RIN"/>
    <n v="0.68"/>
  </r>
  <r>
    <d v="2019-09-09T00:00:00"/>
    <x v="2"/>
    <n v="2019"/>
    <x v="6"/>
    <s v="D3"/>
    <s v="Q-RIN"/>
    <n v="0.59"/>
  </r>
  <r>
    <d v="2019-09-16T00:00:00"/>
    <x v="2"/>
    <n v="2019"/>
    <x v="5"/>
    <s v="D3"/>
    <s v="Q-RIN"/>
    <n v="0.46"/>
  </r>
  <r>
    <d v="2019-09-16T00:00:00"/>
    <x v="2"/>
    <n v="2019"/>
    <x v="6"/>
    <s v="D3"/>
    <s v="Q-RIN"/>
    <n v="0.87"/>
  </r>
  <r>
    <d v="2019-09-23T00:00:00"/>
    <x v="2"/>
    <n v="2019"/>
    <x v="6"/>
    <s v="D3"/>
    <s v="Q-RIN"/>
    <n v="0.95"/>
  </r>
  <r>
    <d v="2019-09-30T00:00:00"/>
    <x v="2"/>
    <n v="2019"/>
    <x v="6"/>
    <s v="D3"/>
    <s v="Q-RIN"/>
    <n v="1.07"/>
  </r>
  <r>
    <d v="2019-10-07T00:00:00"/>
    <x v="3"/>
    <n v="2019"/>
    <x v="5"/>
    <s v="D3"/>
    <s v="Q-RIN"/>
    <n v="0.57999999999999996"/>
  </r>
  <r>
    <d v="2019-10-07T00:00:00"/>
    <x v="3"/>
    <n v="2019"/>
    <x v="6"/>
    <s v="D3"/>
    <s v="Q-RIN"/>
    <n v="0.73"/>
  </r>
  <r>
    <d v="2019-10-14T00:00:00"/>
    <x v="3"/>
    <n v="2019"/>
    <x v="5"/>
    <s v="D3"/>
    <s v="Q-RIN"/>
    <n v="0.69"/>
  </r>
  <r>
    <d v="2019-10-14T00:00:00"/>
    <x v="3"/>
    <n v="2019"/>
    <x v="6"/>
    <s v="D3"/>
    <s v="Q-RIN"/>
    <n v="0.83"/>
  </r>
  <r>
    <d v="2019-10-21T00:00:00"/>
    <x v="3"/>
    <n v="2019"/>
    <x v="5"/>
    <s v="D3"/>
    <s v="Q-RIN"/>
    <n v="0.67"/>
  </r>
  <r>
    <d v="2019-10-21T00:00:00"/>
    <x v="3"/>
    <n v="2019"/>
    <x v="6"/>
    <s v="D3"/>
    <s v="Q-RIN"/>
    <n v="0.83"/>
  </r>
  <r>
    <d v="2019-10-28T00:00:00"/>
    <x v="3"/>
    <n v="2019"/>
    <x v="6"/>
    <s v="D3"/>
    <s v="Q-RIN"/>
    <n v="0.96"/>
  </r>
  <r>
    <d v="2019-11-04T00:00:00"/>
    <x v="4"/>
    <n v="2019"/>
    <x v="6"/>
    <s v="D3"/>
    <s v="Q-RIN"/>
    <n v="1.01"/>
  </r>
  <r>
    <d v="2019-11-04T00:00:00"/>
    <x v="4"/>
    <n v="2019"/>
    <x v="6"/>
    <s v="D3"/>
    <s v="Unverified"/>
    <n v="0.73"/>
  </r>
  <r>
    <d v="2019-11-11T00:00:00"/>
    <x v="4"/>
    <n v="2019"/>
    <x v="6"/>
    <s v="D3"/>
    <s v="Q-RIN"/>
    <n v="0.68"/>
  </r>
  <r>
    <d v="2019-11-18T00:00:00"/>
    <x v="4"/>
    <n v="2019"/>
    <x v="6"/>
    <s v="D3"/>
    <s v="Q-RIN"/>
    <n v="0.94"/>
  </r>
  <r>
    <d v="2019-11-18T00:00:00"/>
    <x v="4"/>
    <n v="2019"/>
    <x v="6"/>
    <s v="D3"/>
    <s v="Unverified"/>
    <n v="1.77"/>
  </r>
  <r>
    <d v="2019-11-25T00:00:00"/>
    <x v="4"/>
    <n v="2019"/>
    <x v="6"/>
    <s v="D3"/>
    <s v="Q-RIN"/>
    <n v="1.04"/>
  </r>
  <r>
    <d v="2019-12-02T00:00:00"/>
    <x v="5"/>
    <n v="2019"/>
    <x v="5"/>
    <s v="D3"/>
    <s v="Q-RIN"/>
    <n v="0.74"/>
  </r>
  <r>
    <d v="2019-12-02T00:00:00"/>
    <x v="5"/>
    <n v="2019"/>
    <x v="6"/>
    <s v="D3"/>
    <s v="Q-RIN"/>
    <n v="0.78"/>
  </r>
  <r>
    <d v="2019-12-09T00:00:00"/>
    <x v="5"/>
    <n v="2019"/>
    <x v="5"/>
    <s v="D3"/>
    <s v="Q-RIN"/>
    <n v="1.28"/>
  </r>
  <r>
    <d v="2019-12-09T00:00:00"/>
    <x v="5"/>
    <n v="2019"/>
    <x v="6"/>
    <s v="D3"/>
    <s v="Q-RIN"/>
    <n v="0.77"/>
  </r>
  <r>
    <d v="2019-12-16T00:00:00"/>
    <x v="5"/>
    <n v="2019"/>
    <x v="5"/>
    <s v="D3"/>
    <s v="Q-RIN"/>
    <n v="0.82"/>
  </r>
  <r>
    <d v="2019-12-16T00:00:00"/>
    <x v="5"/>
    <n v="2019"/>
    <x v="6"/>
    <s v="D3"/>
    <s v="Q-RIN"/>
    <n v="0.96"/>
  </r>
  <r>
    <d v="2019-12-16T00:00:00"/>
    <x v="5"/>
    <n v="2019"/>
    <x v="6"/>
    <s v="D3"/>
    <s v="Unverified"/>
    <n v="1.26"/>
  </r>
  <r>
    <d v="2019-12-23T00:00:00"/>
    <x v="5"/>
    <n v="2019"/>
    <x v="6"/>
    <s v="D3"/>
    <s v="Q-RIN"/>
    <n v="0.98"/>
  </r>
  <r>
    <d v="2019-12-23T00:00:00"/>
    <x v="5"/>
    <n v="2019"/>
    <x v="6"/>
    <s v="D3"/>
    <s v="Unverified"/>
    <n v="1.19"/>
  </r>
  <r>
    <d v="2019-12-30T00:00:00"/>
    <x v="5"/>
    <n v="2019"/>
    <x v="5"/>
    <s v="D3"/>
    <s v="Q-RIN"/>
    <n v="1.01"/>
  </r>
  <r>
    <d v="2019-12-30T00:00:00"/>
    <x v="5"/>
    <n v="2019"/>
    <x v="6"/>
    <s v="D3"/>
    <s v="Q-RIN"/>
    <n v="1.04"/>
  </r>
  <r>
    <d v="2019-12-30T00:00:00"/>
    <x v="5"/>
    <n v="2020"/>
    <x v="6"/>
    <s v="D3"/>
    <s v="Q-RIN"/>
    <n v="0.8"/>
  </r>
  <r>
    <d v="2020-01-06T00:00:00"/>
    <x v="6"/>
    <n v="2020"/>
    <x v="6"/>
    <s v="D3"/>
    <s v="Q-RIN"/>
    <n v="0.81"/>
  </r>
  <r>
    <d v="2020-01-06T00:00:00"/>
    <x v="6"/>
    <n v="2020"/>
    <x v="6"/>
    <s v="D3"/>
    <s v="Unverified"/>
    <n v="0.79"/>
  </r>
  <r>
    <d v="2020-01-13T00:00:00"/>
    <x v="6"/>
    <n v="2020"/>
    <x v="5"/>
    <s v="D3"/>
    <s v="Unverified"/>
    <n v="0.7"/>
  </r>
  <r>
    <d v="2020-01-13T00:00:00"/>
    <x v="6"/>
    <n v="2020"/>
    <x v="6"/>
    <s v="D3"/>
    <s v="Q-RIN"/>
    <n v="0.81"/>
  </r>
  <r>
    <d v="2020-01-13T00:00:00"/>
    <x v="6"/>
    <n v="2020"/>
    <x v="6"/>
    <s v="D3"/>
    <s v="Unverified"/>
    <n v="0.72"/>
  </r>
  <r>
    <d v="2020-01-20T00:00:00"/>
    <x v="6"/>
    <n v="2020"/>
    <x v="5"/>
    <s v="D3"/>
    <s v="Q-RIN"/>
    <n v="0.86"/>
  </r>
  <r>
    <d v="2020-01-20T00:00:00"/>
    <x v="6"/>
    <n v="2020"/>
    <x v="5"/>
    <s v="D3"/>
    <s v="Unverified"/>
    <n v="0.48"/>
  </r>
  <r>
    <d v="2020-01-20T00:00:00"/>
    <x v="6"/>
    <n v="2020"/>
    <x v="6"/>
    <s v="D3"/>
    <s v="Q-RIN"/>
    <n v="0.84"/>
  </r>
  <r>
    <d v="2020-01-20T00:00:00"/>
    <x v="6"/>
    <n v="2020"/>
    <x v="6"/>
    <s v="D3"/>
    <s v="Unverified"/>
    <n v="1.34"/>
  </r>
  <r>
    <d v="2020-01-27T00:00:00"/>
    <x v="6"/>
    <n v="2020"/>
    <x v="5"/>
    <s v="D3"/>
    <s v="Q-RIN"/>
    <n v="0.79"/>
  </r>
  <r>
    <d v="2020-01-27T00:00:00"/>
    <x v="6"/>
    <n v="2020"/>
    <x v="5"/>
    <s v="D3"/>
    <s v="Unverified"/>
    <n v="0.79"/>
  </r>
  <r>
    <d v="2020-01-27T00:00:00"/>
    <x v="6"/>
    <n v="2020"/>
    <x v="6"/>
    <s v="D3"/>
    <s v="Q-RIN"/>
    <n v="0.9"/>
  </r>
  <r>
    <d v="2020-01-27T00:00:00"/>
    <x v="6"/>
    <n v="2020"/>
    <x v="6"/>
    <s v="D3"/>
    <s v="Unverified"/>
    <n v="1.1100000000000001"/>
  </r>
  <r>
    <d v="2020-02-03T00:00:00"/>
    <x v="7"/>
    <n v="2020"/>
    <x v="5"/>
    <s v="D3"/>
    <s v="Q-RIN"/>
    <n v="1.35"/>
  </r>
  <r>
    <d v="2020-02-03T00:00:00"/>
    <x v="7"/>
    <n v="2020"/>
    <x v="5"/>
    <s v="D3"/>
    <s v="Unverified"/>
    <n v="1.35"/>
  </r>
  <r>
    <d v="2020-02-03T00:00:00"/>
    <x v="7"/>
    <n v="2020"/>
    <x v="6"/>
    <s v="D3"/>
    <s v="Q-RIN"/>
    <n v="1.1100000000000001"/>
  </r>
  <r>
    <d v="2020-02-03T00:00:00"/>
    <x v="7"/>
    <n v="2020"/>
    <x v="6"/>
    <s v="D3"/>
    <s v="Unverified"/>
    <n v="1.58"/>
  </r>
  <r>
    <d v="2020-02-10T00:00:00"/>
    <x v="7"/>
    <n v="2020"/>
    <x v="6"/>
    <s v="D3"/>
    <s v="Q-RIN"/>
    <n v="0.92"/>
  </r>
  <r>
    <d v="2020-02-10T00:00:00"/>
    <x v="7"/>
    <n v="2020"/>
    <x v="7"/>
    <s v="D3"/>
    <s v="Q-RIN"/>
    <n v="0.93"/>
  </r>
  <r>
    <d v="2020-02-10T00:00:00"/>
    <x v="7"/>
    <n v="2020"/>
    <x v="7"/>
    <s v="D3"/>
    <s v="Unverified"/>
    <n v="1.8"/>
  </r>
  <r>
    <d v="2020-02-17T00:00:00"/>
    <x v="7"/>
    <n v="2020"/>
    <x v="5"/>
    <s v="D3"/>
    <s v="Q-RIN"/>
    <n v="1.56"/>
  </r>
  <r>
    <d v="2020-02-17T00:00:00"/>
    <x v="7"/>
    <n v="2020"/>
    <x v="5"/>
    <s v="D3"/>
    <s v="Unverified"/>
    <n v="0.8"/>
  </r>
  <r>
    <d v="2020-02-17T00:00:00"/>
    <x v="7"/>
    <n v="2020"/>
    <x v="6"/>
    <s v="D3"/>
    <s v="Q-RIN"/>
    <n v="1.26"/>
  </r>
  <r>
    <d v="2020-02-17T00:00:00"/>
    <x v="7"/>
    <n v="2020"/>
    <x v="6"/>
    <s v="D3"/>
    <s v="Unverified"/>
    <n v="0.8"/>
  </r>
  <r>
    <d v="2020-02-24T00:00:00"/>
    <x v="7"/>
    <n v="2020"/>
    <x v="5"/>
    <s v="D3"/>
    <s v="Q-RIN"/>
    <n v="1.1299999999999999"/>
  </r>
  <r>
    <d v="2020-02-24T00:00:00"/>
    <x v="7"/>
    <n v="2020"/>
    <x v="6"/>
    <s v="D3"/>
    <s v="Q-RIN"/>
    <n v="1.35"/>
  </r>
  <r>
    <d v="2020-02-24T00:00:00"/>
    <x v="7"/>
    <n v="2020"/>
    <x v="7"/>
    <s v="D3"/>
    <s v="Q-RIN"/>
    <n v="1.04"/>
  </r>
  <r>
    <d v="2020-03-02T00:00:00"/>
    <x v="8"/>
    <n v="2020"/>
    <x v="5"/>
    <s v="D3"/>
    <s v="Q-RIN"/>
    <n v="1.57"/>
  </r>
  <r>
    <d v="2020-03-02T00:00:00"/>
    <x v="8"/>
    <n v="2020"/>
    <x v="6"/>
    <s v="D3"/>
    <s v="Q-RIN"/>
    <n v="1.08"/>
  </r>
  <r>
    <d v="2020-03-02T00:00:00"/>
    <x v="8"/>
    <n v="2020"/>
    <x v="6"/>
    <s v="D3"/>
    <s v="Unverified"/>
    <n v="1.49"/>
  </r>
  <r>
    <d v="2020-03-02T00:00:00"/>
    <x v="8"/>
    <n v="2020"/>
    <x v="7"/>
    <s v="D3"/>
    <s v="Q-RIN"/>
    <n v="1.38"/>
  </r>
  <r>
    <d v="2020-03-09T00:00:00"/>
    <x v="8"/>
    <n v="2020"/>
    <x v="5"/>
    <s v="D3"/>
    <s v="Q-RIN"/>
    <n v="1.35"/>
  </r>
  <r>
    <d v="2020-03-09T00:00:00"/>
    <x v="8"/>
    <n v="2020"/>
    <x v="6"/>
    <s v="D3"/>
    <s v="Q-RIN"/>
    <n v="1.56"/>
  </r>
  <r>
    <d v="2020-03-09T00:00:00"/>
    <x v="8"/>
    <n v="2020"/>
    <x v="7"/>
    <s v="D3"/>
    <s v="Q-RIN"/>
    <n v="1.42"/>
  </r>
  <r>
    <d v="2020-03-09T00:00:00"/>
    <x v="8"/>
    <n v="2020"/>
    <x v="7"/>
    <s v="D3"/>
    <s v="Unverified"/>
    <n v="1.8"/>
  </r>
  <r>
    <d v="2020-03-16T00:00:00"/>
    <x v="8"/>
    <n v="2020"/>
    <x v="5"/>
    <s v="D3"/>
    <s v="Unverified"/>
    <n v="1.3"/>
  </r>
  <r>
    <d v="2020-03-16T00:00:00"/>
    <x v="8"/>
    <n v="2020"/>
    <x v="6"/>
    <s v="D3"/>
    <s v="Q-RIN"/>
    <n v="1.61"/>
  </r>
  <r>
    <d v="2020-03-16T00:00:00"/>
    <x v="8"/>
    <n v="2020"/>
    <x v="7"/>
    <s v="D3"/>
    <s v="Q-RIN"/>
    <n v="1.1100000000000001"/>
  </r>
  <r>
    <d v="2020-03-23T00:00:00"/>
    <x v="8"/>
    <n v="2020"/>
    <x v="5"/>
    <s v="D3"/>
    <s v="Q-RIN"/>
    <n v="1.1299999999999999"/>
  </r>
  <r>
    <d v="2020-03-23T00:00:00"/>
    <x v="8"/>
    <n v="2020"/>
    <x v="5"/>
    <s v="D3"/>
    <s v="Unverified"/>
    <n v="1.1599999999999999"/>
  </r>
  <r>
    <d v="2020-03-23T00:00:00"/>
    <x v="8"/>
    <n v="2020"/>
    <x v="6"/>
    <s v="D3"/>
    <s v="Q-RIN"/>
    <n v="1.58"/>
  </r>
  <r>
    <d v="2020-03-23T00:00:00"/>
    <x v="8"/>
    <n v="2020"/>
    <x v="7"/>
    <s v="D3"/>
    <s v="Q-RIN"/>
    <n v="1.21"/>
  </r>
  <r>
    <d v="2020-03-30T00:00:00"/>
    <x v="8"/>
    <n v="2020"/>
    <x v="6"/>
    <s v="D3"/>
    <s v="Q-RIN"/>
    <n v="1.08"/>
  </r>
  <r>
    <d v="2020-03-30T00:00:00"/>
    <x v="8"/>
    <n v="2020"/>
    <x v="7"/>
    <s v="D3"/>
    <s v="Q-RIN"/>
    <n v="1.41"/>
  </r>
  <r>
    <d v="2020-04-06T00:00:00"/>
    <x v="1"/>
    <n v="2020"/>
    <x v="6"/>
    <s v="D3"/>
    <s v="Q-RIN"/>
    <n v="1.23"/>
  </r>
  <r>
    <d v="2020-04-06T00:00:00"/>
    <x v="1"/>
    <n v="2020"/>
    <x v="7"/>
    <s v="D3"/>
    <s v="Q-RIN"/>
    <n v="1.1100000000000001"/>
  </r>
  <r>
    <d v="2020-04-13T00:00:00"/>
    <x v="1"/>
    <n v="2020"/>
    <x v="6"/>
    <s v="D3"/>
    <s v="Q-RIN"/>
    <n v="1.08"/>
  </r>
  <r>
    <d v="2020-04-13T00:00:00"/>
    <x v="1"/>
    <n v="2020"/>
    <x v="7"/>
    <s v="D3"/>
    <s v="Q-RIN"/>
    <n v="1.1200000000000001"/>
  </r>
  <r>
    <d v="2020-04-20T00:00:00"/>
    <x v="1"/>
    <n v="2020"/>
    <x v="6"/>
    <s v="D3"/>
    <s v="Q-RIN"/>
    <n v="1.1000000000000001"/>
  </r>
  <r>
    <d v="2020-04-20T00:00:00"/>
    <x v="1"/>
    <n v="2020"/>
    <x v="7"/>
    <s v="D3"/>
    <s v="Q-RIN"/>
    <n v="1.28"/>
  </r>
  <r>
    <d v="2020-04-27T00:00:00"/>
    <x v="1"/>
    <n v="2020"/>
    <x v="7"/>
    <s v="D3"/>
    <s v="Q-RIN"/>
    <n v="1.22"/>
  </r>
  <r>
    <d v="2020-05-04T00:00:00"/>
    <x v="9"/>
    <n v="2020"/>
    <x v="6"/>
    <s v="D3"/>
    <s v="Q-RIN"/>
    <n v="1.08"/>
  </r>
  <r>
    <d v="2020-05-04T00:00:00"/>
    <x v="9"/>
    <n v="2020"/>
    <x v="7"/>
    <s v="D3"/>
    <s v="Q-RIN"/>
    <n v="1.17"/>
  </r>
  <r>
    <d v="2020-05-11T00:00:00"/>
    <x v="9"/>
    <n v="2020"/>
    <x v="7"/>
    <s v="D3"/>
    <s v="Q-RIN"/>
    <n v="1.1499999999999999"/>
  </r>
  <r>
    <d v="2020-05-18T00:00:00"/>
    <x v="9"/>
    <n v="2020"/>
    <x v="6"/>
    <s v="D3"/>
    <s v="Q-RIN"/>
    <n v="1.41"/>
  </r>
  <r>
    <d v="2020-05-18T00:00:00"/>
    <x v="9"/>
    <n v="2020"/>
    <x v="7"/>
    <s v="D3"/>
    <s v="Q-RIN"/>
    <n v="1.1499999999999999"/>
  </r>
  <r>
    <d v="2020-05-25T00:00:00"/>
    <x v="9"/>
    <n v="2020"/>
    <x v="6"/>
    <s v="D3"/>
    <s v="Unverified"/>
    <n v="0.96"/>
  </r>
  <r>
    <d v="2020-05-25T00:00:00"/>
    <x v="9"/>
    <n v="2020"/>
    <x v="7"/>
    <s v="D3"/>
    <s v="Q-RIN"/>
    <n v="1.25"/>
  </r>
  <r>
    <d v="2020-05-25T00:00:00"/>
    <x v="9"/>
    <n v="2020"/>
    <x v="7"/>
    <s v="D3"/>
    <s v="Unverified"/>
    <n v="1.02"/>
  </r>
  <r>
    <d v="2020-06-01T00:00:00"/>
    <x v="10"/>
    <n v="2020"/>
    <x v="7"/>
    <s v="D3"/>
    <s v="Q-RIN"/>
    <n v="1.25"/>
  </r>
  <r>
    <d v="2020-06-08T00:00:00"/>
    <x v="10"/>
    <n v="2020"/>
    <x v="7"/>
    <s v="D3"/>
    <s v="Q-RIN"/>
    <n v="1.35"/>
  </r>
  <r>
    <d v="2020-06-08T00:00:00"/>
    <x v="10"/>
    <n v="2020"/>
    <x v="7"/>
    <s v="D3"/>
    <s v="Unverified"/>
    <n v="1.55"/>
  </r>
  <r>
    <d v="2020-06-15T00:00:00"/>
    <x v="10"/>
    <n v="2020"/>
    <x v="6"/>
    <s v="D3"/>
    <s v="Q-RIN"/>
    <n v="1.55"/>
  </r>
  <r>
    <d v="2020-06-15T00:00:00"/>
    <x v="10"/>
    <n v="2020"/>
    <x v="6"/>
    <s v="D3"/>
    <s v="Unverified"/>
    <n v="1.39"/>
  </r>
  <r>
    <d v="2020-06-15T00:00:00"/>
    <x v="10"/>
    <n v="2020"/>
    <x v="7"/>
    <s v="D3"/>
    <s v="Q-RIN"/>
    <n v="1.24"/>
  </r>
  <r>
    <d v="2020-06-22T00:00:00"/>
    <x v="10"/>
    <n v="2020"/>
    <x v="6"/>
    <s v="D3"/>
    <s v="Q-RIN"/>
    <n v="1.1000000000000001"/>
  </r>
  <r>
    <d v="2020-06-22T00:00:00"/>
    <x v="10"/>
    <n v="2020"/>
    <x v="7"/>
    <s v="D3"/>
    <s v="Q-RIN"/>
    <n v="1.33"/>
  </r>
  <r>
    <d v="2020-06-29T00:00:00"/>
    <x v="10"/>
    <n v="2020"/>
    <x v="6"/>
    <s v="D3"/>
    <s v="Q-RIN"/>
    <n v="1.59"/>
  </r>
  <r>
    <d v="2020-06-29T00:00:00"/>
    <x v="10"/>
    <n v="2020"/>
    <x v="7"/>
    <s v="D3"/>
    <s v="Q-RIN"/>
    <n v="1.32"/>
  </r>
  <r>
    <d v="2020-06-29T00:00:00"/>
    <x v="10"/>
    <n v="2020"/>
    <x v="7"/>
    <s v="D3"/>
    <s v="Unverified"/>
    <n v="1.6"/>
  </r>
  <r>
    <d v="2020-07-06T00:00:00"/>
    <x v="11"/>
    <n v="2020"/>
    <x v="6"/>
    <s v="D3"/>
    <s v="Q-RIN"/>
    <n v="1.55"/>
  </r>
  <r>
    <d v="2020-07-06T00:00:00"/>
    <x v="11"/>
    <n v="2020"/>
    <x v="7"/>
    <s v="D3"/>
    <s v="Q-RIN"/>
    <n v="1.32"/>
  </r>
  <r>
    <d v="2020-07-13T00:00:00"/>
    <x v="11"/>
    <n v="2020"/>
    <x v="7"/>
    <s v="D3"/>
    <s v="Q-RIN"/>
    <n v="1.31"/>
  </r>
  <r>
    <d v="2020-07-13T00:00:00"/>
    <x v="11"/>
    <n v="2020"/>
    <x v="7"/>
    <s v="D3"/>
    <s v="Unverified"/>
    <n v="1.63"/>
  </r>
  <r>
    <d v="2020-07-20T00:00:00"/>
    <x v="11"/>
    <n v="2020"/>
    <x v="7"/>
    <s v="D3"/>
    <s v="Q-RIN"/>
    <n v="1.4"/>
  </r>
  <r>
    <d v="2020-07-27T00:00:00"/>
    <x v="11"/>
    <n v="2020"/>
    <x v="6"/>
    <s v="D3"/>
    <s v="Q-RIN"/>
    <n v="1.46"/>
  </r>
  <r>
    <d v="2020-07-27T00:00:00"/>
    <x v="11"/>
    <n v="2020"/>
    <x v="7"/>
    <s v="D3"/>
    <s v="Q-RIN"/>
    <n v="1.46"/>
  </r>
  <r>
    <d v="2020-07-27T00:00:00"/>
    <x v="11"/>
    <n v="2020"/>
    <x v="7"/>
    <s v="D3"/>
    <s v="Unverified"/>
    <n v="1.48"/>
  </r>
  <r>
    <d v="2020-08-03T00:00:00"/>
    <x v="0"/>
    <n v="2020"/>
    <x v="6"/>
    <s v="D3"/>
    <s v="Unverified"/>
    <n v="0.94"/>
  </r>
  <r>
    <d v="2020-08-03T00:00:00"/>
    <x v="0"/>
    <n v="2020"/>
    <x v="7"/>
    <s v="D3"/>
    <s v="Q-RIN"/>
    <n v="1.56"/>
  </r>
  <r>
    <d v="2020-08-03T00:00:00"/>
    <x v="0"/>
    <n v="2020"/>
    <x v="7"/>
    <s v="D3"/>
    <s v="Unverified"/>
    <n v="0.94"/>
  </r>
  <r>
    <d v="2020-08-10T00:00:00"/>
    <x v="0"/>
    <n v="2020"/>
    <x v="7"/>
    <s v="D3"/>
    <s v="Q-RIN"/>
    <n v="1.57"/>
  </r>
  <r>
    <d v="2020-08-17T00:00:00"/>
    <x v="0"/>
    <n v="2020"/>
    <x v="7"/>
    <s v="D3"/>
    <s v="Q-RIN"/>
    <n v="1.53"/>
  </r>
  <r>
    <d v="2020-08-17T00:00:00"/>
    <x v="0"/>
    <n v="2020"/>
    <x v="7"/>
    <s v="D3"/>
    <s v="Unverified"/>
    <n v="1.27"/>
  </r>
  <r>
    <d v="2020-08-24T00:00:00"/>
    <x v="0"/>
    <n v="2020"/>
    <x v="7"/>
    <s v="D3"/>
    <s v="Q-RIN"/>
    <n v="1.43"/>
  </r>
  <r>
    <d v="2020-08-31T00:00:00"/>
    <x v="0"/>
    <n v="2020"/>
    <x v="6"/>
    <s v="D3"/>
    <s v="Q-RIN"/>
    <n v="1.39"/>
  </r>
  <r>
    <d v="2020-08-31T00:00:00"/>
    <x v="0"/>
    <n v="2020"/>
    <x v="6"/>
    <s v="D3"/>
    <s v="Unverified"/>
    <n v="0.9"/>
  </r>
  <r>
    <d v="2020-08-31T00:00:00"/>
    <x v="0"/>
    <n v="2020"/>
    <x v="7"/>
    <s v="D3"/>
    <s v="Q-RIN"/>
    <n v="1.51"/>
  </r>
  <r>
    <d v="2020-09-07T00:00:00"/>
    <x v="2"/>
    <n v="2020"/>
    <x v="7"/>
    <s v="D3"/>
    <s v="Q-RIN"/>
    <n v="1.38"/>
  </r>
  <r>
    <d v="2020-09-07T00:00:00"/>
    <x v="2"/>
    <n v="2020"/>
    <x v="7"/>
    <s v="D3"/>
    <s v="Unverified"/>
    <n v="1.04"/>
  </r>
  <r>
    <d v="2020-09-14T00:00:00"/>
    <x v="2"/>
    <n v="2020"/>
    <x v="6"/>
    <s v="D3"/>
    <s v="Q-RIN"/>
    <n v="1.52"/>
  </r>
  <r>
    <d v="2020-09-14T00:00:00"/>
    <x v="2"/>
    <n v="2020"/>
    <x v="7"/>
    <s v="D3"/>
    <s v="Q-RIN"/>
    <n v="1.47"/>
  </r>
  <r>
    <d v="2020-09-21T00:00:00"/>
    <x v="2"/>
    <n v="2020"/>
    <x v="6"/>
    <s v="D3"/>
    <s v="Q-RIN"/>
    <n v="1.49"/>
  </r>
  <r>
    <d v="2020-09-21T00:00:00"/>
    <x v="2"/>
    <n v="2020"/>
    <x v="7"/>
    <s v="D3"/>
    <s v="Q-RIN"/>
    <n v="1.49"/>
  </r>
  <r>
    <d v="2020-09-21T00:00:00"/>
    <x v="2"/>
    <n v="2020"/>
    <x v="7"/>
    <s v="D3"/>
    <s v="Unverified"/>
    <n v="1.56"/>
  </r>
  <r>
    <d v="2020-09-28T00:00:00"/>
    <x v="2"/>
    <n v="2020"/>
    <x v="6"/>
    <s v="D3"/>
    <s v="Q-RIN"/>
    <n v="1.1499999999999999"/>
  </r>
  <r>
    <d v="2020-09-28T00:00:00"/>
    <x v="2"/>
    <n v="2020"/>
    <x v="7"/>
    <s v="D3"/>
    <s v="Q-RIN"/>
    <n v="1.4"/>
  </r>
  <r>
    <d v="2020-10-05T00:00:00"/>
    <x v="3"/>
    <n v="2020"/>
    <x v="6"/>
    <s v="D3"/>
    <s v="Q-RIN"/>
    <n v="1.69"/>
  </r>
  <r>
    <d v="2020-10-05T00:00:00"/>
    <x v="3"/>
    <n v="2020"/>
    <x v="7"/>
    <s v="D3"/>
    <s v="Q-RIN"/>
    <n v="1.54"/>
  </r>
  <r>
    <d v="2020-10-12T00:00:00"/>
    <x v="3"/>
    <n v="2020"/>
    <x v="7"/>
    <s v="D3"/>
    <s v="Q-RIN"/>
    <n v="1.56"/>
  </r>
  <r>
    <d v="2020-10-19T00:00:00"/>
    <x v="3"/>
    <n v="2020"/>
    <x v="7"/>
    <s v="D3"/>
    <s v="Q-RIN"/>
    <n v="1.54"/>
  </r>
  <r>
    <d v="2020-10-26T00:00:00"/>
    <x v="3"/>
    <n v="2020"/>
    <x v="6"/>
    <s v="D3"/>
    <s v="Q-RIN"/>
    <n v="1.61"/>
  </r>
  <r>
    <d v="2020-10-26T00:00:00"/>
    <x v="3"/>
    <n v="2020"/>
    <x v="7"/>
    <s v="D3"/>
    <s v="Q-RIN"/>
    <n v="1.55"/>
  </r>
  <r>
    <d v="2020-10-26T00:00:00"/>
    <x v="3"/>
    <n v="2020"/>
    <x v="7"/>
    <s v="D3"/>
    <s v="Unverified"/>
    <n v="1.63"/>
  </r>
  <r>
    <d v="2020-11-02T00:00:00"/>
    <x v="4"/>
    <n v="2020"/>
    <x v="7"/>
    <s v="D3"/>
    <s v="Q-RIN"/>
    <n v="1.57"/>
  </r>
  <r>
    <d v="2020-11-09T00:00:00"/>
    <x v="4"/>
    <n v="2020"/>
    <x v="6"/>
    <s v="D3"/>
    <s v="Q-RIN"/>
    <n v="1.21"/>
  </r>
  <r>
    <d v="2020-11-09T00:00:00"/>
    <x v="4"/>
    <n v="2020"/>
    <x v="7"/>
    <s v="D3"/>
    <s v="Q-RIN"/>
    <n v="1.55"/>
  </r>
  <r>
    <d v="2020-11-16T00:00:00"/>
    <x v="4"/>
    <n v="2020"/>
    <x v="7"/>
    <s v="D3"/>
    <s v="Q-RIN"/>
    <n v="1.58"/>
  </r>
  <r>
    <d v="2020-11-16T00:00:00"/>
    <x v="4"/>
    <n v="2020"/>
    <x v="7"/>
    <s v="D3"/>
    <s v="Unverified"/>
    <n v="1.54"/>
  </r>
  <r>
    <d v="2020-11-23T00:00:00"/>
    <x v="4"/>
    <n v="2020"/>
    <x v="6"/>
    <s v="D3"/>
    <s v="Q-RIN"/>
    <n v="1.67"/>
  </r>
  <r>
    <d v="2020-11-23T00:00:00"/>
    <x v="4"/>
    <n v="2020"/>
    <x v="7"/>
    <s v="D3"/>
    <s v="Q-RIN"/>
    <n v="1.61"/>
  </r>
  <r>
    <d v="2020-11-30T00:00:00"/>
    <x v="4"/>
    <n v="2020"/>
    <x v="7"/>
    <s v="D3"/>
    <s v="Q-RIN"/>
    <n v="1.53"/>
  </r>
  <r>
    <d v="2020-11-30T00:00:00"/>
    <x v="4"/>
    <n v="2020"/>
    <x v="7"/>
    <s v="D3"/>
    <s v="Unverified"/>
    <n v="1.7"/>
  </r>
  <r>
    <d v="2020-12-07T00:00:00"/>
    <x v="5"/>
    <n v="2020"/>
    <x v="7"/>
    <s v="D3"/>
    <s v="Q-RIN"/>
    <n v="1.62"/>
  </r>
  <r>
    <d v="2020-12-14T00:00:00"/>
    <x v="5"/>
    <n v="2020"/>
    <x v="6"/>
    <s v="D3"/>
    <s v="Q-RIN"/>
    <n v="1.74"/>
  </r>
  <r>
    <d v="2020-12-14T00:00:00"/>
    <x v="5"/>
    <n v="2020"/>
    <x v="6"/>
    <s v="D3"/>
    <s v="Unverified"/>
    <n v="1.5"/>
  </r>
  <r>
    <d v="2020-12-14T00:00:00"/>
    <x v="5"/>
    <n v="2020"/>
    <x v="7"/>
    <s v="D3"/>
    <s v="Q-RIN"/>
    <n v="1.62"/>
  </r>
  <r>
    <d v="2020-12-14T00:00:00"/>
    <x v="5"/>
    <n v="2020"/>
    <x v="7"/>
    <s v="D3"/>
    <s v="Unverified"/>
    <n v="1.51"/>
  </r>
  <r>
    <d v="2020-12-21T00:00:00"/>
    <x v="5"/>
    <n v="2020"/>
    <x v="6"/>
    <s v="D3"/>
    <s v="Q-RIN"/>
    <n v="1.67"/>
  </r>
  <r>
    <d v="2020-12-21T00:00:00"/>
    <x v="5"/>
    <n v="2020"/>
    <x v="7"/>
    <s v="D3"/>
    <s v="Q-RIN"/>
    <n v="1.63"/>
  </r>
  <r>
    <d v="2020-12-21T00:00:00"/>
    <x v="5"/>
    <n v="2020"/>
    <x v="7"/>
    <s v="D3"/>
    <s v="Unverified"/>
    <n v="1.49"/>
  </r>
  <r>
    <d v="2020-12-28T00:00:00"/>
    <x v="5"/>
    <n v="2020"/>
    <x v="6"/>
    <s v="D3"/>
    <s v="Unverified"/>
    <n v="1.44"/>
  </r>
  <r>
    <d v="2020-12-28T00:00:00"/>
    <x v="5"/>
    <n v="2020"/>
    <x v="7"/>
    <s v="D3"/>
    <s v="Q-RIN"/>
    <n v="1.72"/>
  </r>
  <r>
    <d v="2020-12-28T00:00:00"/>
    <x v="5"/>
    <n v="2020"/>
    <x v="7"/>
    <s v="D3"/>
    <s v="Unverified"/>
    <n v="1.0900000000000001"/>
  </r>
  <r>
    <d v="2020-12-28T00:00:00"/>
    <x v="5"/>
    <n v="2021"/>
    <x v="7"/>
    <s v="D3"/>
    <s v="Q-RIN"/>
    <n v="1.94"/>
  </r>
  <r>
    <d v="2021-01-04T00:00:00"/>
    <x v="6"/>
    <n v="2021"/>
    <x v="7"/>
    <s v="D3"/>
    <s v="Q-RIN"/>
    <n v="1.92"/>
  </r>
  <r>
    <d v="2021-01-11T00:00:00"/>
    <x v="6"/>
    <n v="2021"/>
    <x v="7"/>
    <s v="D3"/>
    <s v="Q-RIN"/>
    <n v="1.92"/>
  </r>
  <r>
    <d v="2021-01-18T00:00:00"/>
    <x v="6"/>
    <n v="2021"/>
    <x v="6"/>
    <s v="D3"/>
    <s v="Q-RIN"/>
    <n v="2.15"/>
  </r>
  <r>
    <d v="2021-01-18T00:00:00"/>
    <x v="6"/>
    <n v="2021"/>
    <x v="7"/>
    <s v="D3"/>
    <s v="Q-RIN"/>
    <n v="1.93"/>
  </r>
  <r>
    <d v="2021-01-25T00:00:00"/>
    <x v="6"/>
    <n v="2021"/>
    <x v="6"/>
    <s v="D3"/>
    <s v="Q-RIN"/>
    <n v="2"/>
  </r>
  <r>
    <d v="2021-01-25T00:00:00"/>
    <x v="6"/>
    <n v="2021"/>
    <x v="7"/>
    <s v="D3"/>
    <s v="Q-RIN"/>
    <n v="2.0299999999999998"/>
  </r>
  <r>
    <d v="2021-01-25T00:00:00"/>
    <x v="6"/>
    <n v="2021"/>
    <x v="7"/>
    <s v="D3"/>
    <s v="Unverified"/>
    <n v="1.65"/>
  </r>
  <r>
    <d v="2021-02-01T00:00:00"/>
    <x v="7"/>
    <n v="2021"/>
    <x v="7"/>
    <s v="D3"/>
    <s v="Q-RIN"/>
    <n v="2.25"/>
  </r>
  <r>
    <d v="2021-02-01T00:00:00"/>
    <x v="7"/>
    <n v="2021"/>
    <x v="7"/>
    <s v="D3"/>
    <s v="Unverified"/>
    <n v="2.57"/>
  </r>
  <r>
    <d v="2021-02-08T00:00:00"/>
    <x v="7"/>
    <n v="2021"/>
    <x v="6"/>
    <s v="D3"/>
    <s v="Q-RIN"/>
    <n v="2.57"/>
  </r>
  <r>
    <d v="2021-02-08T00:00:00"/>
    <x v="7"/>
    <n v="2021"/>
    <x v="7"/>
    <s v="D3"/>
    <s v="Q-RIN"/>
    <n v="2.16"/>
  </r>
  <r>
    <d v="2021-02-08T00:00:00"/>
    <x v="7"/>
    <n v="2021"/>
    <x v="8"/>
    <s v="D3"/>
    <s v="Q-RIN"/>
    <n v="2.4"/>
  </r>
  <r>
    <d v="2021-02-15T00:00:00"/>
    <x v="7"/>
    <n v="2021"/>
    <x v="6"/>
    <s v="D3"/>
    <s v="Unverified"/>
    <n v="2.6"/>
  </r>
  <r>
    <d v="2021-02-15T00:00:00"/>
    <x v="7"/>
    <n v="2021"/>
    <x v="7"/>
    <s v="D3"/>
    <s v="Q-RIN"/>
    <n v="2.31"/>
  </r>
  <r>
    <d v="2021-02-22T00:00:00"/>
    <x v="7"/>
    <n v="2021"/>
    <x v="6"/>
    <s v="D3"/>
    <s v="Q-RIN"/>
    <n v="2.4900000000000002"/>
  </r>
  <r>
    <d v="2021-02-22T00:00:00"/>
    <x v="7"/>
    <n v="2021"/>
    <x v="6"/>
    <s v="D3"/>
    <s v="Unverified"/>
    <n v="2.5"/>
  </r>
  <r>
    <d v="2021-02-22T00:00:00"/>
    <x v="7"/>
    <n v="2021"/>
    <x v="7"/>
    <s v="D3"/>
    <s v="Q-RIN"/>
    <n v="2.4300000000000002"/>
  </r>
  <r>
    <d v="2021-02-22T00:00:00"/>
    <x v="7"/>
    <n v="2021"/>
    <x v="7"/>
    <s v="D3"/>
    <s v="Unverified"/>
    <n v="2.6"/>
  </r>
  <r>
    <d v="2021-02-22T00:00:00"/>
    <x v="7"/>
    <n v="2021"/>
    <x v="8"/>
    <s v="D3"/>
    <s v="Q-RIN"/>
    <n v="2.11"/>
  </r>
  <r>
    <d v="2021-03-01T00:00:00"/>
    <x v="8"/>
    <n v="2021"/>
    <x v="7"/>
    <s v="D3"/>
    <s v="Q-RIN"/>
    <n v="2.12"/>
  </r>
  <r>
    <d v="2021-03-01T00:00:00"/>
    <x v="8"/>
    <n v="2021"/>
    <x v="7"/>
    <s v="D3"/>
    <s v="Unverified"/>
    <n v="2.7"/>
  </r>
  <r>
    <d v="2021-03-01T00:00:00"/>
    <x v="8"/>
    <n v="2021"/>
    <x v="8"/>
    <s v="D3"/>
    <s v="Q-RIN"/>
    <n v="2.27"/>
  </r>
  <r>
    <d v="2021-03-08T00:00:00"/>
    <x v="8"/>
    <n v="2021"/>
    <x v="7"/>
    <s v="D3"/>
    <s v="Q-RIN"/>
    <n v="2.35"/>
  </r>
  <r>
    <d v="2021-03-08T00:00:00"/>
    <x v="8"/>
    <n v="2021"/>
    <x v="7"/>
    <s v="D3"/>
    <s v="Unverified"/>
    <n v="2.61"/>
  </r>
  <r>
    <d v="2021-03-08T00:00:00"/>
    <x v="8"/>
    <n v="2021"/>
    <x v="8"/>
    <s v="D3"/>
    <s v="Q-RIN"/>
    <n v="2.37"/>
  </r>
  <r>
    <d v="2021-03-08T00:00:00"/>
    <x v="8"/>
    <n v="2021"/>
    <x v="8"/>
    <s v="D3"/>
    <s v="Unverified"/>
    <n v="2.7"/>
  </r>
  <r>
    <d v="2021-03-15T00:00:00"/>
    <x v="8"/>
    <n v="2021"/>
    <x v="6"/>
    <s v="D3"/>
    <s v="Q-RIN"/>
    <n v="2.73"/>
  </r>
  <r>
    <d v="2021-03-15T00:00:00"/>
    <x v="8"/>
    <n v="2021"/>
    <x v="6"/>
    <s v="D3"/>
    <s v="Unverified"/>
    <n v="2.8"/>
  </r>
  <r>
    <d v="2021-03-15T00:00:00"/>
    <x v="8"/>
    <n v="2021"/>
    <x v="7"/>
    <s v="D3"/>
    <s v="Q-RIN"/>
    <n v="2.64"/>
  </r>
  <r>
    <d v="2021-03-15T00:00:00"/>
    <x v="8"/>
    <n v="2021"/>
    <x v="8"/>
    <s v="D3"/>
    <s v="Q-RIN"/>
    <n v="2.38"/>
  </r>
  <r>
    <d v="2021-03-22T00:00:00"/>
    <x v="8"/>
    <n v="2021"/>
    <x v="6"/>
    <s v="D3"/>
    <s v="Q-RIN"/>
    <n v="2.96"/>
  </r>
  <r>
    <d v="2021-03-22T00:00:00"/>
    <x v="8"/>
    <n v="2021"/>
    <x v="7"/>
    <s v="D3"/>
    <s v="Q-RIN"/>
    <n v="3.01"/>
  </r>
  <r>
    <d v="2021-03-22T00:00:00"/>
    <x v="8"/>
    <n v="2021"/>
    <x v="8"/>
    <s v="D3"/>
    <s v="Q-RIN"/>
    <n v="2.29"/>
  </r>
  <r>
    <d v="2021-03-29T00:00:00"/>
    <x v="8"/>
    <n v="2021"/>
    <x v="6"/>
    <s v="D3"/>
    <s v="Q-RIN"/>
    <n v="2.92"/>
  </r>
  <r>
    <d v="2021-03-29T00:00:00"/>
    <x v="8"/>
    <n v="2021"/>
    <x v="7"/>
    <s v="D3"/>
    <s v="Q-RIN"/>
    <n v="2.7"/>
  </r>
  <r>
    <d v="2021-03-29T00:00:00"/>
    <x v="8"/>
    <n v="2021"/>
    <x v="7"/>
    <s v="D3"/>
    <s v="Unverified"/>
    <n v="2.81"/>
  </r>
  <r>
    <d v="2021-03-29T00:00:00"/>
    <x v="8"/>
    <n v="2021"/>
    <x v="8"/>
    <s v="D3"/>
    <s v="Q-RIN"/>
    <n v="2.5"/>
  </r>
  <r>
    <d v="2021-04-05T00:00:00"/>
    <x v="1"/>
    <n v="2021"/>
    <x v="7"/>
    <s v="D3"/>
    <s v="Q-RIN"/>
    <n v="2.61"/>
  </r>
  <r>
    <d v="2021-04-05T00:00:00"/>
    <x v="1"/>
    <n v="2021"/>
    <x v="8"/>
    <s v="D3"/>
    <s v="Q-RIN"/>
    <n v="2.2799999999999998"/>
  </r>
  <r>
    <d v="2021-04-12T00:00:00"/>
    <x v="1"/>
    <n v="2021"/>
    <x v="7"/>
    <s v="D3"/>
    <s v="Q-RIN"/>
    <n v="2.9"/>
  </r>
  <r>
    <d v="2021-04-12T00:00:00"/>
    <x v="1"/>
    <n v="2021"/>
    <x v="8"/>
    <s v="D3"/>
    <s v="Q-RIN"/>
    <n v="2.71"/>
  </r>
  <r>
    <d v="2021-04-19T00:00:00"/>
    <x v="1"/>
    <n v="2021"/>
    <x v="7"/>
    <s v="D3"/>
    <s v="Q-RIN"/>
    <n v="3.09"/>
  </r>
  <r>
    <d v="2021-04-19T00:00:00"/>
    <x v="1"/>
    <n v="2021"/>
    <x v="8"/>
    <s v="D3"/>
    <s v="Q-RIN"/>
    <n v="2.2200000000000002"/>
  </r>
  <r>
    <d v="2021-04-26T00:00:00"/>
    <x v="1"/>
    <n v="2021"/>
    <x v="7"/>
    <s v="D3"/>
    <s v="Q-RIN"/>
    <n v="3.02"/>
  </r>
  <r>
    <d v="2021-04-26T00:00:00"/>
    <x v="1"/>
    <n v="2021"/>
    <x v="8"/>
    <s v="D3"/>
    <s v="Q-RIN"/>
    <n v="2.62"/>
  </r>
  <r>
    <d v="2021-05-03T00:00:00"/>
    <x v="9"/>
    <n v="2021"/>
    <x v="8"/>
    <s v="D3"/>
    <s v="Q-RIN"/>
    <n v="2.84"/>
  </r>
  <r>
    <d v="2021-05-03T00:00:00"/>
    <x v="9"/>
    <n v="2021"/>
    <x v="8"/>
    <s v="D3"/>
    <s v="Unverified"/>
    <n v="1.72"/>
  </r>
  <r>
    <d v="2021-05-10T00:00:00"/>
    <x v="9"/>
    <n v="2021"/>
    <x v="7"/>
    <s v="D3"/>
    <s v="Unverified"/>
    <n v="3.22"/>
  </r>
  <r>
    <d v="2021-05-10T00:00:00"/>
    <x v="9"/>
    <n v="2021"/>
    <x v="8"/>
    <s v="D3"/>
    <s v="Q-RIN"/>
    <n v="2.95"/>
  </r>
  <r>
    <d v="2021-05-10T00:00:00"/>
    <x v="9"/>
    <n v="2021"/>
    <x v="8"/>
    <s v="D3"/>
    <s v="Unverified"/>
    <n v="2.96"/>
  </r>
  <r>
    <d v="2021-05-17T00:00:00"/>
    <x v="9"/>
    <n v="2021"/>
    <x v="7"/>
    <s v="D3"/>
    <s v="Unverified"/>
    <n v="1.56"/>
  </r>
  <r>
    <d v="2021-05-17T00:00:00"/>
    <x v="9"/>
    <n v="2021"/>
    <x v="8"/>
    <s v="D3"/>
    <s v="Q-RIN"/>
    <n v="2.72"/>
  </r>
  <r>
    <d v="2021-05-17T00:00:00"/>
    <x v="9"/>
    <n v="2021"/>
    <x v="8"/>
    <s v="D3"/>
    <s v="Unverified"/>
    <n v="2.21"/>
  </r>
  <r>
    <d v="2021-05-24T00:00:00"/>
    <x v="9"/>
    <n v="2021"/>
    <x v="7"/>
    <s v="D3"/>
    <s v="Q-RIN"/>
    <n v="2.87"/>
  </r>
  <r>
    <d v="2021-05-24T00:00:00"/>
    <x v="9"/>
    <n v="2021"/>
    <x v="8"/>
    <s v="D3"/>
    <s v="Q-RIN"/>
    <n v="2.7"/>
  </r>
  <r>
    <d v="2021-05-24T00:00:00"/>
    <x v="9"/>
    <n v="2021"/>
    <x v="8"/>
    <s v="D3"/>
    <s v="Unverified"/>
    <n v="1.72"/>
  </r>
  <r>
    <d v="2021-05-31T00:00:00"/>
    <x v="9"/>
    <n v="2021"/>
    <x v="7"/>
    <s v="D3"/>
    <s v="Q-RIN"/>
    <n v="2.58"/>
  </r>
  <r>
    <d v="2021-05-31T00:00:00"/>
    <x v="9"/>
    <n v="2021"/>
    <x v="8"/>
    <s v="D3"/>
    <s v="Q-RIN"/>
    <n v="2.87"/>
  </r>
  <r>
    <d v="2021-05-31T00:00:00"/>
    <x v="9"/>
    <n v="2021"/>
    <x v="8"/>
    <s v="D3"/>
    <s v="Unverified"/>
    <n v="1.85"/>
  </r>
  <r>
    <d v="2021-06-07T00:00:00"/>
    <x v="10"/>
    <n v="2021"/>
    <x v="7"/>
    <s v="D3"/>
    <s v="Q-RIN"/>
    <n v="2.93"/>
  </r>
  <r>
    <d v="2021-06-07T00:00:00"/>
    <x v="10"/>
    <n v="2021"/>
    <x v="7"/>
    <s v="D3"/>
    <s v="Unverified"/>
    <n v="2.9"/>
  </r>
  <r>
    <d v="2021-06-07T00:00:00"/>
    <x v="10"/>
    <n v="2021"/>
    <x v="8"/>
    <s v="D3"/>
    <s v="Q-RIN"/>
    <n v="2.2200000000000002"/>
  </r>
  <r>
    <d v="2021-06-14T00:00:00"/>
    <x v="10"/>
    <n v="2021"/>
    <x v="7"/>
    <s v="D3"/>
    <s v="Q-RIN"/>
    <n v="2.87"/>
  </r>
  <r>
    <d v="2021-06-14T00:00:00"/>
    <x v="10"/>
    <n v="2021"/>
    <x v="8"/>
    <s v="D3"/>
    <s v="Q-RIN"/>
    <n v="2.87"/>
  </r>
  <r>
    <d v="2021-06-21T00:00:00"/>
    <x v="10"/>
    <n v="2021"/>
    <x v="7"/>
    <s v="D3"/>
    <s v="Q-RIN"/>
    <n v="3.24"/>
  </r>
  <r>
    <d v="2021-06-21T00:00:00"/>
    <x v="10"/>
    <n v="2021"/>
    <x v="7"/>
    <s v="D3"/>
    <s v="Unverified"/>
    <n v="3.01"/>
  </r>
  <r>
    <d v="2021-06-21T00:00:00"/>
    <x v="10"/>
    <n v="2021"/>
    <x v="8"/>
    <s v="D3"/>
    <s v="Q-RIN"/>
    <n v="2.4"/>
  </r>
  <r>
    <d v="2021-06-21T00:00:00"/>
    <x v="10"/>
    <n v="2021"/>
    <x v="8"/>
    <s v="D3"/>
    <s v="Unverified"/>
    <n v="2.39"/>
  </r>
  <r>
    <d v="2021-06-28T00:00:00"/>
    <x v="10"/>
    <n v="2021"/>
    <x v="7"/>
    <s v="D3"/>
    <s v="Q-RIN"/>
    <n v="3.2"/>
  </r>
  <r>
    <d v="2021-06-28T00:00:00"/>
    <x v="10"/>
    <n v="2021"/>
    <x v="7"/>
    <s v="D3"/>
    <s v="Unverified"/>
    <n v="3.26"/>
  </r>
  <r>
    <d v="2021-06-28T00:00:00"/>
    <x v="10"/>
    <n v="2021"/>
    <x v="8"/>
    <s v="D3"/>
    <s v="Q-RIN"/>
    <n v="2.66"/>
  </r>
  <r>
    <d v="2021-06-28T00:00:00"/>
    <x v="10"/>
    <n v="2021"/>
    <x v="8"/>
    <s v="D3"/>
    <s v="Unverified"/>
    <n v="3.05"/>
  </r>
  <r>
    <d v="2021-07-05T00:00:00"/>
    <x v="11"/>
    <n v="2021"/>
    <x v="8"/>
    <s v="D3"/>
    <s v="Q-RIN"/>
    <n v="2.85"/>
  </r>
  <r>
    <d v="2021-07-12T00:00:00"/>
    <x v="11"/>
    <n v="2021"/>
    <x v="7"/>
    <s v="D3"/>
    <s v="Q-RIN"/>
    <n v="3.09"/>
  </r>
  <r>
    <d v="2021-07-12T00:00:00"/>
    <x v="11"/>
    <n v="2021"/>
    <x v="8"/>
    <s v="D3"/>
    <s v="Q-RIN"/>
    <n v="2.99"/>
  </r>
  <r>
    <d v="2021-07-12T00:00:00"/>
    <x v="11"/>
    <n v="2021"/>
    <x v="8"/>
    <s v="D3"/>
    <s v="Unverified"/>
    <n v="3.08"/>
  </r>
  <r>
    <d v="2021-07-19T00:00:00"/>
    <x v="11"/>
    <n v="2021"/>
    <x v="8"/>
    <s v="D3"/>
    <s v="Q-RIN"/>
    <n v="2.76"/>
  </r>
  <r>
    <d v="2021-07-19T00:00:00"/>
    <x v="11"/>
    <n v="2021"/>
    <x v="8"/>
    <s v="D3"/>
    <s v="Unverified"/>
    <n v="1.72"/>
  </r>
  <r>
    <d v="2021-07-26T00:00:00"/>
    <x v="11"/>
    <n v="2021"/>
    <x v="8"/>
    <s v="D3"/>
    <s v="Q-RIN"/>
    <n v="2.75"/>
  </r>
  <r>
    <d v="2021-07-26T00:00:00"/>
    <x v="11"/>
    <n v="2021"/>
    <x v="8"/>
    <s v="D3"/>
    <s v="Unverified"/>
    <n v="1.66"/>
  </r>
  <r>
    <d v="2021-08-02T00:00:00"/>
    <x v="0"/>
    <n v="2021"/>
    <x v="8"/>
    <s v="D3"/>
    <s v="Q-RIN"/>
    <n v="2.2200000000000002"/>
  </r>
  <r>
    <d v="2021-08-09T00:00:00"/>
    <x v="0"/>
    <n v="2021"/>
    <x v="8"/>
    <s v="D3"/>
    <s v="Q-RIN"/>
    <n v="2.88"/>
  </r>
  <r>
    <d v="2021-08-16T00:00:00"/>
    <x v="0"/>
    <n v="2021"/>
    <x v="8"/>
    <s v="D3"/>
    <s v="Q-RIN"/>
    <n v="2.77"/>
  </r>
  <r>
    <d v="2021-08-16T00:00:00"/>
    <x v="0"/>
    <n v="2021"/>
    <x v="8"/>
    <s v="D3"/>
    <s v="Unverified"/>
    <n v="3.1"/>
  </r>
  <r>
    <d v="2021-08-23T00:00:00"/>
    <x v="0"/>
    <n v="2021"/>
    <x v="7"/>
    <s v="D3"/>
    <s v="Q-RIN"/>
    <n v="3.2"/>
  </r>
  <r>
    <d v="2021-08-23T00:00:00"/>
    <x v="0"/>
    <n v="2021"/>
    <x v="8"/>
    <s v="D3"/>
    <s v="Q-RIN"/>
    <n v="2.52"/>
  </r>
  <r>
    <d v="2021-08-23T00:00:00"/>
    <x v="0"/>
    <n v="2021"/>
    <x v="8"/>
    <s v="D3"/>
    <s v="Unverified"/>
    <n v="3.05"/>
  </r>
  <r>
    <d v="2021-08-30T00:00:00"/>
    <x v="0"/>
    <n v="2021"/>
    <x v="7"/>
    <s v="D3"/>
    <s v="Q-RIN"/>
    <n v="3.46"/>
  </r>
  <r>
    <d v="2021-08-30T00:00:00"/>
    <x v="0"/>
    <n v="2021"/>
    <x v="8"/>
    <s v="D3"/>
    <s v="Q-RIN"/>
    <n v="2.83"/>
  </r>
  <r>
    <d v="2021-08-30T00:00:00"/>
    <x v="0"/>
    <n v="2021"/>
    <x v="8"/>
    <s v="D3"/>
    <s v="Unverified"/>
    <n v="1.85"/>
  </r>
  <r>
    <d v="2021-09-06T00:00:00"/>
    <x v="2"/>
    <n v="2021"/>
    <x v="8"/>
    <s v="D3"/>
    <s v="Q-RIN"/>
    <n v="2.44"/>
  </r>
  <r>
    <d v="2021-09-13T00:00:00"/>
    <x v="2"/>
    <n v="2021"/>
    <x v="8"/>
    <s v="D3"/>
    <s v="Q-RIN"/>
    <n v="3.04"/>
  </r>
  <r>
    <d v="2021-09-13T00:00:00"/>
    <x v="2"/>
    <n v="2021"/>
    <x v="8"/>
    <s v="D3"/>
    <s v="Unverified"/>
    <n v="2.4900000000000002"/>
  </r>
  <r>
    <d v="2021-09-20T00:00:00"/>
    <x v="2"/>
    <n v="2021"/>
    <x v="6"/>
    <s v="D3"/>
    <s v="Unverified"/>
    <n v="2.23"/>
  </r>
  <r>
    <d v="2021-09-20T00:00:00"/>
    <x v="2"/>
    <n v="2021"/>
    <x v="7"/>
    <s v="D3"/>
    <s v="Unverified"/>
    <n v="2.23"/>
  </r>
  <r>
    <d v="2021-09-20T00:00:00"/>
    <x v="2"/>
    <n v="2021"/>
    <x v="8"/>
    <s v="D3"/>
    <s v="Q-RIN"/>
    <n v="2.63"/>
  </r>
  <r>
    <d v="2021-09-20T00:00:00"/>
    <x v="2"/>
    <n v="2021"/>
    <x v="8"/>
    <s v="D3"/>
    <s v="Unverified"/>
    <n v="1.5"/>
  </r>
  <r>
    <d v="2021-09-27T00:00:00"/>
    <x v="2"/>
    <n v="2021"/>
    <x v="6"/>
    <s v="D3"/>
    <s v="Unverified"/>
    <n v="2.99"/>
  </r>
  <r>
    <d v="2021-09-27T00:00:00"/>
    <x v="2"/>
    <n v="2021"/>
    <x v="7"/>
    <s v="D3"/>
    <s v="Q-RIN"/>
    <n v="3.05"/>
  </r>
  <r>
    <d v="2021-09-27T00:00:00"/>
    <x v="2"/>
    <n v="2021"/>
    <x v="8"/>
    <s v="D3"/>
    <s v="Q-RIN"/>
    <n v="2.5499999999999998"/>
  </r>
  <r>
    <d v="2021-10-04T00:00:00"/>
    <x v="3"/>
    <n v="2021"/>
    <x v="8"/>
    <s v="D3"/>
    <s v="Q-RIN"/>
    <n v="2.73"/>
  </r>
  <r>
    <d v="2021-10-04T00:00:00"/>
    <x v="3"/>
    <n v="2021"/>
    <x v="8"/>
    <s v="D3"/>
    <s v="Unverified"/>
    <n v="2.5099999999999998"/>
  </r>
  <r>
    <d v="2021-10-11T00:00:00"/>
    <x v="3"/>
    <n v="2021"/>
    <x v="7"/>
    <s v="D3"/>
    <s v="Q-RIN"/>
    <n v="3.14"/>
  </r>
  <r>
    <d v="2021-10-11T00:00:00"/>
    <x v="3"/>
    <n v="2021"/>
    <x v="8"/>
    <s v="D3"/>
    <s v="Q-RIN"/>
    <n v="3.06"/>
  </r>
  <r>
    <d v="2021-10-18T00:00:00"/>
    <x v="3"/>
    <n v="2021"/>
    <x v="8"/>
    <s v="D3"/>
    <s v="Q-RIN"/>
    <n v="2.68"/>
  </r>
  <r>
    <d v="2021-10-25T00:00:00"/>
    <x v="3"/>
    <n v="2021"/>
    <x v="6"/>
    <s v="D3"/>
    <s v="Q-RIN"/>
    <n v="3.12"/>
  </r>
  <r>
    <d v="2021-10-25T00:00:00"/>
    <x v="3"/>
    <n v="2021"/>
    <x v="6"/>
    <s v="D3"/>
    <s v="Unverified"/>
    <n v="3.05"/>
  </r>
  <r>
    <d v="2021-10-25T00:00:00"/>
    <x v="3"/>
    <n v="2021"/>
    <x v="7"/>
    <s v="D3"/>
    <s v="Q-RIN"/>
    <n v="3.05"/>
  </r>
  <r>
    <d v="2021-10-25T00:00:00"/>
    <x v="3"/>
    <n v="2021"/>
    <x v="8"/>
    <s v="D3"/>
    <s v="Q-RIN"/>
    <n v="2.85"/>
  </r>
  <r>
    <d v="2021-11-01T00:00:00"/>
    <x v="4"/>
    <n v="2021"/>
    <x v="7"/>
    <s v="D3"/>
    <s v="Q-RIN"/>
    <n v="3.3"/>
  </r>
  <r>
    <d v="2021-11-01T00:00:00"/>
    <x v="4"/>
    <n v="2021"/>
    <x v="8"/>
    <s v="D3"/>
    <s v="Q-RIN"/>
    <n v="2.95"/>
  </r>
  <r>
    <d v="2021-11-08T00:00:00"/>
    <x v="4"/>
    <n v="2021"/>
    <x v="7"/>
    <s v="D3"/>
    <s v="Q-RIN"/>
    <n v="3.2"/>
  </r>
  <r>
    <d v="2021-11-08T00:00:00"/>
    <x v="4"/>
    <n v="2021"/>
    <x v="8"/>
    <s v="D3"/>
    <s v="Q-RIN"/>
    <n v="3.11"/>
  </r>
  <r>
    <d v="2021-11-08T00:00:00"/>
    <x v="4"/>
    <n v="2021"/>
    <x v="8"/>
    <s v="D3"/>
    <s v="Unverified"/>
    <n v="3.11"/>
  </r>
  <r>
    <d v="2021-11-15T00:00:00"/>
    <x v="4"/>
    <n v="2021"/>
    <x v="6"/>
    <s v="D3"/>
    <s v="Q-RIN"/>
    <n v="3.28"/>
  </r>
  <r>
    <d v="2021-11-15T00:00:00"/>
    <x v="4"/>
    <n v="2021"/>
    <x v="7"/>
    <s v="D3"/>
    <s v="Q-RIN"/>
    <n v="3.37"/>
  </r>
  <r>
    <d v="2021-11-15T00:00:00"/>
    <x v="4"/>
    <n v="2021"/>
    <x v="8"/>
    <s v="D3"/>
    <s v="Q-RIN"/>
    <n v="3.18"/>
  </r>
  <r>
    <d v="2021-11-22T00:00:00"/>
    <x v="4"/>
    <n v="2021"/>
    <x v="8"/>
    <s v="D3"/>
    <s v="Q-RIN"/>
    <n v="2.56"/>
  </r>
  <r>
    <d v="2021-11-29T00:00:00"/>
    <x v="4"/>
    <n v="2021"/>
    <x v="8"/>
    <s v="D3"/>
    <s v="Q-RIN"/>
    <n v="2.94"/>
  </r>
  <r>
    <d v="2021-12-06T00:00:00"/>
    <x v="5"/>
    <n v="2021"/>
    <x v="8"/>
    <s v="D3"/>
    <s v="Q-RIN"/>
    <n v="2.79"/>
  </r>
  <r>
    <d v="2021-12-06T00:00:00"/>
    <x v="5"/>
    <n v="2021"/>
    <x v="8"/>
    <s v="D3"/>
    <s v="Unverified"/>
    <n v="3.35"/>
  </r>
  <r>
    <d v="2021-12-13T00:00:00"/>
    <x v="5"/>
    <n v="2021"/>
    <x v="8"/>
    <s v="D3"/>
    <s v="Q-RIN"/>
    <n v="3.04"/>
  </r>
  <r>
    <d v="2021-12-20T00:00:00"/>
    <x v="5"/>
    <n v="2021"/>
    <x v="5"/>
    <s v="D3"/>
    <s v="Unverified"/>
    <n v="1.68"/>
  </r>
  <r>
    <d v="2021-12-20T00:00:00"/>
    <x v="5"/>
    <n v="2021"/>
    <x v="7"/>
    <s v="D3"/>
    <s v="Q-RIN"/>
    <n v="3.26"/>
  </r>
  <r>
    <d v="2021-12-20T00:00:00"/>
    <x v="5"/>
    <n v="2021"/>
    <x v="8"/>
    <s v="D3"/>
    <s v="Q-RIN"/>
    <n v="2.8"/>
  </r>
  <r>
    <d v="2021-12-20T00:00:00"/>
    <x v="5"/>
    <n v="2021"/>
    <x v="8"/>
    <s v="D3"/>
    <s v="Unverified"/>
    <n v="3"/>
  </r>
  <r>
    <d v="2021-12-27T00:00:00"/>
    <x v="5"/>
    <n v="2021"/>
    <x v="7"/>
    <s v="D3"/>
    <s v="Q-RIN"/>
    <n v="3.03"/>
  </r>
  <r>
    <d v="2021-12-27T00:00:00"/>
    <x v="5"/>
    <n v="2021"/>
    <x v="8"/>
    <s v="D3"/>
    <s v="Q-RIN"/>
    <n v="3.15"/>
  </r>
  <r>
    <d v="2021-12-27T00:00:00"/>
    <x v="5"/>
    <n v="2021"/>
    <x v="8"/>
    <s v="D3"/>
    <s v="Unverified"/>
    <n v="2.5099999999999998"/>
  </r>
  <r>
    <d v="2022-01-03T00:00:00"/>
    <x v="6"/>
    <n v="2022"/>
    <x v="7"/>
    <s v="D3"/>
    <s v="Q-RIN"/>
    <n v="3.5"/>
  </r>
  <r>
    <d v="2022-01-03T00:00:00"/>
    <x v="6"/>
    <n v="2022"/>
    <x v="8"/>
    <s v="D3"/>
    <s v="Q-RIN"/>
    <n v="2.95"/>
  </r>
  <r>
    <d v="2022-01-10T00:00:00"/>
    <x v="6"/>
    <n v="2022"/>
    <x v="7"/>
    <s v="D3"/>
    <s v="Q-RIN"/>
    <n v="3.33"/>
  </r>
  <r>
    <d v="2022-01-10T00:00:00"/>
    <x v="6"/>
    <n v="2022"/>
    <x v="8"/>
    <s v="D3"/>
    <s v="Q-RIN"/>
    <n v="2.89"/>
  </r>
  <r>
    <d v="2022-01-10T00:00:00"/>
    <x v="6"/>
    <n v="2022"/>
    <x v="8"/>
    <s v="D3"/>
    <s v="Unverified"/>
    <n v="3.5"/>
  </r>
  <r>
    <d v="2022-01-17T00:00:00"/>
    <x v="6"/>
    <n v="2022"/>
    <x v="8"/>
    <s v="D3"/>
    <s v="Q-RIN"/>
    <n v="3.3"/>
  </r>
  <r>
    <d v="2022-01-24T00:00:00"/>
    <x v="6"/>
    <n v="2022"/>
    <x v="8"/>
    <s v="D3"/>
    <s v="Q-RIN"/>
    <n v="3.18"/>
  </r>
  <r>
    <d v="2022-01-31T00:00:00"/>
    <x v="6"/>
    <n v="2022"/>
    <x v="8"/>
    <s v="D3"/>
    <s v="Q-RIN"/>
    <n v="3.15"/>
  </r>
  <r>
    <d v="2022-01-31T00:00:00"/>
    <x v="6"/>
    <n v="2022"/>
    <x v="8"/>
    <s v="D3"/>
    <s v="Unverified"/>
    <n v="3.4"/>
  </r>
  <r>
    <d v="2022-01-31T00:00:00"/>
    <x v="6"/>
    <n v="2022"/>
    <x v="9"/>
    <s v="D3"/>
    <s v="Q-RIN"/>
    <n v="3.32"/>
  </r>
  <r>
    <d v="2022-02-07T00:00:00"/>
    <x v="7"/>
    <n v="2022"/>
    <x v="8"/>
    <s v="D3"/>
    <s v="Q-RIN"/>
    <n v="3.34"/>
  </r>
  <r>
    <d v="2022-02-07T00:00:00"/>
    <x v="7"/>
    <n v="2022"/>
    <x v="9"/>
    <s v="D3"/>
    <s v="Q-RIN"/>
    <n v="3.4"/>
  </r>
  <r>
    <d v="2022-02-14T00:00:00"/>
    <x v="7"/>
    <n v="2022"/>
    <x v="7"/>
    <s v="D3"/>
    <s v="Q-RIN"/>
    <n v="3.32"/>
  </r>
  <r>
    <d v="2022-02-14T00:00:00"/>
    <x v="7"/>
    <n v="2022"/>
    <x v="8"/>
    <s v="D3"/>
    <s v="Q-RIN"/>
    <n v="2.65"/>
  </r>
  <r>
    <d v="2022-02-14T00:00:00"/>
    <x v="7"/>
    <n v="2022"/>
    <x v="8"/>
    <s v="D3"/>
    <s v="Unverified"/>
    <n v="3.32"/>
  </r>
  <r>
    <d v="2022-02-14T00:00:00"/>
    <x v="7"/>
    <n v="2022"/>
    <x v="9"/>
    <s v="D3"/>
    <s v="Q-RIN"/>
    <n v="3.15"/>
  </r>
  <r>
    <d v="2022-02-21T00:00:00"/>
    <x v="7"/>
    <n v="2022"/>
    <x v="8"/>
    <s v="D3"/>
    <s v="Q-RIN"/>
    <n v="3.08"/>
  </r>
  <r>
    <d v="2022-02-21T00:00:00"/>
    <x v="7"/>
    <n v="2022"/>
    <x v="9"/>
    <s v="D3"/>
    <s v="Q-RIN"/>
    <n v="3.37"/>
  </r>
  <r>
    <d v="2022-02-28T00:00:00"/>
    <x v="7"/>
    <n v="2022"/>
    <x v="8"/>
    <s v="D3"/>
    <s v="Q-RIN"/>
    <n v="3.21"/>
  </r>
  <r>
    <d v="2022-02-28T00:00:00"/>
    <x v="7"/>
    <n v="2022"/>
    <x v="8"/>
    <s v="D3"/>
    <s v="Unverified"/>
    <n v="3.41"/>
  </r>
  <r>
    <d v="2022-02-28T00:00:00"/>
    <x v="7"/>
    <n v="2022"/>
    <x v="9"/>
    <s v="D3"/>
    <s v="Q-RIN"/>
    <n v="3.16"/>
  </r>
  <r>
    <d v="2022-03-07T00:00:00"/>
    <x v="8"/>
    <n v="2022"/>
    <x v="7"/>
    <s v="D3"/>
    <s v="Q-RIN"/>
    <n v="2.93"/>
  </r>
  <r>
    <d v="2022-03-07T00:00:00"/>
    <x v="8"/>
    <n v="2022"/>
    <x v="8"/>
    <s v="D3"/>
    <s v="Q-RIN"/>
    <n v="3.25"/>
  </r>
  <r>
    <d v="2022-03-07T00:00:00"/>
    <x v="8"/>
    <n v="2022"/>
    <x v="9"/>
    <s v="D3"/>
    <s v="Q-RIN"/>
    <n v="3.15"/>
  </r>
  <r>
    <d v="2022-03-07T00:00:00"/>
    <x v="8"/>
    <n v="2022"/>
    <x v="9"/>
    <s v="D3"/>
    <s v="Unverified"/>
    <n v="3.25"/>
  </r>
  <r>
    <d v="2022-03-14T00:00:00"/>
    <x v="8"/>
    <n v="2022"/>
    <x v="7"/>
    <s v="D3"/>
    <s v="Q-RIN"/>
    <n v="3.25"/>
  </r>
  <r>
    <d v="2022-03-14T00:00:00"/>
    <x v="8"/>
    <n v="2022"/>
    <x v="8"/>
    <s v="D3"/>
    <s v="Q-RIN"/>
    <n v="3.03"/>
  </r>
  <r>
    <d v="2022-03-14T00:00:00"/>
    <x v="8"/>
    <n v="2022"/>
    <x v="9"/>
    <s v="D3"/>
    <s v="Q-RIN"/>
    <n v="3.31"/>
  </r>
  <r>
    <d v="2022-03-21T00:00:00"/>
    <x v="8"/>
    <n v="2022"/>
    <x v="8"/>
    <s v="D3"/>
    <s v="Q-RIN"/>
    <n v="3.1"/>
  </r>
  <r>
    <d v="2022-03-21T00:00:00"/>
    <x v="8"/>
    <n v="2022"/>
    <x v="9"/>
    <s v="D3"/>
    <s v="Q-RIN"/>
    <n v="3.12"/>
  </r>
  <r>
    <d v="2022-03-28T00:00:00"/>
    <x v="8"/>
    <n v="2022"/>
    <x v="8"/>
    <s v="D3"/>
    <s v="Q-RIN"/>
    <n v="3.18"/>
  </r>
  <r>
    <d v="2022-03-28T00:00:00"/>
    <x v="8"/>
    <n v="2022"/>
    <x v="8"/>
    <s v="D3"/>
    <s v="Unverified"/>
    <n v="2.89"/>
  </r>
  <r>
    <d v="2022-03-28T00:00:00"/>
    <x v="8"/>
    <n v="2022"/>
    <x v="9"/>
    <s v="D3"/>
    <s v="Q-RIN"/>
    <n v="3.02"/>
  </r>
  <r>
    <d v="2022-03-28T00:00:00"/>
    <x v="8"/>
    <n v="2022"/>
    <x v="9"/>
    <s v="D3"/>
    <s v="Unverified"/>
    <n v="2.64"/>
  </r>
  <r>
    <d v="2022-04-04T00:00:00"/>
    <x v="1"/>
    <n v="2022"/>
    <x v="7"/>
    <s v="D3"/>
    <s v="Q-RIN"/>
    <n v="3.44"/>
  </r>
  <r>
    <d v="2022-04-04T00:00:00"/>
    <x v="1"/>
    <n v="2022"/>
    <x v="7"/>
    <s v="D3"/>
    <s v="Unverified"/>
    <n v="3.26"/>
  </r>
  <r>
    <d v="2022-04-04T00:00:00"/>
    <x v="1"/>
    <n v="2022"/>
    <x v="8"/>
    <s v="D3"/>
    <s v="Q-RIN"/>
    <n v="2.93"/>
  </r>
  <r>
    <d v="2022-04-04T00:00:00"/>
    <x v="1"/>
    <n v="2022"/>
    <x v="8"/>
    <s v="D3"/>
    <s v="Unverified"/>
    <n v="3.36"/>
  </r>
  <r>
    <d v="2022-04-04T00:00:00"/>
    <x v="1"/>
    <n v="2022"/>
    <x v="9"/>
    <s v="D3"/>
    <s v="Q-RIN"/>
    <n v="3.22"/>
  </r>
  <r>
    <d v="2022-04-11T00:00:00"/>
    <x v="1"/>
    <n v="2022"/>
    <x v="9"/>
    <s v="D3"/>
    <s v="Q-RIN"/>
    <n v="3.28"/>
  </r>
  <r>
    <d v="2022-04-11T00:00:00"/>
    <x v="1"/>
    <n v="2022"/>
    <x v="9"/>
    <s v="D3"/>
    <s v="Unverified"/>
    <n v="3.01"/>
  </r>
  <r>
    <d v="2022-04-18T00:00:00"/>
    <x v="1"/>
    <n v="2022"/>
    <x v="8"/>
    <s v="D3"/>
    <s v="Q-RIN"/>
    <n v="3.04"/>
  </r>
  <r>
    <d v="2022-04-18T00:00:00"/>
    <x v="1"/>
    <n v="2022"/>
    <x v="9"/>
    <s v="D3"/>
    <s v="Q-RIN"/>
    <n v="3.25"/>
  </r>
  <r>
    <d v="2022-04-18T00:00:00"/>
    <x v="1"/>
    <n v="2022"/>
    <x v="9"/>
    <s v="D3"/>
    <s v="Unverified"/>
    <n v="3.28"/>
  </r>
  <r>
    <d v="2022-04-25T00:00:00"/>
    <x v="1"/>
    <n v="2022"/>
    <x v="7"/>
    <s v="D3"/>
    <s v="Unverified"/>
    <n v="3.21"/>
  </r>
  <r>
    <d v="2022-04-25T00:00:00"/>
    <x v="1"/>
    <n v="2022"/>
    <x v="8"/>
    <s v="D3"/>
    <s v="Q-RIN"/>
    <n v="3.36"/>
  </r>
  <r>
    <d v="2022-04-25T00:00:00"/>
    <x v="1"/>
    <n v="2022"/>
    <x v="8"/>
    <s v="D3"/>
    <s v="Unverified"/>
    <n v="3.31"/>
  </r>
  <r>
    <d v="2022-04-25T00:00:00"/>
    <x v="1"/>
    <n v="2022"/>
    <x v="9"/>
    <s v="D3"/>
    <s v="Q-RIN"/>
    <n v="3.06"/>
  </r>
  <r>
    <d v="2022-04-25T00:00:00"/>
    <x v="1"/>
    <n v="2022"/>
    <x v="9"/>
    <s v="D3"/>
    <s v="Unverified"/>
    <n v="3.26"/>
  </r>
  <r>
    <d v="2022-05-02T00:00:00"/>
    <x v="9"/>
    <n v="2022"/>
    <x v="8"/>
    <s v="D3"/>
    <s v="Q-RIN"/>
    <n v="3.47"/>
  </r>
  <r>
    <d v="2022-05-02T00:00:00"/>
    <x v="9"/>
    <n v="2022"/>
    <x v="9"/>
    <s v="D3"/>
    <s v="Q-RIN"/>
    <n v="3.26"/>
  </r>
  <r>
    <d v="2022-05-09T00:00:00"/>
    <x v="9"/>
    <n v="2022"/>
    <x v="7"/>
    <s v="D3"/>
    <s v="Q-RIN"/>
    <n v="3.35"/>
  </r>
  <r>
    <d v="2022-05-09T00:00:00"/>
    <x v="9"/>
    <n v="2022"/>
    <x v="8"/>
    <s v="D3"/>
    <s v="Q-RIN"/>
    <n v="3.4"/>
  </r>
  <r>
    <d v="2022-05-09T00:00:00"/>
    <x v="9"/>
    <n v="2022"/>
    <x v="9"/>
    <s v="D3"/>
    <s v="Q-RIN"/>
    <n v="3.28"/>
  </r>
  <r>
    <d v="2022-05-16T00:00:00"/>
    <x v="9"/>
    <n v="2022"/>
    <x v="8"/>
    <s v="D3"/>
    <s v="Q-RIN"/>
    <n v="3.23"/>
  </r>
  <r>
    <d v="2022-05-16T00:00:00"/>
    <x v="9"/>
    <n v="2022"/>
    <x v="9"/>
    <s v="D3"/>
    <s v="Q-RIN"/>
    <n v="3.11"/>
  </r>
  <r>
    <d v="2022-05-16T00:00:00"/>
    <x v="9"/>
    <n v="2022"/>
    <x v="9"/>
    <s v="D3"/>
    <s v="Unverified"/>
    <n v="3.33"/>
  </r>
  <r>
    <d v="2022-05-23T00:00:00"/>
    <x v="9"/>
    <n v="2022"/>
    <x v="8"/>
    <s v="D3"/>
    <s v="Q-RIN"/>
    <n v="3.32"/>
  </r>
  <r>
    <d v="2022-05-23T00:00:00"/>
    <x v="9"/>
    <n v="2022"/>
    <x v="9"/>
    <s v="D3"/>
    <s v="Q-RIN"/>
    <n v="3.22"/>
  </r>
  <r>
    <d v="2022-05-23T00:00:00"/>
    <x v="9"/>
    <n v="2022"/>
    <x v="9"/>
    <s v="D3"/>
    <s v="Unverified"/>
    <n v="3.41"/>
  </r>
  <r>
    <d v="2022-05-30T00:00:00"/>
    <x v="9"/>
    <n v="2022"/>
    <x v="9"/>
    <s v="D3"/>
    <s v="Q-RIN"/>
    <n v="3.23"/>
  </r>
  <r>
    <d v="2022-06-06T00:00:00"/>
    <x v="10"/>
    <n v="2022"/>
    <x v="8"/>
    <s v="D3"/>
    <s v="Q-RIN"/>
    <n v="3.33"/>
  </r>
  <r>
    <d v="2022-06-06T00:00:00"/>
    <x v="10"/>
    <n v="2022"/>
    <x v="9"/>
    <s v="D3"/>
    <s v="Q-RIN"/>
    <n v="3.13"/>
  </r>
  <r>
    <d v="2022-06-06T00:00:00"/>
    <x v="10"/>
    <n v="2022"/>
    <x v="9"/>
    <s v="D3"/>
    <s v="Unverified"/>
    <n v="3.42"/>
  </r>
  <r>
    <d v="2022-06-13T00:00:00"/>
    <x v="10"/>
    <n v="2022"/>
    <x v="7"/>
    <s v="D3"/>
    <s v="Q-RIN"/>
    <n v="3"/>
  </r>
  <r>
    <d v="2022-06-13T00:00:00"/>
    <x v="10"/>
    <n v="2022"/>
    <x v="8"/>
    <s v="D3"/>
    <s v="Q-RIN"/>
    <n v="3.03"/>
  </r>
  <r>
    <d v="2022-06-13T00:00:00"/>
    <x v="10"/>
    <n v="2022"/>
    <x v="9"/>
    <s v="D3"/>
    <s v="Q-RIN"/>
    <n v="3.3"/>
  </r>
  <r>
    <d v="2022-06-20T00:00:00"/>
    <x v="10"/>
    <n v="2022"/>
    <x v="6"/>
    <s v="D3"/>
    <s v="Q-RIN"/>
    <n v="2.93"/>
  </r>
  <r>
    <d v="2022-06-20T00:00:00"/>
    <x v="10"/>
    <n v="2022"/>
    <x v="7"/>
    <s v="D3"/>
    <s v="Q-RIN"/>
    <n v="2.82"/>
  </r>
  <r>
    <d v="2022-06-20T00:00:00"/>
    <x v="10"/>
    <n v="2022"/>
    <x v="7"/>
    <s v="D3"/>
    <s v="Unverified"/>
    <n v="3.26"/>
  </r>
  <r>
    <d v="2022-06-20T00:00:00"/>
    <x v="10"/>
    <n v="2022"/>
    <x v="8"/>
    <s v="D3"/>
    <s v="Q-RIN"/>
    <n v="3.18"/>
  </r>
  <r>
    <d v="2022-06-20T00:00:00"/>
    <x v="10"/>
    <n v="2022"/>
    <x v="8"/>
    <s v="D3"/>
    <s v="Unverified"/>
    <n v="3.36"/>
  </r>
  <r>
    <d v="2022-06-20T00:00:00"/>
    <x v="10"/>
    <n v="2022"/>
    <x v="9"/>
    <s v="D3"/>
    <s v="Q-RIN"/>
    <n v="3.24"/>
  </r>
  <r>
    <d v="2022-06-27T00:00:00"/>
    <x v="10"/>
    <n v="2022"/>
    <x v="8"/>
    <s v="D3"/>
    <s v="Q-RIN"/>
    <n v="3.34"/>
  </r>
  <r>
    <d v="2022-06-27T00:00:00"/>
    <x v="10"/>
    <n v="2022"/>
    <x v="9"/>
    <s v="D3"/>
    <s v="Q-RIN"/>
    <n v="3.1"/>
  </r>
  <r>
    <d v="2022-06-27T00:00:00"/>
    <x v="10"/>
    <n v="2022"/>
    <x v="9"/>
    <s v="D3"/>
    <s v="Unverified"/>
    <n v="2.65"/>
  </r>
  <r>
    <d v="2022-07-04T00:00:00"/>
    <x v="11"/>
    <n v="2022"/>
    <x v="6"/>
    <s v="D3"/>
    <s v="Q-RIN"/>
    <n v="2.63"/>
  </r>
  <r>
    <d v="2022-07-04T00:00:00"/>
    <x v="11"/>
    <n v="2022"/>
    <x v="6"/>
    <s v="D3"/>
    <s v="Unverified"/>
    <n v="2.63"/>
  </r>
  <r>
    <d v="2022-07-04T00:00:00"/>
    <x v="11"/>
    <n v="2022"/>
    <x v="7"/>
    <s v="D3"/>
    <s v="Q-RIN"/>
    <n v="2.63"/>
  </r>
  <r>
    <d v="2022-07-04T00:00:00"/>
    <x v="11"/>
    <n v="2022"/>
    <x v="8"/>
    <s v="D3"/>
    <s v="Q-RIN"/>
    <n v="3.03"/>
  </r>
  <r>
    <d v="2022-07-04T00:00:00"/>
    <x v="11"/>
    <n v="2022"/>
    <x v="9"/>
    <s v="D3"/>
    <s v="Q-RIN"/>
    <n v="2.97"/>
  </r>
  <r>
    <d v="2022-07-04T00:00:00"/>
    <x v="11"/>
    <n v="2022"/>
    <x v="9"/>
    <s v="D3"/>
    <s v="Unverified"/>
    <n v="3.08"/>
  </r>
  <r>
    <d v="2022-07-11T00:00:00"/>
    <x v="11"/>
    <n v="2022"/>
    <x v="8"/>
    <s v="D3"/>
    <s v="Q-RIN"/>
    <n v="3.05"/>
  </r>
  <r>
    <d v="2022-07-11T00:00:00"/>
    <x v="11"/>
    <n v="2022"/>
    <x v="9"/>
    <s v="D3"/>
    <s v="Q-RIN"/>
    <n v="2.95"/>
  </r>
  <r>
    <d v="2022-07-11T00:00:00"/>
    <x v="11"/>
    <n v="2022"/>
    <x v="9"/>
    <s v="D3"/>
    <s v="Unverified"/>
    <n v="2.77"/>
  </r>
  <r>
    <d v="2022-07-18T00:00:00"/>
    <x v="11"/>
    <n v="2022"/>
    <x v="6"/>
    <s v="D3"/>
    <s v="Q-RIN"/>
    <n v="2.9"/>
  </r>
  <r>
    <d v="2022-07-18T00:00:00"/>
    <x v="11"/>
    <n v="2022"/>
    <x v="7"/>
    <s v="D3"/>
    <s v="Q-RIN"/>
    <n v="2.5499999999999998"/>
  </r>
  <r>
    <d v="2022-07-18T00:00:00"/>
    <x v="11"/>
    <n v="2022"/>
    <x v="8"/>
    <s v="D3"/>
    <s v="Q-RIN"/>
    <n v="3.21"/>
  </r>
  <r>
    <d v="2022-07-18T00:00:00"/>
    <x v="11"/>
    <n v="2022"/>
    <x v="9"/>
    <s v="D3"/>
    <s v="Q-RIN"/>
    <n v="3.11"/>
  </r>
  <r>
    <d v="2022-07-25T00:00:00"/>
    <x v="11"/>
    <n v="2022"/>
    <x v="9"/>
    <s v="D3"/>
    <s v="Q-RIN"/>
    <n v="2.98"/>
  </r>
  <r>
    <d v="2022-07-25T00:00:00"/>
    <x v="11"/>
    <n v="2022"/>
    <x v="9"/>
    <s v="D3"/>
    <s v="Unverified"/>
    <n v="2.96"/>
  </r>
  <r>
    <d v="2022-08-01T00:00:00"/>
    <x v="0"/>
    <n v="2022"/>
    <x v="9"/>
    <s v="D3"/>
    <s v="Q-RIN"/>
    <n v="3.22"/>
  </r>
  <r>
    <d v="2022-08-01T00:00:00"/>
    <x v="0"/>
    <n v="2022"/>
    <x v="9"/>
    <s v="D3"/>
    <s v="Unverified"/>
    <n v="2.59"/>
  </r>
  <r>
    <d v="2022-08-08T00:00:00"/>
    <x v="0"/>
    <n v="2022"/>
    <x v="8"/>
    <s v="D3"/>
    <s v="Q-RIN"/>
    <n v="3.04"/>
  </r>
  <r>
    <d v="2022-08-08T00:00:00"/>
    <x v="0"/>
    <n v="2022"/>
    <x v="9"/>
    <s v="D3"/>
    <s v="Q-RIN"/>
    <n v="3.06"/>
  </r>
  <r>
    <d v="2022-08-08T00:00:00"/>
    <x v="0"/>
    <n v="2022"/>
    <x v="9"/>
    <s v="D3"/>
    <s v="Unverified"/>
    <n v="2.99"/>
  </r>
  <r>
    <d v="2022-08-15T00:00:00"/>
    <x v="0"/>
    <n v="2022"/>
    <x v="7"/>
    <s v="D3"/>
    <s v="Q-RIN"/>
    <n v="2.6"/>
  </r>
  <r>
    <d v="2022-08-15T00:00:00"/>
    <x v="0"/>
    <n v="2022"/>
    <x v="8"/>
    <s v="D3"/>
    <s v="Q-RIN"/>
    <n v="3.33"/>
  </r>
  <r>
    <d v="2022-08-15T00:00:00"/>
    <x v="0"/>
    <n v="2022"/>
    <x v="9"/>
    <s v="D3"/>
    <s v="Q-RIN"/>
    <n v="3.09"/>
  </r>
  <r>
    <d v="2022-08-15T00:00:00"/>
    <x v="0"/>
    <n v="2022"/>
    <x v="9"/>
    <s v="D3"/>
    <s v="Unverified"/>
    <n v="2.98"/>
  </r>
  <r>
    <d v="2022-08-22T00:00:00"/>
    <x v="0"/>
    <n v="2022"/>
    <x v="8"/>
    <s v="D3"/>
    <s v="Q-RIN"/>
    <n v="3.2"/>
  </r>
  <r>
    <d v="2022-08-22T00:00:00"/>
    <x v="0"/>
    <n v="2022"/>
    <x v="9"/>
    <s v="D3"/>
    <s v="Q-RIN"/>
    <n v="3.02"/>
  </r>
  <r>
    <d v="2022-08-22T00:00:00"/>
    <x v="0"/>
    <n v="2022"/>
    <x v="9"/>
    <s v="D3"/>
    <s v="Unverified"/>
    <n v="2.6"/>
  </r>
  <r>
    <d v="2022-08-29T00:00:00"/>
    <x v="0"/>
    <n v="2022"/>
    <x v="9"/>
    <s v="D3"/>
    <s v="Q-RIN"/>
    <n v="2.93"/>
  </r>
  <r>
    <d v="2022-08-29T00:00:00"/>
    <x v="0"/>
    <n v="2022"/>
    <x v="9"/>
    <s v="D3"/>
    <s v="Unverified"/>
    <n v="2.98"/>
  </r>
  <r>
    <d v="2022-09-05T00:00:00"/>
    <x v="2"/>
    <n v="2022"/>
    <x v="7"/>
    <s v="D3"/>
    <s v="Q-RIN"/>
    <n v="3.23"/>
  </r>
  <r>
    <d v="2022-09-05T00:00:00"/>
    <x v="2"/>
    <n v="2022"/>
    <x v="8"/>
    <s v="D3"/>
    <s v="Q-RIN"/>
    <n v="3.04"/>
  </r>
  <r>
    <d v="2022-09-05T00:00:00"/>
    <x v="2"/>
    <n v="2022"/>
    <x v="9"/>
    <s v="D3"/>
    <s v="Q-RIN"/>
    <n v="3.12"/>
  </r>
  <r>
    <d v="2022-09-05T00:00:00"/>
    <x v="2"/>
    <n v="2022"/>
    <x v="9"/>
    <s v="D3"/>
    <s v="Unverified"/>
    <n v="2.86"/>
  </r>
  <r>
    <d v="2022-09-12T00:00:00"/>
    <x v="2"/>
    <n v="2022"/>
    <x v="7"/>
    <s v="D3"/>
    <s v="Q-RIN"/>
    <n v="3"/>
  </r>
  <r>
    <d v="2022-09-12T00:00:00"/>
    <x v="2"/>
    <n v="2022"/>
    <x v="8"/>
    <s v="D3"/>
    <s v="Q-RIN"/>
    <n v="3.1"/>
  </r>
  <r>
    <d v="2022-09-12T00:00:00"/>
    <x v="2"/>
    <n v="2022"/>
    <x v="9"/>
    <s v="D3"/>
    <s v="Q-RIN"/>
    <n v="2.96"/>
  </r>
  <r>
    <d v="2022-09-19T00:00:00"/>
    <x v="2"/>
    <n v="2022"/>
    <x v="7"/>
    <s v="D3"/>
    <s v="Q-RIN"/>
    <n v="3.06"/>
  </r>
  <r>
    <d v="2022-09-19T00:00:00"/>
    <x v="2"/>
    <n v="2022"/>
    <x v="8"/>
    <s v="D3"/>
    <s v="Q-RIN"/>
    <n v="3.21"/>
  </r>
  <r>
    <d v="2022-09-19T00:00:00"/>
    <x v="2"/>
    <n v="2022"/>
    <x v="9"/>
    <s v="D3"/>
    <s v="Q-RIN"/>
    <n v="2.99"/>
  </r>
  <r>
    <d v="2022-09-26T00:00:00"/>
    <x v="2"/>
    <n v="2022"/>
    <x v="7"/>
    <s v="D3"/>
    <s v="Q-RIN"/>
    <n v="3.3"/>
  </r>
  <r>
    <d v="2022-09-26T00:00:00"/>
    <x v="2"/>
    <n v="2022"/>
    <x v="8"/>
    <s v="D3"/>
    <s v="Q-RIN"/>
    <n v="3.29"/>
  </r>
  <r>
    <d v="2022-09-26T00:00:00"/>
    <x v="2"/>
    <n v="2022"/>
    <x v="9"/>
    <s v="D3"/>
    <s v="Q-RIN"/>
    <n v="2.96"/>
  </r>
  <r>
    <d v="2022-10-03T00:00:00"/>
    <x v="3"/>
    <n v="2022"/>
    <x v="6"/>
    <s v="D3"/>
    <s v="Q-RIN"/>
    <n v="3.06"/>
  </r>
  <r>
    <d v="2022-10-03T00:00:00"/>
    <x v="3"/>
    <n v="2022"/>
    <x v="7"/>
    <s v="D3"/>
    <s v="Q-RIN"/>
    <n v="3.06"/>
  </r>
  <r>
    <d v="2022-10-03T00:00:00"/>
    <x v="3"/>
    <n v="2022"/>
    <x v="8"/>
    <s v="D3"/>
    <s v="Q-RIN"/>
    <n v="3.1"/>
  </r>
  <r>
    <d v="2022-10-03T00:00:00"/>
    <x v="3"/>
    <n v="2022"/>
    <x v="9"/>
    <s v="D3"/>
    <s v="Q-RIN"/>
    <n v="3.05"/>
  </r>
  <r>
    <d v="2022-10-03T00:00:00"/>
    <x v="3"/>
    <n v="2022"/>
    <x v="9"/>
    <s v="D3"/>
    <s v="Unverified"/>
    <n v="2.73"/>
  </r>
  <r>
    <d v="2022-10-10T00:00:00"/>
    <x v="3"/>
    <n v="2022"/>
    <x v="6"/>
    <s v="D3"/>
    <s v="Q-RIN"/>
    <n v="2.6"/>
  </r>
  <r>
    <d v="2022-10-10T00:00:00"/>
    <x v="3"/>
    <n v="2022"/>
    <x v="7"/>
    <s v="D3"/>
    <s v="Q-RIN"/>
    <n v="3.06"/>
  </r>
  <r>
    <d v="2022-10-10T00:00:00"/>
    <x v="3"/>
    <n v="2022"/>
    <x v="9"/>
    <s v="D3"/>
    <s v="Q-RIN"/>
    <n v="2.9"/>
  </r>
  <r>
    <d v="2022-10-17T00:00:00"/>
    <x v="3"/>
    <n v="2022"/>
    <x v="7"/>
    <s v="D3"/>
    <s v="Q-RIN"/>
    <n v="3.14"/>
  </r>
  <r>
    <d v="2022-10-17T00:00:00"/>
    <x v="3"/>
    <n v="2022"/>
    <x v="8"/>
    <s v="D3"/>
    <s v="Q-RIN"/>
    <n v="2.77"/>
  </r>
  <r>
    <d v="2022-10-17T00:00:00"/>
    <x v="3"/>
    <n v="2022"/>
    <x v="9"/>
    <s v="D3"/>
    <s v="Q-RIN"/>
    <n v="2.78"/>
  </r>
  <r>
    <d v="2022-10-24T00:00:00"/>
    <x v="3"/>
    <n v="2022"/>
    <x v="7"/>
    <s v="D3"/>
    <s v="Q-RIN"/>
    <n v="3.37"/>
  </r>
  <r>
    <d v="2022-10-24T00:00:00"/>
    <x v="3"/>
    <n v="2022"/>
    <x v="7"/>
    <s v="D3"/>
    <s v="Unverified"/>
    <n v="2.98"/>
  </r>
  <r>
    <d v="2022-10-24T00:00:00"/>
    <x v="3"/>
    <n v="2022"/>
    <x v="8"/>
    <s v="D3"/>
    <s v="Q-RIN"/>
    <n v="2.96"/>
  </r>
  <r>
    <d v="2022-10-24T00:00:00"/>
    <x v="3"/>
    <n v="2022"/>
    <x v="9"/>
    <s v="D3"/>
    <s v="Q-RIN"/>
    <n v="3.16"/>
  </r>
  <r>
    <d v="2022-10-31T00:00:00"/>
    <x v="3"/>
    <n v="2022"/>
    <x v="7"/>
    <s v="D3"/>
    <s v="Q-RIN"/>
    <n v="2.44"/>
  </r>
  <r>
    <d v="2022-10-31T00:00:00"/>
    <x v="3"/>
    <n v="2022"/>
    <x v="8"/>
    <s v="D3"/>
    <s v="Q-RIN"/>
    <n v="3"/>
  </r>
  <r>
    <d v="2022-10-31T00:00:00"/>
    <x v="3"/>
    <n v="2022"/>
    <x v="9"/>
    <s v="D3"/>
    <s v="Q-RIN"/>
    <n v="2.96"/>
  </r>
  <r>
    <d v="2022-11-07T00:00:00"/>
    <x v="4"/>
    <n v="2022"/>
    <x v="7"/>
    <s v="D3"/>
    <s v="Q-RIN"/>
    <n v="2.9"/>
  </r>
  <r>
    <d v="2022-11-07T00:00:00"/>
    <x v="4"/>
    <n v="2022"/>
    <x v="8"/>
    <s v="D3"/>
    <s v="Unverified"/>
    <n v="2.25"/>
  </r>
  <r>
    <d v="2022-11-07T00:00:00"/>
    <x v="4"/>
    <n v="2022"/>
    <x v="9"/>
    <s v="D3"/>
    <s v="Q-RIN"/>
    <n v="2.8"/>
  </r>
  <r>
    <d v="2022-11-07T00:00:00"/>
    <x v="4"/>
    <n v="2022"/>
    <x v="9"/>
    <s v="D3"/>
    <s v="Unverified"/>
    <n v="2.25"/>
  </r>
  <r>
    <d v="2022-11-14T00:00:00"/>
    <x v="4"/>
    <n v="2022"/>
    <x v="7"/>
    <s v="D3"/>
    <s v="Q-RIN"/>
    <n v="2.65"/>
  </r>
  <r>
    <d v="2022-11-14T00:00:00"/>
    <x v="4"/>
    <n v="2022"/>
    <x v="8"/>
    <s v="D3"/>
    <s v="Q-RIN"/>
    <n v="2.89"/>
  </r>
  <r>
    <d v="2022-11-14T00:00:00"/>
    <x v="4"/>
    <n v="2022"/>
    <x v="8"/>
    <s v="D3"/>
    <s v="Unverified"/>
    <n v="2.35"/>
  </r>
  <r>
    <d v="2022-11-14T00:00:00"/>
    <x v="4"/>
    <n v="2022"/>
    <x v="9"/>
    <s v="D3"/>
    <s v="Q-RIN"/>
    <n v="2.66"/>
  </r>
  <r>
    <d v="2022-11-14T00:00:00"/>
    <x v="4"/>
    <n v="2022"/>
    <x v="9"/>
    <s v="D3"/>
    <s v="Unverified"/>
    <n v="2.35"/>
  </r>
  <r>
    <d v="2022-11-21T00:00:00"/>
    <x v="4"/>
    <n v="2022"/>
    <x v="7"/>
    <s v="D3"/>
    <s v="Q-RIN"/>
    <n v="2.98"/>
  </r>
  <r>
    <d v="2022-11-21T00:00:00"/>
    <x v="4"/>
    <n v="2022"/>
    <x v="8"/>
    <s v="D3"/>
    <s v="Q-RIN"/>
    <n v="2.97"/>
  </r>
  <r>
    <d v="2022-11-21T00:00:00"/>
    <x v="4"/>
    <n v="2022"/>
    <x v="9"/>
    <s v="D3"/>
    <s v="Q-RIN"/>
    <n v="2.66"/>
  </r>
  <r>
    <d v="2022-11-28T00:00:00"/>
    <x v="4"/>
    <n v="2022"/>
    <x v="7"/>
    <s v="D3"/>
    <s v="Q-RIN"/>
    <n v="2.91"/>
  </r>
  <r>
    <d v="2022-11-28T00:00:00"/>
    <x v="4"/>
    <n v="2022"/>
    <x v="8"/>
    <s v="D3"/>
    <s v="Q-RIN"/>
    <n v="2.87"/>
  </r>
  <r>
    <d v="2022-11-28T00:00:00"/>
    <x v="4"/>
    <n v="2022"/>
    <x v="9"/>
    <s v="D3"/>
    <s v="Q-RIN"/>
    <n v="2.79"/>
  </r>
  <r>
    <d v="2022-12-05T00:00:00"/>
    <x v="5"/>
    <n v="2022"/>
    <x v="8"/>
    <s v="D3"/>
    <s v="Q-RIN"/>
    <n v="2.96"/>
  </r>
  <r>
    <d v="2022-12-05T00:00:00"/>
    <x v="5"/>
    <n v="2022"/>
    <x v="9"/>
    <s v="D3"/>
    <s v="Q-RIN"/>
    <n v="2.94"/>
  </r>
  <r>
    <d v="2022-12-05T00:00:00"/>
    <x v="5"/>
    <n v="2022"/>
    <x v="9"/>
    <s v="D3"/>
    <s v="Unverified"/>
    <n v="2.37"/>
  </r>
  <r>
    <d v="2022-12-12T00:00:00"/>
    <x v="5"/>
    <n v="2022"/>
    <x v="8"/>
    <s v="D3"/>
    <s v="Q-RIN"/>
    <n v="3.04"/>
  </r>
  <r>
    <d v="2022-12-12T00:00:00"/>
    <x v="5"/>
    <n v="2022"/>
    <x v="8"/>
    <s v="D3"/>
    <s v="Unverified"/>
    <n v="2.64"/>
  </r>
  <r>
    <d v="2022-12-12T00:00:00"/>
    <x v="5"/>
    <n v="2022"/>
    <x v="9"/>
    <s v="D3"/>
    <s v="Q-RIN"/>
    <n v="2.79"/>
  </r>
  <r>
    <d v="2022-12-19T00:00:00"/>
    <x v="5"/>
    <n v="2022"/>
    <x v="8"/>
    <s v="D3"/>
    <s v="Q-RIN"/>
    <n v="2.99"/>
  </r>
  <r>
    <d v="2022-12-19T00:00:00"/>
    <x v="5"/>
    <n v="2022"/>
    <x v="9"/>
    <s v="D3"/>
    <s v="Q-RIN"/>
    <n v="2.71"/>
  </r>
  <r>
    <d v="2022-12-19T00:00:00"/>
    <x v="5"/>
    <n v="2022"/>
    <x v="9"/>
    <s v="D3"/>
    <s v="Unverified"/>
    <n v="2.58"/>
  </r>
  <r>
    <d v="2022-12-26T00:00:00"/>
    <x v="5"/>
    <n v="2022"/>
    <x v="8"/>
    <s v="D3"/>
    <s v="Q-RIN"/>
    <n v="3"/>
  </r>
  <r>
    <d v="2022-12-26T00:00:00"/>
    <x v="5"/>
    <n v="2022"/>
    <x v="9"/>
    <s v="D3"/>
    <s v="Q-RIN"/>
    <n v="2.84"/>
  </r>
  <r>
    <d v="2022-12-26T00:00:00"/>
    <x v="5"/>
    <n v="2022"/>
    <x v="9"/>
    <s v="D3"/>
    <s v="Unverified"/>
    <n v="2.4700000000000002"/>
  </r>
  <r>
    <d v="2023-01-02T00:00:00"/>
    <x v="6"/>
    <n v="2023"/>
    <x v="8"/>
    <s v="D3"/>
    <s v="Q-RIN"/>
    <n v="2.93"/>
  </r>
  <r>
    <d v="2023-01-02T00:00:00"/>
    <x v="6"/>
    <n v="2023"/>
    <x v="9"/>
    <s v="D3"/>
    <s v="Q-RIN"/>
    <n v="2.89"/>
  </r>
  <r>
    <d v="2023-01-09T00:00:00"/>
    <x v="6"/>
    <n v="2023"/>
    <x v="8"/>
    <s v="D3"/>
    <s v="Q-RIN"/>
    <n v="2.72"/>
  </r>
  <r>
    <d v="2023-01-09T00:00:00"/>
    <x v="6"/>
    <n v="2023"/>
    <x v="9"/>
    <s v="D3"/>
    <s v="Q-RIN"/>
    <n v="2.74"/>
  </r>
  <r>
    <d v="2023-01-09T00:00:00"/>
    <x v="6"/>
    <n v="2023"/>
    <x v="9"/>
    <s v="D3"/>
    <s v="Unverified"/>
    <n v="2.5499999999999998"/>
  </r>
  <r>
    <d v="2023-01-16T00:00:00"/>
    <x v="6"/>
    <n v="2023"/>
    <x v="8"/>
    <s v="D3"/>
    <s v="Q-RIN"/>
    <n v="2.86"/>
  </r>
  <r>
    <d v="2023-01-16T00:00:00"/>
    <x v="6"/>
    <n v="2023"/>
    <x v="9"/>
    <s v="D3"/>
    <s v="Q-RIN"/>
    <n v="2.64"/>
  </r>
  <r>
    <d v="2023-01-16T00:00:00"/>
    <x v="6"/>
    <n v="2023"/>
    <x v="10"/>
    <s v="D3"/>
    <s v="Q-RIN"/>
    <n v="2.73"/>
  </r>
  <r>
    <d v="2023-01-23T00:00:00"/>
    <x v="6"/>
    <n v="2023"/>
    <x v="8"/>
    <s v="D3"/>
    <s v="Q-RIN"/>
    <n v="2.65"/>
  </r>
  <r>
    <d v="2023-01-23T00:00:00"/>
    <x v="6"/>
    <n v="2023"/>
    <x v="9"/>
    <s v="D3"/>
    <s v="Q-RIN"/>
    <n v="2.63"/>
  </r>
  <r>
    <d v="2023-01-23T00:00:00"/>
    <x v="6"/>
    <n v="2023"/>
    <x v="9"/>
    <s v="D3"/>
    <s v="Unverified"/>
    <n v="2.38"/>
  </r>
  <r>
    <d v="2023-01-30T00:00:00"/>
    <x v="6"/>
    <n v="2023"/>
    <x v="8"/>
    <s v="D3"/>
    <s v="Q-RIN"/>
    <n v="2.59"/>
  </r>
  <r>
    <d v="2023-01-30T00:00:00"/>
    <x v="6"/>
    <n v="2023"/>
    <x v="9"/>
    <s v="D3"/>
    <s v="Q-RIN"/>
    <n v="2.62"/>
  </r>
  <r>
    <d v="2023-01-30T00:00:00"/>
    <x v="6"/>
    <n v="2023"/>
    <x v="10"/>
    <s v="D3"/>
    <s v="Q-RIN"/>
    <n v="1.6"/>
  </r>
  <r>
    <d v="2023-02-06T00:00:00"/>
    <x v="7"/>
    <n v="2023"/>
    <x v="8"/>
    <s v="D3"/>
    <s v="Q-RIN"/>
    <n v="2.25"/>
  </r>
  <r>
    <d v="2023-02-06T00:00:00"/>
    <x v="7"/>
    <n v="2023"/>
    <x v="9"/>
    <s v="D3"/>
    <s v="Q-RIN"/>
    <n v="2.56"/>
  </r>
  <r>
    <d v="2023-02-06T00:00:00"/>
    <x v="7"/>
    <n v="2023"/>
    <x v="9"/>
    <s v="D3"/>
    <s v="Unverified"/>
    <n v="2.5499999999999998"/>
  </r>
  <r>
    <d v="2023-02-13T00:00:00"/>
    <x v="7"/>
    <n v="2023"/>
    <x v="8"/>
    <s v="D3"/>
    <s v="Q-RIN"/>
    <n v="2.48"/>
  </r>
  <r>
    <d v="2023-02-13T00:00:00"/>
    <x v="7"/>
    <n v="2023"/>
    <x v="9"/>
    <s v="D3"/>
    <s v="Q-RIN"/>
    <n v="2.2999999999999998"/>
  </r>
  <r>
    <d v="2023-02-13T00:00:00"/>
    <x v="7"/>
    <n v="2023"/>
    <x v="9"/>
    <s v="D3"/>
    <s v="Unverified"/>
    <n v="2.63"/>
  </r>
  <r>
    <d v="2023-02-20T00:00:00"/>
    <x v="7"/>
    <n v="2023"/>
    <x v="9"/>
    <s v="D3"/>
    <s v="Q-RIN"/>
    <n v="2.14"/>
  </r>
  <r>
    <d v="2023-02-20T00:00:00"/>
    <x v="7"/>
    <n v="2023"/>
    <x v="10"/>
    <s v="D3"/>
    <s v="Q-RIN"/>
    <n v="1.95"/>
  </r>
  <r>
    <d v="2023-02-27T00:00:00"/>
    <x v="7"/>
    <n v="2023"/>
    <x v="8"/>
    <s v="D3"/>
    <s v="Q-RIN"/>
    <n v="2.1"/>
  </r>
  <r>
    <d v="2023-02-27T00:00:00"/>
    <x v="7"/>
    <n v="2023"/>
    <x v="9"/>
    <s v="D3"/>
    <s v="Q-RIN"/>
    <n v="2.34"/>
  </r>
  <r>
    <d v="2023-02-27T00:00:00"/>
    <x v="7"/>
    <n v="2023"/>
    <x v="10"/>
    <s v="D3"/>
    <s v="Q-RIN"/>
    <n v="2.17"/>
  </r>
  <r>
    <d v="2023-03-06T00:00:00"/>
    <x v="8"/>
    <n v="2023"/>
    <x v="7"/>
    <s v="D3"/>
    <s v="Q-RIN"/>
    <n v="2.25"/>
  </r>
  <r>
    <d v="2023-03-06T00:00:00"/>
    <x v="8"/>
    <n v="2023"/>
    <x v="8"/>
    <s v="D3"/>
    <s v="Q-RIN"/>
    <n v="2.2000000000000002"/>
  </r>
  <r>
    <d v="2023-03-06T00:00:00"/>
    <x v="8"/>
    <n v="2023"/>
    <x v="9"/>
    <s v="D3"/>
    <s v="Q-RIN"/>
    <n v="2.2999999999999998"/>
  </r>
  <r>
    <d v="2023-03-06T00:00:00"/>
    <x v="8"/>
    <n v="2023"/>
    <x v="9"/>
    <s v="D3"/>
    <s v="Unverified"/>
    <n v="2.0099999999999998"/>
  </r>
  <r>
    <d v="2023-03-06T00:00:00"/>
    <x v="8"/>
    <n v="2023"/>
    <x v="10"/>
    <s v="D3"/>
    <s v="Q-RIN"/>
    <n v="2.23"/>
  </r>
  <r>
    <d v="2023-03-13T00:00:00"/>
    <x v="8"/>
    <n v="2023"/>
    <x v="8"/>
    <s v="D3"/>
    <s v="Q-RIN"/>
    <n v="2.17"/>
  </r>
  <r>
    <d v="2023-03-13T00:00:00"/>
    <x v="8"/>
    <n v="2023"/>
    <x v="9"/>
    <s v="D3"/>
    <s v="Q-RIN"/>
    <n v="2.25"/>
  </r>
  <r>
    <d v="2023-03-13T00:00:00"/>
    <x v="8"/>
    <n v="2023"/>
    <x v="9"/>
    <s v="D3"/>
    <s v="Unverified"/>
    <n v="1.93"/>
  </r>
  <r>
    <d v="2023-03-13T00:00:00"/>
    <x v="8"/>
    <n v="2023"/>
    <x v="10"/>
    <s v="D3"/>
    <s v="Q-RIN"/>
    <n v="2.2000000000000002"/>
  </r>
  <r>
    <d v="2023-03-20T00:00:00"/>
    <x v="8"/>
    <n v="2023"/>
    <x v="8"/>
    <s v="D3"/>
    <s v="Q-RIN"/>
    <n v="1.87"/>
  </r>
  <r>
    <d v="2023-03-20T00:00:00"/>
    <x v="8"/>
    <n v="2023"/>
    <x v="9"/>
    <s v="D3"/>
    <s v="Q-RIN"/>
    <n v="2.39"/>
  </r>
  <r>
    <d v="2023-03-20T00:00:00"/>
    <x v="8"/>
    <n v="2023"/>
    <x v="10"/>
    <s v="D3"/>
    <s v="Q-RIN"/>
    <n v="2.04"/>
  </r>
  <r>
    <d v="2023-03-27T00:00:00"/>
    <x v="8"/>
    <n v="2023"/>
    <x v="8"/>
    <s v="D3"/>
    <s v="Q-RIN"/>
    <n v="2.0299999999999998"/>
  </r>
  <r>
    <d v="2023-03-27T00:00:00"/>
    <x v="8"/>
    <n v="2023"/>
    <x v="8"/>
    <s v="D3"/>
    <s v="Unverified"/>
    <n v="1.89"/>
  </r>
  <r>
    <d v="2023-03-27T00:00:00"/>
    <x v="8"/>
    <n v="2023"/>
    <x v="9"/>
    <s v="D3"/>
    <s v="Q-RIN"/>
    <n v="1.99"/>
  </r>
  <r>
    <d v="2023-03-27T00:00:00"/>
    <x v="8"/>
    <n v="2023"/>
    <x v="9"/>
    <s v="D3"/>
    <s v="Unverified"/>
    <n v="2.2599999999999998"/>
  </r>
  <r>
    <d v="2023-03-27T00:00:00"/>
    <x v="8"/>
    <n v="2023"/>
    <x v="10"/>
    <s v="D3"/>
    <s v="Q-RIN"/>
    <n v="2.06"/>
  </r>
  <r>
    <d v="2023-04-03T00:00:00"/>
    <x v="1"/>
    <n v="2023"/>
    <x v="9"/>
    <s v="D3"/>
    <s v="Q-RIN"/>
    <n v="2.16"/>
  </r>
  <r>
    <d v="2023-04-03T00:00:00"/>
    <x v="1"/>
    <n v="2023"/>
    <x v="9"/>
    <s v="D3"/>
    <s v="Unverified"/>
    <n v="2.1"/>
  </r>
  <r>
    <d v="2023-04-03T00:00:00"/>
    <x v="1"/>
    <n v="2023"/>
    <x v="10"/>
    <s v="D3"/>
    <s v="Q-RIN"/>
    <n v="2.11"/>
  </r>
  <r>
    <d v="2023-04-10T00:00:00"/>
    <x v="1"/>
    <n v="2023"/>
    <x v="9"/>
    <s v="D3"/>
    <s v="Q-RIN"/>
    <n v="1.95"/>
  </r>
  <r>
    <d v="2023-04-10T00:00:00"/>
    <x v="1"/>
    <n v="2023"/>
    <x v="9"/>
    <s v="D3"/>
    <s v="Unverified"/>
    <n v="1.9"/>
  </r>
  <r>
    <d v="2023-04-10T00:00:00"/>
    <x v="1"/>
    <n v="2023"/>
    <x v="10"/>
    <s v="D3"/>
    <s v="Q-RIN"/>
    <n v="2.0699999999999998"/>
  </r>
  <r>
    <d v="2023-04-17T00:00:00"/>
    <x v="1"/>
    <n v="2023"/>
    <x v="8"/>
    <s v="D3"/>
    <s v="Q-RIN"/>
    <n v="2.1"/>
  </r>
  <r>
    <d v="2023-04-17T00:00:00"/>
    <x v="1"/>
    <n v="2023"/>
    <x v="9"/>
    <s v="D3"/>
    <s v="Q-RIN"/>
    <n v="1.95"/>
  </r>
  <r>
    <d v="2023-04-17T00:00:00"/>
    <x v="1"/>
    <n v="2023"/>
    <x v="10"/>
    <s v="D3"/>
    <s v="Q-RIN"/>
    <n v="2.1"/>
  </r>
  <r>
    <d v="2023-04-24T00:00:00"/>
    <x v="1"/>
    <n v="2023"/>
    <x v="9"/>
    <s v="D3"/>
    <s v="Q-RIN"/>
    <n v="2.3199999999999998"/>
  </r>
  <r>
    <d v="2023-04-24T00:00:00"/>
    <x v="1"/>
    <n v="2023"/>
    <x v="9"/>
    <s v="D3"/>
    <s v="Unverified"/>
    <n v="1.91"/>
  </r>
  <r>
    <d v="2023-04-24T00:00:00"/>
    <x v="1"/>
    <n v="2023"/>
    <x v="10"/>
    <s v="D3"/>
    <s v="Q-RIN"/>
    <n v="2.0299999999999998"/>
  </r>
  <r>
    <d v="2023-05-01T00:00:00"/>
    <x v="9"/>
    <n v="2023"/>
    <x v="8"/>
    <s v="D3"/>
    <s v="Q-RIN"/>
    <n v="1.9"/>
  </r>
  <r>
    <d v="2023-05-01T00:00:00"/>
    <x v="9"/>
    <n v="2023"/>
    <x v="9"/>
    <s v="D3"/>
    <s v="Q-RIN"/>
    <n v="2.2999999999999998"/>
  </r>
  <r>
    <d v="2023-05-01T00:00:00"/>
    <x v="9"/>
    <n v="2023"/>
    <x v="10"/>
    <s v="D3"/>
    <s v="Q-RIN"/>
    <n v="1.99"/>
  </r>
  <r>
    <d v="2023-05-08T00:00:00"/>
    <x v="9"/>
    <n v="2023"/>
    <x v="9"/>
    <s v="D3"/>
    <s v="Q-RIN"/>
    <n v="2.09"/>
  </r>
  <r>
    <d v="2023-05-08T00:00:00"/>
    <x v="9"/>
    <n v="2023"/>
    <x v="10"/>
    <s v="D3"/>
    <s v="Q-RIN"/>
    <n v="2.14"/>
  </r>
  <r>
    <d v="2023-05-08T00:00:00"/>
    <x v="9"/>
    <n v="2023"/>
    <x v="10"/>
    <s v="D3"/>
    <s v="Unverified"/>
    <n v="2.15"/>
  </r>
  <r>
    <d v="2023-05-15T00:00:00"/>
    <x v="9"/>
    <n v="2023"/>
    <x v="9"/>
    <s v="D3"/>
    <s v="Q-RIN"/>
    <n v="1.97"/>
  </r>
  <r>
    <d v="2023-05-15T00:00:00"/>
    <x v="9"/>
    <n v="2023"/>
    <x v="10"/>
    <s v="D3"/>
    <s v="Q-RIN"/>
    <n v="2.02"/>
  </r>
  <r>
    <d v="2023-05-22T00:00:00"/>
    <x v="9"/>
    <n v="2023"/>
    <x v="9"/>
    <s v="D3"/>
    <s v="Q-RIN"/>
    <n v="2.09"/>
  </r>
  <r>
    <d v="2023-05-22T00:00:00"/>
    <x v="9"/>
    <n v="2023"/>
    <x v="9"/>
    <s v="D3"/>
    <s v="Unverified"/>
    <n v="1.77"/>
  </r>
  <r>
    <d v="2023-05-22T00:00:00"/>
    <x v="9"/>
    <n v="2023"/>
    <x v="10"/>
    <s v="D3"/>
    <s v="Q-RIN"/>
    <n v="2.0099999999999998"/>
  </r>
  <r>
    <d v="2023-05-22T00:00:00"/>
    <x v="9"/>
    <n v="2023"/>
    <x v="10"/>
    <s v="D3"/>
    <s v="Unverified"/>
    <n v="2.0299999999999998"/>
  </r>
  <r>
    <d v="2023-05-29T00:00:00"/>
    <x v="9"/>
    <n v="2023"/>
    <x v="9"/>
    <s v="D3"/>
    <s v="Q-RIN"/>
    <n v="2.11"/>
  </r>
  <r>
    <d v="2023-05-29T00:00:00"/>
    <x v="9"/>
    <n v="2023"/>
    <x v="10"/>
    <s v="D3"/>
    <s v="Q-RIN"/>
    <n v="2.0499999999999998"/>
  </r>
  <r>
    <d v="2023-06-05T00:00:00"/>
    <x v="10"/>
    <n v="2023"/>
    <x v="9"/>
    <s v="D3"/>
    <s v="Q-RIN"/>
    <n v="1.95"/>
  </r>
  <r>
    <d v="2023-06-05T00:00:00"/>
    <x v="10"/>
    <n v="2023"/>
    <x v="10"/>
    <s v="D3"/>
    <s v="Q-RIN"/>
    <n v="2.19"/>
  </r>
  <r>
    <d v="2023-06-12T00:00:00"/>
    <x v="10"/>
    <n v="2023"/>
    <x v="9"/>
    <s v="D3"/>
    <s v="Q-RIN"/>
    <n v="2.09"/>
  </r>
  <r>
    <d v="2023-06-12T00:00:00"/>
    <x v="10"/>
    <n v="2023"/>
    <x v="10"/>
    <s v="D3"/>
    <s v="Q-RIN"/>
    <n v="2.06"/>
  </r>
  <r>
    <d v="2023-06-19T00:00:00"/>
    <x v="10"/>
    <n v="2023"/>
    <x v="9"/>
    <s v="D3"/>
    <s v="Q-RIN"/>
    <n v="2.27"/>
  </r>
  <r>
    <d v="2023-06-19T00:00:00"/>
    <x v="10"/>
    <n v="2023"/>
    <x v="10"/>
    <s v="D3"/>
    <s v="Q-RIN"/>
    <n v="2.3199999999999998"/>
  </r>
  <r>
    <d v="2023-06-19T00:00:00"/>
    <x v="10"/>
    <n v="2023"/>
    <x v="10"/>
    <s v="D3"/>
    <s v="Unverified"/>
    <n v="2.21"/>
  </r>
  <r>
    <d v="2023-06-26T00:00:00"/>
    <x v="10"/>
    <n v="2023"/>
    <x v="9"/>
    <s v="D3"/>
    <s v="Q-RIN"/>
    <n v="2.99"/>
  </r>
  <r>
    <d v="2023-06-26T00:00:00"/>
    <x v="10"/>
    <n v="2023"/>
    <x v="10"/>
    <s v="D3"/>
    <s v="Q-RIN"/>
    <n v="2.4300000000000002"/>
  </r>
  <r>
    <d v="2023-07-03T00:00:00"/>
    <x v="11"/>
    <n v="2023"/>
    <x v="9"/>
    <s v="D3"/>
    <s v="Q-RIN"/>
    <n v="2.2799999999999998"/>
  </r>
  <r>
    <d v="2023-07-03T00:00:00"/>
    <x v="11"/>
    <n v="2023"/>
    <x v="10"/>
    <s v="D3"/>
    <s v="Q-RIN"/>
    <n v="2.4500000000000002"/>
  </r>
  <r>
    <d v="2023-07-03T00:00:00"/>
    <x v="11"/>
    <n v="2023"/>
    <x v="10"/>
    <s v="D3"/>
    <s v="Unverified"/>
    <n v="2.95"/>
  </r>
  <r>
    <d v="2023-07-10T00:00:00"/>
    <x v="11"/>
    <n v="2023"/>
    <x v="9"/>
    <s v="D3"/>
    <s v="Q-RIN"/>
    <n v="2.42"/>
  </r>
  <r>
    <d v="2023-07-10T00:00:00"/>
    <x v="11"/>
    <n v="2023"/>
    <x v="10"/>
    <s v="D3"/>
    <s v="Q-RIN"/>
    <n v="2.59"/>
  </r>
  <r>
    <d v="2023-07-17T00:00:00"/>
    <x v="11"/>
    <n v="2023"/>
    <x v="9"/>
    <s v="D3"/>
    <s v="Q-RIN"/>
    <n v="2.97"/>
  </r>
  <r>
    <d v="2023-07-17T00:00:00"/>
    <x v="11"/>
    <n v="2023"/>
    <x v="10"/>
    <s v="D3"/>
    <s v="Q-RIN"/>
    <n v="2.5099999999999998"/>
  </r>
  <r>
    <d v="2023-07-24T00:00:00"/>
    <x v="11"/>
    <n v="2023"/>
    <x v="9"/>
    <s v="D3"/>
    <s v="Q-RIN"/>
    <n v="3.1"/>
  </r>
  <r>
    <d v="2023-07-24T00:00:00"/>
    <x v="11"/>
    <n v="2023"/>
    <x v="10"/>
    <s v="D3"/>
    <s v="Q-RIN"/>
    <n v="2.33"/>
  </r>
  <r>
    <d v="2023-07-31T00:00:00"/>
    <x v="11"/>
    <n v="2023"/>
    <x v="9"/>
    <s v="D3"/>
    <s v="Q-RIN"/>
    <n v="2.2200000000000002"/>
  </r>
  <r>
    <d v="2023-07-31T00:00:00"/>
    <x v="11"/>
    <n v="2023"/>
    <x v="10"/>
    <s v="D3"/>
    <s v="Q-RIN"/>
    <n v="2.67"/>
  </r>
  <r>
    <d v="2023-07-31T00:00:00"/>
    <x v="11"/>
    <n v="2023"/>
    <x v="10"/>
    <s v="D3"/>
    <s v="Unverified"/>
    <n v="2.99"/>
  </r>
  <r>
    <d v="2023-08-07T00:00:00"/>
    <x v="0"/>
    <n v="2023"/>
    <x v="9"/>
    <s v="D3"/>
    <s v="Q-RIN"/>
    <n v="2.64"/>
  </r>
  <r>
    <d v="2023-08-07T00:00:00"/>
    <x v="0"/>
    <n v="2023"/>
    <x v="9"/>
    <s v="D3"/>
    <s v="Unverified"/>
    <n v="2.82"/>
  </r>
  <r>
    <d v="2023-08-07T00:00:00"/>
    <x v="0"/>
    <n v="2023"/>
    <x v="10"/>
    <s v="D3"/>
    <s v="Q-RIN"/>
    <n v="2.74"/>
  </r>
  <r>
    <d v="2023-08-07T00:00:00"/>
    <x v="0"/>
    <n v="2023"/>
    <x v="10"/>
    <s v="D3"/>
    <s v="Unverified"/>
    <n v="2.72"/>
  </r>
  <r>
    <d v="2023-08-14T00:00:00"/>
    <x v="0"/>
    <n v="2023"/>
    <x v="10"/>
    <s v="D3"/>
    <s v="Q-RIN"/>
    <n v="2.69"/>
  </r>
  <r>
    <d v="2023-08-21T00:00:00"/>
    <x v="0"/>
    <n v="2023"/>
    <x v="9"/>
    <s v="D3"/>
    <s v="Q-RIN"/>
    <n v="2.99"/>
  </r>
  <r>
    <d v="2023-08-21T00:00:00"/>
    <x v="0"/>
    <n v="2023"/>
    <x v="10"/>
    <s v="D3"/>
    <s v="Q-RIN"/>
    <n v="2.88"/>
  </r>
  <r>
    <d v="2023-08-28T00:00:00"/>
    <x v="0"/>
    <n v="2023"/>
    <x v="9"/>
    <s v="D3"/>
    <s v="Q-RIN"/>
    <n v="3.1"/>
  </r>
  <r>
    <d v="2023-08-28T00:00:00"/>
    <x v="0"/>
    <n v="2023"/>
    <x v="10"/>
    <s v="D3"/>
    <s v="Q-RIN"/>
    <n v="2.76"/>
  </r>
  <r>
    <d v="2023-09-04T00:00:00"/>
    <x v="2"/>
    <n v="2023"/>
    <x v="9"/>
    <s v="D3"/>
    <s v="Q-RIN"/>
    <n v="3.15"/>
  </r>
  <r>
    <d v="2023-09-04T00:00:00"/>
    <x v="2"/>
    <n v="2023"/>
    <x v="9"/>
    <s v="D3"/>
    <s v="Unverified"/>
    <n v="2.81"/>
  </r>
  <r>
    <d v="2023-09-04T00:00:00"/>
    <x v="2"/>
    <n v="2023"/>
    <x v="10"/>
    <s v="D3"/>
    <s v="Q-RIN"/>
    <n v="3.02"/>
  </r>
  <r>
    <d v="2023-09-04T00:00:00"/>
    <x v="2"/>
    <n v="2023"/>
    <x v="10"/>
    <s v="D3"/>
    <s v="Unverified"/>
    <n v="2.99"/>
  </r>
  <r>
    <d v="2023-09-11T00:00:00"/>
    <x v="2"/>
    <n v="2023"/>
    <x v="9"/>
    <s v="D3"/>
    <s v="Q-RIN"/>
    <n v="2.4500000000000002"/>
  </r>
  <r>
    <d v="2023-09-11T00:00:00"/>
    <x v="2"/>
    <n v="2023"/>
    <x v="10"/>
    <s v="D3"/>
    <s v="Q-RIN"/>
    <n v="2.81"/>
  </r>
  <r>
    <d v="2023-09-11T00:00:00"/>
    <x v="2"/>
    <n v="2023"/>
    <x v="10"/>
    <s v="D3"/>
    <s v="Unverified"/>
    <n v="2.4700000000000002"/>
  </r>
  <r>
    <d v="2023-09-18T00:00:00"/>
    <x v="2"/>
    <n v="2023"/>
    <x v="9"/>
    <s v="D3"/>
    <s v="Q-RIN"/>
    <n v="2.81"/>
  </r>
  <r>
    <d v="2023-09-18T00:00:00"/>
    <x v="2"/>
    <n v="2023"/>
    <x v="10"/>
    <s v="D3"/>
    <s v="Q-RIN"/>
    <n v="2.76"/>
  </r>
  <r>
    <d v="2023-09-25T00:00:00"/>
    <x v="2"/>
    <n v="2023"/>
    <x v="9"/>
    <s v="D3"/>
    <s v="Q-RIN"/>
    <n v="3.08"/>
  </r>
  <r>
    <d v="2023-09-25T00:00:00"/>
    <x v="2"/>
    <n v="2023"/>
    <x v="10"/>
    <s v="D3"/>
    <s v="Q-RIN"/>
    <n v="2.7"/>
  </r>
  <r>
    <d v="2023-10-02T00:00:00"/>
    <x v="3"/>
    <n v="2023"/>
    <x v="9"/>
    <s v="D3"/>
    <s v="Q-RIN"/>
    <n v="3.05"/>
  </r>
  <r>
    <d v="2023-10-02T00:00:00"/>
    <x v="3"/>
    <n v="2023"/>
    <x v="10"/>
    <s v="D3"/>
    <s v="Q-RIN"/>
    <n v="2.91"/>
  </r>
  <r>
    <d v="2023-10-02T00:00:00"/>
    <x v="3"/>
    <n v="2023"/>
    <x v="10"/>
    <s v="D3"/>
    <s v="Unverified"/>
    <n v="3.13"/>
  </r>
  <r>
    <d v="2023-10-09T00:00:00"/>
    <x v="3"/>
    <n v="2023"/>
    <x v="9"/>
    <s v="D3"/>
    <s v="Q-RIN"/>
    <n v="3.13"/>
  </r>
  <r>
    <d v="2023-10-09T00:00:00"/>
    <x v="3"/>
    <n v="2023"/>
    <x v="10"/>
    <s v="D3"/>
    <s v="Q-RIN"/>
    <n v="2.91"/>
  </r>
  <r>
    <d v="2023-10-09T00:00:00"/>
    <x v="3"/>
    <n v="2023"/>
    <x v="10"/>
    <s v="D3"/>
    <s v="Unverified"/>
    <n v="3.16"/>
  </r>
  <r>
    <d v="2023-10-16T00:00:00"/>
    <x v="3"/>
    <n v="2023"/>
    <x v="9"/>
    <s v="D3"/>
    <s v="Q-RIN"/>
    <n v="3.26"/>
  </r>
  <r>
    <d v="2023-10-16T00:00:00"/>
    <x v="3"/>
    <n v="2023"/>
    <x v="10"/>
    <s v="D3"/>
    <s v="Q-RIN"/>
    <n v="2.93"/>
  </r>
  <r>
    <d v="2023-10-23T00:00:00"/>
    <x v="3"/>
    <n v="2023"/>
    <x v="8"/>
    <s v="D3"/>
    <s v="Q-RIN"/>
    <n v="2.35"/>
  </r>
  <r>
    <d v="2023-10-23T00:00:00"/>
    <x v="3"/>
    <n v="2023"/>
    <x v="9"/>
    <s v="D3"/>
    <s v="Q-RIN"/>
    <n v="3.29"/>
  </r>
  <r>
    <d v="2023-10-23T00:00:00"/>
    <x v="3"/>
    <n v="2023"/>
    <x v="10"/>
    <s v="D3"/>
    <s v="Q-RIN"/>
    <n v="2.86"/>
  </r>
  <r>
    <d v="2023-10-30T00:00:00"/>
    <x v="3"/>
    <n v="2023"/>
    <x v="8"/>
    <s v="D3"/>
    <s v="Q-RIN"/>
    <n v="3.4"/>
  </r>
  <r>
    <d v="2023-10-30T00:00:00"/>
    <x v="3"/>
    <n v="2023"/>
    <x v="9"/>
    <s v="D3"/>
    <s v="Q-RIN"/>
    <n v="3.27"/>
  </r>
  <r>
    <d v="2023-10-30T00:00:00"/>
    <x v="3"/>
    <n v="2023"/>
    <x v="10"/>
    <s v="D3"/>
    <s v="Q-RIN"/>
    <n v="3"/>
  </r>
  <r>
    <d v="2023-10-30T00:00:00"/>
    <x v="3"/>
    <n v="2023"/>
    <x v="10"/>
    <s v="D3"/>
    <s v="Unverified"/>
    <n v="3.43"/>
  </r>
  <r>
    <d v="2023-11-06T00:00:00"/>
    <x v="4"/>
    <n v="2023"/>
    <x v="9"/>
    <s v="D3"/>
    <s v="Q-RIN"/>
    <n v="3.28"/>
  </r>
  <r>
    <d v="2023-11-06T00:00:00"/>
    <x v="4"/>
    <n v="2023"/>
    <x v="10"/>
    <s v="D3"/>
    <s v="Q-RIN"/>
    <n v="3.06"/>
  </r>
  <r>
    <d v="2023-11-13T00:00:00"/>
    <x v="4"/>
    <n v="2023"/>
    <x v="9"/>
    <s v="D3"/>
    <s v="Q-RIN"/>
    <n v="3.38"/>
  </r>
  <r>
    <d v="2023-11-13T00:00:00"/>
    <x v="4"/>
    <n v="2023"/>
    <x v="10"/>
    <s v="D3"/>
    <s v="Q-RIN"/>
    <n v="3.16"/>
  </r>
  <r>
    <d v="2023-11-20T00:00:00"/>
    <x v="4"/>
    <n v="2023"/>
    <x v="9"/>
    <s v="D3"/>
    <s v="Q-RIN"/>
    <n v="3.41"/>
  </r>
  <r>
    <d v="2023-11-20T00:00:00"/>
    <x v="4"/>
    <n v="2023"/>
    <x v="10"/>
    <s v="D3"/>
    <s v="Q-RIN"/>
    <n v="3.05"/>
  </r>
  <r>
    <d v="2023-11-20T00:00:00"/>
    <x v="4"/>
    <n v="2023"/>
    <x v="10"/>
    <s v="D3"/>
    <s v="Unverified"/>
    <n v="2.74"/>
  </r>
  <r>
    <d v="2023-11-27T00:00:00"/>
    <x v="4"/>
    <n v="2023"/>
    <x v="9"/>
    <s v="D3"/>
    <s v="Q-RIN"/>
    <n v="3.38"/>
  </r>
  <r>
    <d v="2023-11-27T00:00:00"/>
    <x v="4"/>
    <n v="2023"/>
    <x v="10"/>
    <s v="D3"/>
    <s v="Q-RIN"/>
    <n v="2.9"/>
  </r>
  <r>
    <d v="2023-11-27T00:00:00"/>
    <x v="4"/>
    <n v="2023"/>
    <x v="10"/>
    <s v="D3"/>
    <s v="Unverified"/>
    <n v="3.29"/>
  </r>
  <r>
    <d v="2023-12-04T00:00:00"/>
    <x v="5"/>
    <n v="2023"/>
    <x v="10"/>
    <s v="D3"/>
    <s v="Q-RIN"/>
    <n v="2.95"/>
  </r>
  <r>
    <d v="2023-12-04T00:00:00"/>
    <x v="5"/>
    <n v="2023"/>
    <x v="10"/>
    <s v="D3"/>
    <s v="Unverified"/>
    <n v="3.17"/>
  </r>
  <r>
    <d v="2023-12-11T00:00:00"/>
    <x v="5"/>
    <n v="2023"/>
    <x v="10"/>
    <s v="D3"/>
    <s v="Q-RIN"/>
    <n v="3.09"/>
  </r>
  <r>
    <d v="2023-12-18T00:00:00"/>
    <x v="5"/>
    <n v="2023"/>
    <x v="9"/>
    <s v="D3"/>
    <s v="Q-RIN"/>
    <n v="3.24"/>
  </r>
  <r>
    <d v="2023-12-18T00:00:00"/>
    <x v="5"/>
    <n v="2023"/>
    <x v="10"/>
    <s v="D3"/>
    <s v="Q-RIN"/>
    <n v="3.11"/>
  </r>
  <r>
    <d v="2023-12-18T00:00:00"/>
    <x v="5"/>
    <n v="2023"/>
    <x v="10"/>
    <s v="D3"/>
    <s v="Unverified"/>
    <n v="3.02"/>
  </r>
  <r>
    <d v="2023-12-25T00:00:00"/>
    <x v="5"/>
    <n v="2023"/>
    <x v="10"/>
    <s v="D3"/>
    <s v="Q-RIN"/>
    <n v="2.96"/>
  </r>
  <r>
    <d v="2023-12-25T00:00:00"/>
    <x v="5"/>
    <n v="2023"/>
    <x v="10"/>
    <s v="D3"/>
    <s v="Unverified"/>
    <n v="3.07"/>
  </r>
  <r>
    <d v="2024-01-01T00:00:00"/>
    <x v="6"/>
    <n v="2024"/>
    <x v="9"/>
    <s v="D3"/>
    <s v="Q-RIN"/>
    <n v="2.94"/>
  </r>
  <r>
    <d v="2024-01-01T00:00:00"/>
    <x v="6"/>
    <n v="2024"/>
    <x v="10"/>
    <s v="D3"/>
    <s v="Q-RIN"/>
    <n v="3.08"/>
  </r>
  <r>
    <d v="2024-01-08T00:00:00"/>
    <x v="6"/>
    <n v="2024"/>
    <x v="10"/>
    <s v="D3"/>
    <s v="Q-RIN"/>
    <n v="3.1"/>
  </r>
  <r>
    <d v="2024-01-15T00:00:00"/>
    <x v="6"/>
    <n v="2024"/>
    <x v="9"/>
    <s v="D3"/>
    <s v="Q-RIN"/>
    <n v="2.95"/>
  </r>
  <r>
    <d v="2024-01-15T00:00:00"/>
    <x v="6"/>
    <n v="2024"/>
    <x v="10"/>
    <s v="D3"/>
    <s v="Q-RIN"/>
    <n v="3.08"/>
  </r>
  <r>
    <d v="2024-01-22T00:00:00"/>
    <x v="6"/>
    <n v="2024"/>
    <x v="9"/>
    <s v="D3"/>
    <s v="Q-RIN"/>
    <n v="2.97"/>
  </r>
  <r>
    <d v="2024-01-22T00:00:00"/>
    <x v="6"/>
    <n v="2024"/>
    <x v="10"/>
    <s v="D3"/>
    <s v="Q-RIN"/>
    <n v="3.02"/>
  </r>
  <r>
    <d v="2024-01-29T00:00:00"/>
    <x v="6"/>
    <n v="2024"/>
    <x v="9"/>
    <s v="D3"/>
    <s v="Q-RIN"/>
    <n v="3.45"/>
  </r>
  <r>
    <d v="2024-01-29T00:00:00"/>
    <x v="6"/>
    <n v="2024"/>
    <x v="9"/>
    <s v="D3"/>
    <s v="Unverified"/>
    <n v="2.85"/>
  </r>
  <r>
    <d v="2024-01-29T00:00:00"/>
    <x v="6"/>
    <n v="2024"/>
    <x v="10"/>
    <s v="D3"/>
    <s v="Q-RIN"/>
    <n v="2.92"/>
  </r>
  <r>
    <d v="2024-01-29T00:00:00"/>
    <x v="6"/>
    <n v="2024"/>
    <x v="10"/>
    <s v="D3"/>
    <s v="Unverified"/>
    <n v="2.86"/>
  </r>
  <r>
    <d v="2024-02-05T00:00:00"/>
    <x v="7"/>
    <n v="2024"/>
    <x v="10"/>
    <s v="D3"/>
    <s v="Q-RIN"/>
    <n v="2.85"/>
  </r>
  <r>
    <d v="2024-02-05T00:00:00"/>
    <x v="7"/>
    <n v="2024"/>
    <x v="10"/>
    <s v="D3"/>
    <s v="Unverified"/>
    <n v="3.2"/>
  </r>
  <r>
    <d v="2024-02-12T00:00:00"/>
    <x v="7"/>
    <n v="2024"/>
    <x v="9"/>
    <s v="D3"/>
    <s v="Q-RIN"/>
    <n v="2.95"/>
  </r>
  <r>
    <d v="2024-02-12T00:00:00"/>
    <x v="7"/>
    <n v="2024"/>
    <x v="10"/>
    <s v="D3"/>
    <s v="Q-RIN"/>
    <n v="3.21"/>
  </r>
  <r>
    <d v="2024-02-12T00:00:00"/>
    <x v="7"/>
    <n v="2024"/>
    <x v="10"/>
    <s v="D3"/>
    <s v="Unverified"/>
    <n v="3.01"/>
  </r>
  <r>
    <d v="2024-02-19T00:00:00"/>
    <x v="7"/>
    <n v="2024"/>
    <x v="10"/>
    <s v="D3"/>
    <s v="Q-RIN"/>
    <n v="3.2"/>
  </r>
  <r>
    <d v="2024-02-19T00:00:00"/>
    <x v="7"/>
    <n v="2024"/>
    <x v="10"/>
    <s v="D3"/>
    <s v="Unverified"/>
    <n v="2.94"/>
  </r>
  <r>
    <d v="2024-02-19T00:00:00"/>
    <x v="7"/>
    <n v="2024"/>
    <x v="11"/>
    <s v="D3"/>
    <s v="Q-RIN"/>
    <n v="2.93"/>
  </r>
  <r>
    <d v="2024-02-26T00:00:00"/>
    <x v="7"/>
    <n v="2024"/>
    <x v="9"/>
    <s v="D3"/>
    <s v="Q-RIN"/>
    <n v="2.94"/>
  </r>
  <r>
    <d v="2024-02-26T00:00:00"/>
    <x v="7"/>
    <n v="2024"/>
    <x v="9"/>
    <s v="D3"/>
    <s v="Unverified"/>
    <n v="2.15"/>
  </r>
  <r>
    <d v="2024-02-26T00:00:00"/>
    <x v="7"/>
    <n v="2024"/>
    <x v="10"/>
    <s v="D3"/>
    <s v="Q-RIN"/>
    <n v="3.08"/>
  </r>
  <r>
    <d v="2024-02-26T00:00:00"/>
    <x v="7"/>
    <n v="2024"/>
    <x v="10"/>
    <s v="D3"/>
    <s v="Unverified"/>
    <n v="3.03"/>
  </r>
  <r>
    <d v="2024-02-26T00:00:00"/>
    <x v="7"/>
    <n v="2024"/>
    <x v="11"/>
    <s v="D3"/>
    <s v="Q-RIN"/>
    <n v="2.96"/>
  </r>
  <r>
    <d v="2024-03-04T00:00:00"/>
    <x v="8"/>
    <n v="2024"/>
    <x v="10"/>
    <s v="D3"/>
    <s v="Q-RIN"/>
    <n v="3.03"/>
  </r>
  <r>
    <d v="2024-03-04T00:00:00"/>
    <x v="8"/>
    <n v="2024"/>
    <x v="10"/>
    <s v="D3"/>
    <s v="Unverified"/>
    <n v="3.13"/>
  </r>
  <r>
    <d v="2024-03-04T00:00:00"/>
    <x v="8"/>
    <n v="2024"/>
    <x v="11"/>
    <s v="D3"/>
    <s v="Q-RIN"/>
    <n v="3.07"/>
  </r>
  <r>
    <d v="2024-03-04T00:00:00"/>
    <x v="8"/>
    <n v="2024"/>
    <x v="11"/>
    <s v="D3"/>
    <s v="Unverified"/>
    <n v="3.14"/>
  </r>
  <r>
    <d v="2024-03-11T00:00:00"/>
    <x v="8"/>
    <n v="2024"/>
    <x v="9"/>
    <s v="D3"/>
    <s v="Q-RIN"/>
    <n v="2.99"/>
  </r>
  <r>
    <d v="2024-03-11T00:00:00"/>
    <x v="8"/>
    <n v="2024"/>
    <x v="9"/>
    <s v="D3"/>
    <s v="Unverified"/>
    <n v="3"/>
  </r>
  <r>
    <d v="2024-03-11T00:00:00"/>
    <x v="8"/>
    <n v="2024"/>
    <x v="10"/>
    <s v="D3"/>
    <s v="Q-RIN"/>
    <n v="3.11"/>
  </r>
  <r>
    <d v="2024-03-11T00:00:00"/>
    <x v="8"/>
    <n v="2024"/>
    <x v="10"/>
    <s v="D3"/>
    <s v="Unverified"/>
    <n v="2.97"/>
  </r>
  <r>
    <d v="2024-03-11T00:00:00"/>
    <x v="8"/>
    <n v="2024"/>
    <x v="11"/>
    <s v="D3"/>
    <s v="Q-RIN"/>
    <n v="3.05"/>
  </r>
  <r>
    <d v="2024-03-18T00:00:00"/>
    <x v="8"/>
    <n v="2024"/>
    <x v="9"/>
    <s v="D3"/>
    <s v="Unverified"/>
    <n v="3.13"/>
  </r>
  <r>
    <d v="2024-03-18T00:00:00"/>
    <x v="8"/>
    <n v="2024"/>
    <x v="10"/>
    <s v="D3"/>
    <s v="Q-RIN"/>
    <n v="3.19"/>
  </r>
  <r>
    <d v="2024-03-18T00:00:00"/>
    <x v="8"/>
    <n v="2024"/>
    <x v="11"/>
    <s v="D3"/>
    <s v="Q-RIN"/>
    <n v="3.06"/>
  </r>
  <r>
    <d v="2024-03-25T00:00:00"/>
    <x v="8"/>
    <n v="2024"/>
    <x v="9"/>
    <s v="D3"/>
    <s v="Q-RIN"/>
    <n v="2.76"/>
  </r>
  <r>
    <d v="2024-03-25T00:00:00"/>
    <x v="8"/>
    <n v="2024"/>
    <x v="10"/>
    <s v="D3"/>
    <s v="Q-RIN"/>
    <n v="3.34"/>
  </r>
  <r>
    <d v="2024-03-25T00:00:00"/>
    <x v="8"/>
    <n v="2024"/>
    <x v="11"/>
    <s v="D3"/>
    <s v="Q-RIN"/>
    <n v="3.07"/>
  </r>
  <r>
    <d v="2024-04-01T00:00:00"/>
    <x v="1"/>
    <n v="2024"/>
    <x v="10"/>
    <s v="D3"/>
    <s v="Q-RIN"/>
    <n v="3.28"/>
  </r>
  <r>
    <d v="2024-04-01T00:00:00"/>
    <x v="1"/>
    <n v="2024"/>
    <x v="11"/>
    <s v="D3"/>
    <s v="Q-RIN"/>
    <n v="3.2"/>
  </r>
  <r>
    <d v="2024-04-01T00:00:00"/>
    <x v="1"/>
    <n v="2024"/>
    <x v="11"/>
    <s v="D3"/>
    <s v="Unverified"/>
    <n v="3.24"/>
  </r>
  <r>
    <d v="2024-04-08T00:00:00"/>
    <x v="1"/>
    <n v="2024"/>
    <x v="10"/>
    <s v="D3"/>
    <s v="Q-RIN"/>
    <n v="3.3"/>
  </r>
  <r>
    <d v="2024-04-08T00:00:00"/>
    <x v="1"/>
    <n v="2024"/>
    <x v="11"/>
    <s v="D3"/>
    <s v="Q-RIN"/>
    <n v="3.19"/>
  </r>
  <r>
    <d v="2024-04-08T00:00:00"/>
    <x v="1"/>
    <n v="2024"/>
    <x v="11"/>
    <s v="D3"/>
    <s v="Unverified"/>
    <n v="3.13"/>
  </r>
  <r>
    <d v="2024-04-15T00:00:00"/>
    <x v="1"/>
    <n v="2024"/>
    <x v="10"/>
    <s v="D3"/>
    <s v="Q-RIN"/>
    <n v="3.24"/>
  </r>
  <r>
    <d v="2024-04-15T00:00:00"/>
    <x v="1"/>
    <n v="2024"/>
    <x v="11"/>
    <s v="D3"/>
    <s v="Q-RIN"/>
    <n v="3.12"/>
  </r>
  <r>
    <d v="2024-04-22T00:00:00"/>
    <x v="1"/>
    <n v="2024"/>
    <x v="11"/>
    <s v="D3"/>
    <s v="Q-RIN"/>
    <n v="3"/>
  </r>
  <r>
    <d v="2024-04-22T00:00:00"/>
    <x v="1"/>
    <n v="2024"/>
    <x v="11"/>
    <s v="D3"/>
    <s v="Unverified"/>
    <n v="3.3"/>
  </r>
  <r>
    <d v="2024-04-29T00:00:00"/>
    <x v="1"/>
    <n v="2024"/>
    <x v="10"/>
    <s v="D3"/>
    <s v="Q-RIN"/>
    <n v="3.22"/>
  </r>
  <r>
    <d v="2024-04-29T00:00:00"/>
    <x v="1"/>
    <n v="2024"/>
    <x v="11"/>
    <s v="D3"/>
    <s v="Q-RIN"/>
    <n v="3.12"/>
  </r>
  <r>
    <d v="2024-04-29T00:00:00"/>
    <x v="1"/>
    <n v="2024"/>
    <x v="11"/>
    <s v="D3"/>
    <s v="Unverified"/>
    <n v="3.01"/>
  </r>
  <r>
    <d v="2024-05-06T00:00:00"/>
    <x v="9"/>
    <n v="2024"/>
    <x v="10"/>
    <s v="D3"/>
    <s v="Unverified"/>
    <n v="2.16"/>
  </r>
  <r>
    <d v="2024-05-06T00:00:00"/>
    <x v="9"/>
    <n v="2024"/>
    <x v="11"/>
    <s v="D3"/>
    <s v="Q-RIN"/>
    <n v="3.11"/>
  </r>
  <r>
    <d v="2024-05-06T00:00:00"/>
    <x v="9"/>
    <n v="2024"/>
    <x v="11"/>
    <s v="D3"/>
    <s v="Unverified"/>
    <n v="3.13"/>
  </r>
  <r>
    <d v="2024-05-13T00:00:00"/>
    <x v="9"/>
    <n v="2024"/>
    <x v="10"/>
    <s v="D3"/>
    <s v="Q-RIN"/>
    <n v="3.24"/>
  </r>
  <r>
    <d v="2024-05-13T00:00:00"/>
    <x v="9"/>
    <n v="2024"/>
    <x v="10"/>
    <s v="D3"/>
    <s v="Unverified"/>
    <n v="3.15"/>
  </r>
  <r>
    <d v="2024-05-13T00:00:00"/>
    <x v="9"/>
    <n v="2024"/>
    <x v="11"/>
    <s v="D3"/>
    <s v="Q-RIN"/>
    <n v="3.2"/>
  </r>
  <r>
    <d v="2024-05-13T00:00:00"/>
    <x v="9"/>
    <n v="2024"/>
    <x v="11"/>
    <s v="D3"/>
    <s v="Unverified"/>
    <n v="3.16"/>
  </r>
  <r>
    <d v="2024-05-20T00:00:00"/>
    <x v="9"/>
    <n v="2024"/>
    <x v="10"/>
    <s v="D3"/>
    <s v="Unverified"/>
    <n v="3.07"/>
  </r>
  <r>
    <d v="2024-05-20T00:00:00"/>
    <x v="9"/>
    <n v="2024"/>
    <x v="11"/>
    <s v="D3"/>
    <s v="Q-RIN"/>
    <n v="3.05"/>
  </r>
  <r>
    <d v="2024-05-20T00:00:00"/>
    <x v="9"/>
    <n v="2024"/>
    <x v="11"/>
    <s v="D3"/>
    <s v="Unverified"/>
    <n v="3.2"/>
  </r>
  <r>
    <d v="2024-05-27T00:00:00"/>
    <x v="9"/>
    <n v="2024"/>
    <x v="10"/>
    <s v="D3"/>
    <s v="Q-RIN"/>
    <n v="3.25"/>
  </r>
  <r>
    <d v="2024-05-27T00:00:00"/>
    <x v="9"/>
    <n v="2024"/>
    <x v="11"/>
    <s v="D3"/>
    <s v="Q-RIN"/>
    <n v="3.12"/>
  </r>
  <r>
    <d v="2024-05-27T00:00:00"/>
    <x v="9"/>
    <n v="2024"/>
    <x v="11"/>
    <s v="D3"/>
    <s v="Unverified"/>
    <n v="3.3"/>
  </r>
  <r>
    <d v="2024-06-03T00:00:00"/>
    <x v="10"/>
    <n v="2024"/>
    <x v="10"/>
    <s v="D3"/>
    <s v="Q-RIN"/>
    <n v="3.3"/>
  </r>
  <r>
    <d v="2024-06-03T00:00:00"/>
    <x v="10"/>
    <n v="2024"/>
    <x v="10"/>
    <s v="D3"/>
    <s v="Unverified"/>
    <n v="2.4"/>
  </r>
  <r>
    <d v="2024-06-03T00:00:00"/>
    <x v="10"/>
    <n v="2024"/>
    <x v="11"/>
    <s v="D3"/>
    <s v="Q-RIN"/>
    <n v="3.1"/>
  </r>
  <r>
    <d v="2024-06-03T00:00:00"/>
    <x v="10"/>
    <n v="2024"/>
    <x v="11"/>
    <s v="D3"/>
    <s v="Unverified"/>
    <n v="3.21"/>
  </r>
  <r>
    <d v="2024-06-10T00:00:00"/>
    <x v="10"/>
    <n v="2024"/>
    <x v="10"/>
    <s v="D3"/>
    <s v="Unverified"/>
    <n v="3.01"/>
  </r>
  <r>
    <d v="2024-06-10T00:00:00"/>
    <x v="10"/>
    <n v="2024"/>
    <x v="11"/>
    <s v="D3"/>
    <s v="Q-RIN"/>
    <n v="3.1"/>
  </r>
  <r>
    <d v="2024-06-17T00:00:00"/>
    <x v="10"/>
    <n v="2024"/>
    <x v="10"/>
    <s v="D3"/>
    <s v="Q-RIN"/>
    <n v="3.02"/>
  </r>
  <r>
    <d v="2024-06-17T00:00:00"/>
    <x v="10"/>
    <n v="2024"/>
    <x v="11"/>
    <s v="D3"/>
    <s v="Q-RIN"/>
    <n v="3.15"/>
  </r>
  <r>
    <d v="2024-06-17T00:00:00"/>
    <x v="10"/>
    <n v="2024"/>
    <x v="11"/>
    <s v="D3"/>
    <s v="Unverified"/>
    <n v="2.98"/>
  </r>
  <r>
    <d v="2024-06-24T00:00:00"/>
    <x v="10"/>
    <n v="2024"/>
    <x v="10"/>
    <s v="D3"/>
    <s v="Q-RIN"/>
    <n v="3.01"/>
  </r>
  <r>
    <d v="2024-06-24T00:00:00"/>
    <x v="10"/>
    <n v="2024"/>
    <x v="11"/>
    <s v="D3"/>
    <s v="Q-RIN"/>
    <n v="3.03"/>
  </r>
  <r>
    <d v="2024-06-24T00:00:00"/>
    <x v="10"/>
    <n v="2024"/>
    <x v="11"/>
    <s v="D3"/>
    <s v="Unverified"/>
    <n v="2.96"/>
  </r>
  <r>
    <d v="2024-07-01T00:00:00"/>
    <x v="11"/>
    <n v="2024"/>
    <x v="11"/>
    <s v="D3"/>
    <s v="Q-RIN"/>
    <n v="3.19"/>
  </r>
  <r>
    <d v="2024-07-01T00:00:00"/>
    <x v="11"/>
    <n v="2024"/>
    <x v="11"/>
    <s v="D3"/>
    <s v="Unverified"/>
    <n v="3.15"/>
  </r>
  <r>
    <d v="2024-07-08T00:00:00"/>
    <x v="11"/>
    <n v="2024"/>
    <x v="11"/>
    <s v="D3"/>
    <s v="Q-RIN"/>
    <n v="3.18"/>
  </r>
  <r>
    <d v="2024-07-15T00:00:00"/>
    <x v="11"/>
    <n v="2024"/>
    <x v="10"/>
    <s v="D3"/>
    <s v="Q-RIN"/>
    <n v="3.3"/>
  </r>
  <r>
    <d v="2024-07-15T00:00:00"/>
    <x v="11"/>
    <n v="2024"/>
    <x v="10"/>
    <s v="D3"/>
    <s v="Unverified"/>
    <n v="3.1"/>
  </r>
  <r>
    <d v="2024-07-15T00:00:00"/>
    <x v="11"/>
    <n v="2024"/>
    <x v="11"/>
    <s v="D3"/>
    <s v="Q-RIN"/>
    <n v="3.09"/>
  </r>
  <r>
    <d v="2024-07-22T00:00:00"/>
    <x v="11"/>
    <n v="2024"/>
    <x v="11"/>
    <s v="D3"/>
    <s v="Q-RIN"/>
    <n v="3.26"/>
  </r>
  <r>
    <d v="2024-07-22T00:00:00"/>
    <x v="11"/>
    <n v="2024"/>
    <x v="11"/>
    <s v="D3"/>
    <s v="Unverified"/>
    <n v="3.2"/>
  </r>
  <r>
    <d v="2024-07-29T00:00:00"/>
    <x v="11"/>
    <n v="2024"/>
    <x v="10"/>
    <s v="D3"/>
    <s v="Q-RIN"/>
    <n v="3.32"/>
  </r>
  <r>
    <d v="2024-07-29T00:00:00"/>
    <x v="11"/>
    <n v="2024"/>
    <x v="11"/>
    <s v="D3"/>
    <s v="Q-RIN"/>
    <n v="3.16"/>
  </r>
  <r>
    <d v="2024-07-29T00:00:00"/>
    <x v="11"/>
    <n v="2024"/>
    <x v="11"/>
    <s v="D3"/>
    <s v="Unverified"/>
    <n v="3.3"/>
  </r>
  <r>
    <d v="2024-08-05T00:00:00"/>
    <x v="0"/>
    <n v="2024"/>
    <x v="11"/>
    <s v="D3"/>
    <s v="Q-RIN"/>
    <n v="3.21"/>
  </r>
  <r>
    <d v="2024-08-05T00:00:00"/>
    <x v="0"/>
    <n v="2024"/>
    <x v="11"/>
    <s v="D3"/>
    <s v="Unverified"/>
    <n v="2.8"/>
  </r>
  <r>
    <d v="2024-08-12T00:00:00"/>
    <x v="0"/>
    <n v="2024"/>
    <x v="11"/>
    <s v="D3"/>
    <s v="Q-RIN"/>
    <n v="3.22"/>
  </r>
  <r>
    <d v="2024-08-19T00:00:00"/>
    <x v="0"/>
    <n v="2024"/>
    <x v="11"/>
    <s v="D3"/>
    <s v="Q-RIN"/>
    <n v="3.25"/>
  </r>
  <r>
    <d v="2024-08-19T00:00:00"/>
    <x v="0"/>
    <n v="2024"/>
    <x v="11"/>
    <s v="D3"/>
    <s v="Unverified"/>
    <n v="3.3"/>
  </r>
  <r>
    <d v="2024-08-26T00:00:00"/>
    <x v="0"/>
    <n v="2024"/>
    <x v="11"/>
    <s v="D3"/>
    <s v="Q-RIN"/>
    <n v="3.19"/>
  </r>
  <r>
    <d v="2024-08-26T00:00:00"/>
    <x v="0"/>
    <n v="2024"/>
    <x v="11"/>
    <s v="D3"/>
    <s v="Unverified"/>
    <n v="3.28"/>
  </r>
  <r>
    <d v="2024-09-02T00:00:00"/>
    <x v="2"/>
    <n v="2024"/>
    <x v="10"/>
    <s v="D3"/>
    <s v="Q-RIN"/>
    <n v="3.39"/>
  </r>
  <r>
    <d v="2024-09-02T00:00:00"/>
    <x v="2"/>
    <n v="2024"/>
    <x v="10"/>
    <s v="D3"/>
    <s v="Unverified"/>
    <n v="3.14"/>
  </r>
  <r>
    <d v="2024-09-02T00:00:00"/>
    <x v="2"/>
    <n v="2024"/>
    <x v="11"/>
    <s v="D3"/>
    <s v="Q-RIN"/>
    <n v="3.2"/>
  </r>
  <r>
    <d v="2024-09-02T00:00:00"/>
    <x v="2"/>
    <n v="2024"/>
    <x v="11"/>
    <s v="D3"/>
    <s v="Unverified"/>
    <n v="3.23"/>
  </r>
  <r>
    <d v="2024-09-09T00:00:00"/>
    <x v="2"/>
    <n v="2024"/>
    <x v="11"/>
    <s v="D3"/>
    <s v="Q-RIN"/>
    <n v="3.2"/>
  </r>
  <r>
    <d v="2024-09-09T00:00:00"/>
    <x v="2"/>
    <n v="2024"/>
    <x v="11"/>
    <s v="D3"/>
    <s v="Unverified"/>
    <n v="3.09"/>
  </r>
  <r>
    <d v="2024-09-16T00:00:00"/>
    <x v="2"/>
    <n v="2024"/>
    <x v="10"/>
    <s v="D3"/>
    <s v="Q-RIN"/>
    <n v="3.36"/>
  </r>
  <r>
    <d v="2024-09-16T00:00:00"/>
    <x v="2"/>
    <n v="2024"/>
    <x v="11"/>
    <s v="D3"/>
    <s v="Q-RIN"/>
    <n v="3.11"/>
  </r>
  <r>
    <d v="2024-09-23T00:00:00"/>
    <x v="2"/>
    <n v="2024"/>
    <x v="11"/>
    <s v="D3"/>
    <s v="Q-RIN"/>
    <n v="3.22"/>
  </r>
  <r>
    <d v="2024-09-23T00:00:00"/>
    <x v="2"/>
    <n v="2024"/>
    <x v="11"/>
    <s v="D3"/>
    <s v="Unverified"/>
    <n v="3.3"/>
  </r>
  <r>
    <d v="2024-09-30T00:00:00"/>
    <x v="2"/>
    <n v="2024"/>
    <x v="11"/>
    <s v="D3"/>
    <s v="Q-RIN"/>
    <n v="3.22"/>
  </r>
  <r>
    <d v="2024-09-30T00:00:00"/>
    <x v="2"/>
    <n v="2024"/>
    <x v="11"/>
    <s v="D3"/>
    <s v="Unverified"/>
    <n v="3.13"/>
  </r>
  <r>
    <d v="2024-10-07T00:00:00"/>
    <x v="3"/>
    <n v="2024"/>
    <x v="11"/>
    <s v="D3"/>
    <s v="Q-RIN"/>
    <n v="3.2"/>
  </r>
  <r>
    <d v="2024-10-14T00:00:00"/>
    <x v="3"/>
    <n v="2024"/>
    <x v="11"/>
    <s v="D3"/>
    <s v="Q-RIN"/>
    <n v="3.13"/>
  </r>
  <r>
    <d v="2024-10-21T00:00:00"/>
    <x v="3"/>
    <n v="2024"/>
    <x v="11"/>
    <s v="D3"/>
    <s v="Q-RIN"/>
    <n v="2.99"/>
  </r>
  <r>
    <d v="2024-10-28T00:00:00"/>
    <x v="3"/>
    <n v="2024"/>
    <x v="11"/>
    <s v="D3"/>
    <s v="Q-RIN"/>
    <n v="3.23"/>
  </r>
  <r>
    <d v="2024-10-28T00:00:00"/>
    <x v="3"/>
    <n v="2024"/>
    <x v="11"/>
    <s v="D3"/>
    <s v="Unverified"/>
    <n v="3.15"/>
  </r>
  <r>
    <d v="2024-11-04T00:00:00"/>
    <x v="4"/>
    <n v="2024"/>
    <x v="11"/>
    <s v="D3"/>
    <s v="Q-RIN"/>
    <n v="3.13"/>
  </r>
  <r>
    <d v="2024-11-04T00:00:00"/>
    <x v="4"/>
    <n v="2024"/>
    <x v="11"/>
    <s v="D3"/>
    <s v="Unverified"/>
    <n v="3.26"/>
  </r>
  <r>
    <d v="2024-11-11T00:00:00"/>
    <x v="4"/>
    <n v="2024"/>
    <x v="10"/>
    <s v="D3"/>
    <s v="Q-RIN"/>
    <n v="3"/>
  </r>
  <r>
    <d v="2024-11-11T00:00:00"/>
    <x v="4"/>
    <n v="2024"/>
    <x v="11"/>
    <s v="D3"/>
    <s v="Q-RIN"/>
    <n v="3.18"/>
  </r>
  <r>
    <d v="2024-11-18T00:00:00"/>
    <x v="4"/>
    <n v="2024"/>
    <x v="11"/>
    <s v="D3"/>
    <s v="Q-RIN"/>
    <n v="3.12"/>
  </r>
  <r>
    <d v="2024-11-18T00:00:00"/>
    <x v="4"/>
    <n v="2024"/>
    <x v="11"/>
    <s v="D3"/>
    <s v="Unverified"/>
    <n v="2.83"/>
  </r>
  <r>
    <d v="2024-11-25T00:00:00"/>
    <x v="4"/>
    <n v="2024"/>
    <x v="11"/>
    <s v="D3"/>
    <s v="Q-RIN"/>
    <n v="3.07"/>
  </r>
  <r>
    <d v="2024-12-02T00:00:00"/>
    <x v="5"/>
    <n v="2024"/>
    <x v="10"/>
    <s v="D3"/>
    <s v="Q-RIN"/>
    <n v="2.58"/>
  </r>
  <r>
    <d v="2024-12-02T00:00:00"/>
    <x v="5"/>
    <n v="2024"/>
    <x v="11"/>
    <s v="D3"/>
    <s v="Q-RIN"/>
    <n v="3.06"/>
  </r>
  <r>
    <d v="2024-12-02T00:00:00"/>
    <x v="5"/>
    <n v="2024"/>
    <x v="11"/>
    <s v="D3"/>
    <s v="Unverified"/>
    <n v="3.35"/>
  </r>
  <r>
    <d v="2024-12-09T00:00:00"/>
    <x v="5"/>
    <n v="2024"/>
    <x v="10"/>
    <s v="D3"/>
    <s v="Q-RIN"/>
    <n v="2.09"/>
  </r>
  <r>
    <d v="2024-12-09T00:00:00"/>
    <x v="5"/>
    <n v="2024"/>
    <x v="11"/>
    <s v="D3"/>
    <s v="Q-RIN"/>
    <n v="3.03"/>
  </r>
  <r>
    <d v="2024-12-09T00:00:00"/>
    <x v="5"/>
    <n v="2024"/>
    <x v="11"/>
    <s v="D3"/>
    <s v="Unverified"/>
    <n v="2.48"/>
  </r>
  <r>
    <d v="2024-12-16T00:00:00"/>
    <x v="5"/>
    <n v="2024"/>
    <x v="11"/>
    <s v="D3"/>
    <s v="Q-RIN"/>
    <n v="2.94"/>
  </r>
  <r>
    <d v="2024-12-16T00:00:00"/>
    <x v="5"/>
    <n v="2024"/>
    <x v="11"/>
    <s v="D3"/>
    <s v="Unverified"/>
    <n v="3.06"/>
  </r>
  <r>
    <d v="2024-12-23T00:00:00"/>
    <x v="5"/>
    <n v="2024"/>
    <x v="11"/>
    <s v="D3"/>
    <s v="Q-RIN"/>
    <n v="2.86"/>
  </r>
  <r>
    <d v="2024-12-30T00:00:00"/>
    <x v="5"/>
    <n v="2024"/>
    <x v="11"/>
    <s v="D3"/>
    <s v="Q-RIN"/>
    <n v="2.94"/>
  </r>
  <r>
    <d v="2024-12-30T00:00:00"/>
    <x v="5"/>
    <n v="2025"/>
    <x v="11"/>
    <s v="D3"/>
    <s v="Q-RIN"/>
    <n v="3.08"/>
  </r>
  <r>
    <d v="2024-12-30T00:00:00"/>
    <x v="5"/>
    <n v="2025"/>
    <x v="11"/>
    <s v="D3"/>
    <s v="Unverified"/>
    <n v="2.29"/>
  </r>
  <r>
    <d v="2025-01-06T00:00:00"/>
    <x v="6"/>
    <n v="2025"/>
    <x v="11"/>
    <s v="D3"/>
    <s v="Q-RIN"/>
    <n v="3.14"/>
  </r>
  <r>
    <d v="2025-01-06T00:00:00"/>
    <x v="6"/>
    <n v="2025"/>
    <x v="11"/>
    <s v="D3"/>
    <s v="Unverified"/>
    <n v="2.5"/>
  </r>
  <r>
    <d v="2025-01-13T00:00:00"/>
    <x v="6"/>
    <n v="2025"/>
    <x v="11"/>
    <s v="D3"/>
    <s v="Q-RIN"/>
    <n v="2.74"/>
  </r>
  <r>
    <d v="2025-01-13T00:00:00"/>
    <x v="6"/>
    <n v="2025"/>
    <x v="11"/>
    <s v="D3"/>
    <s v="Unverified"/>
    <n v="3.27"/>
  </r>
  <r>
    <d v="2025-01-20T00:00:00"/>
    <x v="6"/>
    <n v="2025"/>
    <x v="10"/>
    <s v="D3"/>
    <s v="Q-RIN"/>
    <n v="2.31"/>
  </r>
  <r>
    <d v="2025-01-20T00:00:00"/>
    <x v="6"/>
    <n v="2025"/>
    <x v="11"/>
    <s v="D3"/>
    <s v="Q-RIN"/>
    <n v="2.78"/>
  </r>
  <r>
    <d v="2025-01-20T00:00:00"/>
    <x v="6"/>
    <n v="2025"/>
    <x v="12"/>
    <s v="D3"/>
    <s v="Q-RIN"/>
    <n v="2.58"/>
  </r>
  <r>
    <d v="2025-01-27T00:00:00"/>
    <x v="6"/>
    <n v="2025"/>
    <x v="10"/>
    <s v="D3"/>
    <s v="Q-RIN"/>
    <n v="2.35"/>
  </r>
  <r>
    <d v="2025-01-27T00:00:00"/>
    <x v="6"/>
    <n v="2025"/>
    <x v="11"/>
    <s v="D3"/>
    <s v="Q-RIN"/>
    <n v="2.76"/>
  </r>
  <r>
    <d v="2025-01-27T00:00:00"/>
    <x v="6"/>
    <n v="2025"/>
    <x v="11"/>
    <s v="D3"/>
    <s v="Unverified"/>
    <n v="2.81"/>
  </r>
  <r>
    <d v="2025-01-27T00:00:00"/>
    <x v="6"/>
    <n v="2025"/>
    <x v="12"/>
    <s v="D3"/>
    <s v="Q-RIN"/>
    <n v="2.72"/>
  </r>
  <r>
    <d v="2025-02-03T00:00:00"/>
    <x v="7"/>
    <n v="2025"/>
    <x v="10"/>
    <s v="D3"/>
    <s v="Q-RIN"/>
    <n v="2.4500000000000002"/>
  </r>
  <r>
    <d v="2025-02-03T00:00:00"/>
    <x v="7"/>
    <n v="2025"/>
    <x v="11"/>
    <s v="D3"/>
    <s v="Q-RIN"/>
    <n v="2.91"/>
  </r>
  <r>
    <d v="2025-02-03T00:00:00"/>
    <x v="7"/>
    <n v="2025"/>
    <x v="11"/>
    <s v="D3"/>
    <s v="Unverified"/>
    <n v="2.42"/>
  </r>
  <r>
    <d v="2025-02-10T00:00:00"/>
    <x v="7"/>
    <n v="2025"/>
    <x v="11"/>
    <s v="D3"/>
    <s v="Q-RIN"/>
    <n v="2.76"/>
  </r>
  <r>
    <d v="2025-02-10T00:00:00"/>
    <x v="7"/>
    <n v="2025"/>
    <x v="11"/>
    <s v="D3"/>
    <s v="Unverified"/>
    <n v="2.04"/>
  </r>
  <r>
    <d v="2025-02-10T00:00:00"/>
    <x v="7"/>
    <n v="2025"/>
    <x v="12"/>
    <s v="D3"/>
    <s v="Q-RIN"/>
    <n v="2.48"/>
  </r>
  <r>
    <d v="2025-02-17T00:00:00"/>
    <x v="7"/>
    <n v="2025"/>
    <x v="11"/>
    <s v="D3"/>
    <s v="Q-RIN"/>
    <n v="2.75"/>
  </r>
  <r>
    <d v="2025-02-17T00:00:00"/>
    <x v="7"/>
    <n v="2025"/>
    <x v="11"/>
    <s v="D3"/>
    <s v="Unverified"/>
    <n v="2.4500000000000002"/>
  </r>
  <r>
    <d v="2025-02-17T00:00:00"/>
    <x v="7"/>
    <n v="2025"/>
    <x v="12"/>
    <s v="D3"/>
    <s v="Q-RIN"/>
    <n v="2.4"/>
  </r>
  <r>
    <d v="2025-02-24T00:00:00"/>
    <x v="7"/>
    <n v="2025"/>
    <x v="10"/>
    <s v="D3"/>
    <s v="Q-RIN"/>
    <n v="3.11"/>
  </r>
  <r>
    <d v="2025-02-24T00:00:00"/>
    <x v="7"/>
    <n v="2025"/>
    <x v="10"/>
    <s v="D3"/>
    <s v="Unverified"/>
    <n v="3.11"/>
  </r>
  <r>
    <d v="2025-02-24T00:00:00"/>
    <x v="7"/>
    <n v="2025"/>
    <x v="11"/>
    <s v="D3"/>
    <s v="Q-RIN"/>
    <n v="2.93"/>
  </r>
  <r>
    <d v="2025-02-24T00:00:00"/>
    <x v="7"/>
    <n v="2025"/>
    <x v="11"/>
    <s v="D3"/>
    <s v="Unverified"/>
    <n v="2.48"/>
  </r>
  <r>
    <d v="2025-02-24T00:00:00"/>
    <x v="7"/>
    <n v="2025"/>
    <x v="12"/>
    <s v="D3"/>
    <s v="Q-RIN"/>
    <n v="2.61"/>
  </r>
  <r>
    <d v="2025-03-03T00:00:00"/>
    <x v="8"/>
    <n v="2025"/>
    <x v="11"/>
    <s v="D3"/>
    <s v="Q-RIN"/>
    <n v="2.79"/>
  </r>
  <r>
    <d v="2025-03-03T00:00:00"/>
    <x v="8"/>
    <n v="2025"/>
    <x v="11"/>
    <s v="D3"/>
    <s v="Unverified"/>
    <n v="2.4500000000000002"/>
  </r>
  <r>
    <d v="2025-03-03T00:00:00"/>
    <x v="8"/>
    <n v="2025"/>
    <x v="12"/>
    <s v="D3"/>
    <s v="Q-RIN"/>
    <n v="2.64"/>
  </r>
  <r>
    <d v="2025-03-10T00:00:00"/>
    <x v="8"/>
    <n v="2025"/>
    <x v="11"/>
    <s v="D3"/>
    <s v="Q-RIN"/>
    <n v="3"/>
  </r>
  <r>
    <d v="2025-03-10T00:00:00"/>
    <x v="8"/>
    <n v="2025"/>
    <x v="12"/>
    <s v="D3"/>
    <s v="Q-RIN"/>
    <n v="2.46"/>
  </r>
  <r>
    <d v="2025-03-17T00:00:00"/>
    <x v="8"/>
    <n v="2025"/>
    <x v="11"/>
    <s v="D3"/>
    <s v="Q-RIN"/>
    <n v="2.54"/>
  </r>
  <r>
    <d v="2025-03-17T00:00:00"/>
    <x v="8"/>
    <n v="2025"/>
    <x v="11"/>
    <s v="D3"/>
    <s v="Unverified"/>
    <n v="2.35"/>
  </r>
  <r>
    <d v="2025-03-17T00:00:00"/>
    <x v="8"/>
    <n v="2025"/>
    <x v="12"/>
    <s v="D3"/>
    <s v="Q-RIN"/>
    <n v="2.5299999999999998"/>
  </r>
  <r>
    <d v="2025-03-24T00:00:00"/>
    <x v="8"/>
    <n v="2025"/>
    <x v="10"/>
    <s v="D3"/>
    <s v="Q-RIN"/>
    <n v="2.35"/>
  </r>
  <r>
    <d v="2025-03-24T00:00:00"/>
    <x v="8"/>
    <n v="2025"/>
    <x v="11"/>
    <s v="D3"/>
    <s v="Q-RIN"/>
    <n v="2.38"/>
  </r>
  <r>
    <d v="2025-03-24T00:00:00"/>
    <x v="8"/>
    <n v="2025"/>
    <x v="11"/>
    <s v="D3"/>
    <s v="Unverified"/>
    <n v="2.41"/>
  </r>
  <r>
    <d v="2025-03-24T00:00:00"/>
    <x v="8"/>
    <n v="2025"/>
    <x v="12"/>
    <s v="D3"/>
    <s v="Q-RIN"/>
    <n v="2.52"/>
  </r>
  <r>
    <d v="2025-03-31T00:00:00"/>
    <x v="8"/>
    <n v="2025"/>
    <x v="11"/>
    <s v="D3"/>
    <s v="Q-RIN"/>
    <n v="2.75"/>
  </r>
  <r>
    <d v="2025-03-31T00:00:00"/>
    <x v="8"/>
    <n v="2025"/>
    <x v="11"/>
    <s v="D3"/>
    <s v="Unverified"/>
    <n v="2.37"/>
  </r>
  <r>
    <d v="2025-03-31T00:00:00"/>
    <x v="8"/>
    <n v="2025"/>
    <x v="12"/>
    <s v="D3"/>
    <s v="Q-RIN"/>
    <n v="2.56"/>
  </r>
  <r>
    <d v="2025-04-07T00:00:00"/>
    <x v="1"/>
    <n v="2025"/>
    <x v="11"/>
    <s v="D3"/>
    <s v="Q-RIN"/>
    <n v="2.65"/>
  </r>
  <r>
    <d v="2025-04-07T00:00:00"/>
    <x v="1"/>
    <n v="2025"/>
    <x v="12"/>
    <s v="D3"/>
    <s v="Q-RIN"/>
    <n v="2.64"/>
  </r>
  <r>
    <d v="2025-04-14T00:00:00"/>
    <x v="1"/>
    <n v="2025"/>
    <x v="11"/>
    <s v="D3"/>
    <s v="Q-RIN"/>
    <n v="2.41"/>
  </r>
  <r>
    <d v="2025-04-14T00:00:00"/>
    <x v="1"/>
    <n v="2025"/>
    <x v="12"/>
    <s v="D3"/>
    <s v="Q-RIN"/>
    <n v="2.66"/>
  </r>
  <r>
    <d v="2025-04-21T00:00:00"/>
    <x v="1"/>
    <n v="2025"/>
    <x v="11"/>
    <s v="D3"/>
    <s v="Q-RIN"/>
    <n v="2.48"/>
  </r>
  <r>
    <d v="2025-04-21T00:00:00"/>
    <x v="1"/>
    <n v="2025"/>
    <x v="11"/>
    <s v="D3"/>
    <s v="Unverified"/>
    <n v="2.5299999999999998"/>
  </r>
  <r>
    <d v="2025-04-21T00:00:00"/>
    <x v="1"/>
    <n v="2025"/>
    <x v="12"/>
    <s v="D3"/>
    <s v="Q-RIN"/>
    <n v="2.65"/>
  </r>
  <r>
    <d v="2025-04-21T00:00:00"/>
    <x v="1"/>
    <n v="2025"/>
    <x v="12"/>
    <s v="D3"/>
    <s v="Unverified"/>
    <n v="2.46"/>
  </r>
  <r>
    <d v="2025-04-28T00:00:00"/>
    <x v="1"/>
    <n v="2025"/>
    <x v="12"/>
    <s v="D3"/>
    <s v="Q-RIN"/>
    <n v="2.6"/>
  </r>
  <r>
    <d v="2025-04-28T00:00:00"/>
    <x v="1"/>
    <n v="2025"/>
    <x v="12"/>
    <s v="D3"/>
    <s v="Unverified"/>
    <n v="2.4"/>
  </r>
  <r>
    <d v="2025-05-05T00:00:00"/>
    <x v="9"/>
    <n v="2025"/>
    <x v="11"/>
    <s v="D3"/>
    <s v="Q-RIN"/>
    <n v="2.5"/>
  </r>
  <r>
    <d v="2025-05-05T00:00:00"/>
    <x v="9"/>
    <n v="2025"/>
    <x v="12"/>
    <s v="D3"/>
    <s v="Q-RIN"/>
    <n v="2.56"/>
  </r>
  <r>
    <d v="2025-05-12T00:00:00"/>
    <x v="9"/>
    <n v="2025"/>
    <x v="11"/>
    <s v="D3"/>
    <s v="Q-RIN"/>
    <n v="2.68"/>
  </r>
  <r>
    <d v="2025-05-12T00:00:00"/>
    <x v="9"/>
    <n v="2025"/>
    <x v="12"/>
    <s v="D3"/>
    <s v="Q-RIN"/>
    <n v="2.62"/>
  </r>
  <r>
    <d v="2025-05-19T00:00:00"/>
    <x v="9"/>
    <n v="2025"/>
    <x v="11"/>
    <s v="D3"/>
    <s v="Q-RIN"/>
    <n v="2.41"/>
  </r>
  <r>
    <d v="2025-05-19T00:00:00"/>
    <x v="9"/>
    <n v="2025"/>
    <x v="12"/>
    <s v="D3"/>
    <s v="Q-RIN"/>
    <n v="2.4700000000000002"/>
  </r>
  <r>
    <d v="2025-05-19T00:00:00"/>
    <x v="9"/>
    <n v="2025"/>
    <x v="12"/>
    <s v="D3"/>
    <s v="Unverified"/>
    <n v="2.2999999999999998"/>
  </r>
  <r>
    <d v="2025-05-26T00:00:00"/>
    <x v="9"/>
    <n v="2025"/>
    <x v="11"/>
    <s v="D3"/>
    <s v="Q-RIN"/>
    <n v="2.37"/>
  </r>
  <r>
    <d v="2025-05-26T00:00:00"/>
    <x v="9"/>
    <n v="2025"/>
    <x v="12"/>
    <s v="D3"/>
    <s v="Q-RIN"/>
    <n v="2.5099999999999998"/>
  </r>
  <r>
    <d v="2025-05-26T00:00:00"/>
    <x v="9"/>
    <n v="2025"/>
    <x v="12"/>
    <s v="D3"/>
    <s v="Unverified"/>
    <n v="3.12"/>
  </r>
  <r>
    <d v="2025-06-02T00:00:00"/>
    <x v="10"/>
    <n v="2025"/>
    <x v="11"/>
    <s v="D3"/>
    <s v="Q-RIN"/>
    <n v="2.2599999999999998"/>
  </r>
  <r>
    <d v="2025-06-02T00:00:00"/>
    <x v="10"/>
    <n v="2025"/>
    <x v="12"/>
    <s v="D3"/>
    <s v="Q-RIN"/>
    <n v="2.41"/>
  </r>
  <r>
    <d v="2025-06-02T00:00:00"/>
    <x v="10"/>
    <n v="2025"/>
    <x v="12"/>
    <s v="D3"/>
    <s v="Unverified"/>
    <n v="2.23"/>
  </r>
  <r>
    <d v="2025-06-09T00:00:00"/>
    <x v="10"/>
    <n v="2025"/>
    <x v="11"/>
    <s v="D3"/>
    <s v="Q-RIN"/>
    <n v="2.5099999999999998"/>
  </r>
  <r>
    <d v="2025-06-09T00:00:00"/>
    <x v="10"/>
    <n v="2025"/>
    <x v="12"/>
    <s v="D3"/>
    <s v="Q-RIN"/>
    <n v="2.4500000000000002"/>
  </r>
  <r>
    <d v="2025-06-16T00:00:00"/>
    <x v="10"/>
    <n v="2025"/>
    <x v="11"/>
    <s v="D3"/>
    <s v="Q-RIN"/>
    <n v="2.42"/>
  </r>
  <r>
    <d v="2025-06-16T00:00:00"/>
    <x v="10"/>
    <n v="2025"/>
    <x v="12"/>
    <s v="D3"/>
    <s v="Q-RIN"/>
    <n v="2.4900000000000002"/>
  </r>
  <r>
    <d v="2025-06-16T00:00:00"/>
    <x v="10"/>
    <n v="2025"/>
    <x v="12"/>
    <s v="D3"/>
    <s v="Unverified"/>
    <n v="2.41"/>
  </r>
  <r>
    <d v="2025-06-23T00:00:00"/>
    <x v="10"/>
    <n v="2025"/>
    <x v="11"/>
    <s v="D3"/>
    <s v="Q-RIN"/>
    <n v="2.29"/>
  </r>
  <r>
    <d v="2025-06-23T00:00:00"/>
    <x v="10"/>
    <n v="2025"/>
    <x v="12"/>
    <s v="D3"/>
    <s v="Q-RIN"/>
    <n v="2.42"/>
  </r>
  <r>
    <d v="2025-06-23T00:00:00"/>
    <x v="10"/>
    <n v="2025"/>
    <x v="12"/>
    <s v="D3"/>
    <s v="Unverified"/>
    <n v="2.3199999999999998"/>
  </r>
  <r>
    <d v="2025-06-30T00:00:00"/>
    <x v="10"/>
    <n v="2025"/>
    <x v="10"/>
    <s v="D3"/>
    <s v="Q-RIN"/>
    <n v="2.1800000000000002"/>
  </r>
  <r>
    <d v="2025-06-30T00:00:00"/>
    <x v="10"/>
    <n v="2025"/>
    <x v="11"/>
    <s v="D3"/>
    <s v="Q-RIN"/>
    <n v="2.2400000000000002"/>
  </r>
  <r>
    <d v="2025-06-30T00:00:00"/>
    <x v="10"/>
    <n v="2025"/>
    <x v="12"/>
    <s v="D3"/>
    <s v="Q-RIN"/>
    <n v="2.4500000000000002"/>
  </r>
  <r>
    <d v="2025-06-30T00:00:00"/>
    <x v="10"/>
    <n v="2025"/>
    <x v="12"/>
    <s v="D3"/>
    <s v="Unverified"/>
    <n v="2.2599999999999998"/>
  </r>
  <r>
    <d v="2025-07-07T00:00:00"/>
    <x v="11"/>
    <n v="2025"/>
    <x v="11"/>
    <s v="D3"/>
    <s v="Q-RIN"/>
    <n v="2.16"/>
  </r>
  <r>
    <d v="2025-07-07T00:00:00"/>
    <x v="11"/>
    <n v="2025"/>
    <x v="11"/>
    <s v="D3"/>
    <s v="Unverified"/>
    <n v="2.1"/>
  </r>
  <r>
    <d v="2025-07-07T00:00:00"/>
    <x v="11"/>
    <n v="2025"/>
    <x v="12"/>
    <s v="D3"/>
    <s v="Q-RIN"/>
    <n v="2.5099999999999998"/>
  </r>
  <r>
    <d v="2025-07-07T00:00:00"/>
    <x v="11"/>
    <n v="2025"/>
    <x v="12"/>
    <s v="D3"/>
    <s v="Unverified"/>
    <n v="2.09"/>
  </r>
  <r>
    <d v="2025-07-14T00:00:00"/>
    <x v="11"/>
    <n v="2025"/>
    <x v="10"/>
    <s v="D3"/>
    <s v="Q-RIN"/>
    <n v="2.1800000000000002"/>
  </r>
  <r>
    <d v="2025-07-14T00:00:00"/>
    <x v="11"/>
    <n v="2025"/>
    <x v="11"/>
    <s v="D3"/>
    <s v="Q-RIN"/>
    <n v="2.15"/>
  </r>
  <r>
    <d v="2025-07-14T00:00:00"/>
    <x v="11"/>
    <n v="2025"/>
    <x v="12"/>
    <s v="D3"/>
    <s v="Q-RIN"/>
    <n v="2.4"/>
  </r>
  <r>
    <d v="2025-07-14T00:00:00"/>
    <x v="11"/>
    <n v="2025"/>
    <x v="12"/>
    <s v="D3"/>
    <s v="Unverified"/>
    <n v="2.87"/>
  </r>
  <r>
    <d v="2025-07-21T00:00:00"/>
    <x v="11"/>
    <n v="2025"/>
    <x v="11"/>
    <s v="D3"/>
    <s v="Q-RIN"/>
    <n v="2.2999999999999998"/>
  </r>
  <r>
    <d v="2025-07-21T00:00:00"/>
    <x v="11"/>
    <n v="2025"/>
    <x v="11"/>
    <s v="D3"/>
    <s v="Unverified"/>
    <n v="2.4"/>
  </r>
  <r>
    <d v="2025-07-21T00:00:00"/>
    <x v="11"/>
    <n v="2025"/>
    <x v="12"/>
    <s v="D3"/>
    <s v="Q-RIN"/>
    <n v="2.38"/>
  </r>
  <r>
    <d v="2025-07-21T00:00:00"/>
    <x v="11"/>
    <n v="2025"/>
    <x v="12"/>
    <s v="D3"/>
    <s v="Unverified"/>
    <n v="2.85"/>
  </r>
  <r>
    <d v="2025-07-28T00:00:00"/>
    <x v="11"/>
    <n v="2025"/>
    <x v="11"/>
    <s v="D3"/>
    <s v="Q-RIN"/>
    <n v="2.42"/>
  </r>
  <r>
    <d v="2025-07-28T00:00:00"/>
    <x v="11"/>
    <n v="2025"/>
    <x v="12"/>
    <s v="D3"/>
    <s v="Q-RIN"/>
    <n v="2.4300000000000002"/>
  </r>
  <r>
    <d v="2025-07-28T00:00:00"/>
    <x v="11"/>
    <n v="2025"/>
    <x v="12"/>
    <s v="D3"/>
    <s v="Unverified"/>
    <n v="2.19"/>
  </r>
  <r>
    <d v="2025-08-04T00:00:00"/>
    <x v="0"/>
    <n v="2025"/>
    <x v="11"/>
    <s v="D3"/>
    <s v="Q-RIN"/>
    <n v="2.21"/>
  </r>
  <r>
    <d v="2025-08-04T00:00:00"/>
    <x v="0"/>
    <n v="2025"/>
    <x v="12"/>
    <s v="D3"/>
    <s v="Q-RIN"/>
    <n v="2.38"/>
  </r>
  <r>
    <d v="2025-08-04T00:00:00"/>
    <x v="0"/>
    <n v="2025"/>
    <x v="12"/>
    <s v="D3"/>
    <s v="Unverified"/>
    <n v="2.9"/>
  </r>
  <r>
    <d v="2025-08-11T00:00:00"/>
    <x v="0"/>
    <n v="2025"/>
    <x v="11"/>
    <s v="D3"/>
    <s v="Q-RIN"/>
    <n v="2.19"/>
  </r>
  <r>
    <d v="2025-08-11T00:00:00"/>
    <x v="0"/>
    <n v="2025"/>
    <x v="12"/>
    <s v="D3"/>
    <s v="Q-RIN"/>
    <n v="2.42"/>
  </r>
  <r>
    <d v="2025-08-11T00:00:00"/>
    <x v="0"/>
    <n v="2025"/>
    <x v="12"/>
    <s v="D3"/>
    <s v="Unverified"/>
    <n v="2.2799999999999998"/>
  </r>
  <r>
    <d v="2025-08-18T00:00:00"/>
    <x v="0"/>
    <n v="2025"/>
    <x v="11"/>
    <s v="D3"/>
    <s v="Q-RIN"/>
    <n v="2.19"/>
  </r>
  <r>
    <d v="2025-08-18T00:00:00"/>
    <x v="0"/>
    <n v="2025"/>
    <x v="12"/>
    <s v="D3"/>
    <s v="Q-RIN"/>
    <n v="2.4"/>
  </r>
  <r>
    <d v="2025-08-18T00:00:00"/>
    <x v="0"/>
    <n v="2025"/>
    <x v="12"/>
    <s v="D3"/>
    <s v="Unverified"/>
    <n v="2.36"/>
  </r>
  <r>
    <d v="2025-08-25T00:00:00"/>
    <x v="0"/>
    <n v="2025"/>
    <x v="11"/>
    <s v="D3"/>
    <s v="Q-RIN"/>
    <n v="2.2799999999999998"/>
  </r>
  <r>
    <d v="2025-08-25T00:00:00"/>
    <x v="0"/>
    <n v="2025"/>
    <x v="12"/>
    <s v="D3"/>
    <s v="Q-RIN"/>
    <n v="2.31"/>
  </r>
  <r>
    <d v="2025-09-01T00:00:00"/>
    <x v="2"/>
    <n v="2025"/>
    <x v="9"/>
    <s v="D3"/>
    <s v="Q-RIN"/>
    <n v="2.15"/>
  </r>
  <r>
    <d v="2025-09-01T00:00:00"/>
    <x v="2"/>
    <n v="2025"/>
    <x v="10"/>
    <s v="D3"/>
    <s v="Q-RIN"/>
    <n v="2.15"/>
  </r>
  <r>
    <d v="2025-09-01T00:00:00"/>
    <x v="2"/>
    <n v="2025"/>
    <x v="11"/>
    <s v="D3"/>
    <s v="Q-RIN"/>
    <n v="2.16"/>
  </r>
  <r>
    <d v="2025-09-01T00:00:00"/>
    <x v="2"/>
    <n v="2025"/>
    <x v="12"/>
    <s v="D3"/>
    <s v="Q-RIN"/>
    <n v="2.34"/>
  </r>
  <r>
    <d v="2025-09-01T00:00:00"/>
    <x v="2"/>
    <n v="2025"/>
    <x v="12"/>
    <s v="D3"/>
    <s v="Unverified"/>
    <n v="2.19"/>
  </r>
  <r>
    <d v="2025-09-08T00:00:00"/>
    <x v="2"/>
    <n v="2025"/>
    <x v="9"/>
    <s v="D3"/>
    <s v="Q-RIN"/>
    <n v="2.15"/>
  </r>
  <r>
    <d v="2025-09-08T00:00:00"/>
    <x v="2"/>
    <n v="2025"/>
    <x v="10"/>
    <s v="D3"/>
    <s v="Q-RIN"/>
    <n v="2.13"/>
  </r>
  <r>
    <d v="2025-09-08T00:00:00"/>
    <x v="2"/>
    <n v="2025"/>
    <x v="12"/>
    <s v="D3"/>
    <s v="Q-RIN"/>
    <n v="2.3199999999999998"/>
  </r>
  <r>
    <d v="2025-09-08T00:00:00"/>
    <x v="2"/>
    <n v="2025"/>
    <x v="12"/>
    <s v="D3"/>
    <s v="Unverified"/>
    <n v="2.76"/>
  </r>
  <r>
    <d v="2025-09-15T00:00:00"/>
    <x v="2"/>
    <n v="2025"/>
    <x v="9"/>
    <s v="D3"/>
    <s v="Q-RIN"/>
    <n v="1.25"/>
  </r>
  <r>
    <d v="2025-09-15T00:00:00"/>
    <x v="2"/>
    <n v="2025"/>
    <x v="11"/>
    <s v="D3"/>
    <s v="Unverified"/>
    <n v="2.17"/>
  </r>
  <r>
    <d v="2025-09-15T00:00:00"/>
    <x v="2"/>
    <n v="2025"/>
    <x v="12"/>
    <s v="D3"/>
    <s v="Q-RIN"/>
    <n v="2.27"/>
  </r>
  <r>
    <d v="2025-09-15T00:00:00"/>
    <x v="2"/>
    <n v="2025"/>
    <x v="12"/>
    <s v="D3"/>
    <s v="Unverified"/>
    <n v="0.43"/>
  </r>
  <r>
    <d v="2025-09-22T00:00:00"/>
    <x v="2"/>
    <n v="2025"/>
    <x v="11"/>
    <s v="D3"/>
    <s v="Q-RIN"/>
    <n v="2.14"/>
  </r>
  <r>
    <d v="2025-09-22T00:00:00"/>
    <x v="2"/>
    <n v="2025"/>
    <x v="12"/>
    <s v="D3"/>
    <s v="Q-RIN"/>
    <n v="2.4500000000000002"/>
  </r>
  <r>
    <d v="2025-09-22T00:00:00"/>
    <x v="2"/>
    <n v="2025"/>
    <x v="12"/>
    <s v="D3"/>
    <s v="Unverified"/>
    <n v="2.06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0DB61-40CC-4DA6-8AA4-C232364C212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7">
    <pivotField numFmtId="14" showAll="0"/>
    <pivotField showAll="0">
      <items count="13">
        <item x="6"/>
        <item x="7"/>
        <item x="8"/>
        <item x="1"/>
        <item x="9"/>
        <item x="10"/>
        <item x="11"/>
        <item x="0"/>
        <item x="2"/>
        <item x="3"/>
        <item x="4"/>
        <item x="5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numFmtId="8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RIN Price" fld="6" subtotal="average" baseField="3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DE865C-3CA4-4A57-84FD-7695A8920605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3" name="Period" tableColumnId="3"/>
      <queryTableField id="4" name="Price" tableColumnId="4"/>
      <queryTableField id="5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4BA29-FAA8-4957-95B1-3FBC24CF7156}" name="HenryHub" displayName="HenryHub" ref="B3:D20" tableType="queryTable" totalsRowShown="0">
  <autoFilter ref="B3:D20" xr:uid="{5F3637BE-CEF6-4620-A5E7-E26374307A02}"/>
  <tableColumns count="3">
    <tableColumn id="3" xr3:uid="{55681BEB-45C4-44E5-9757-EE66805E20EB}" uniqueName="3" name="Period" queryTableFieldId="3" dataDxfId="14"/>
    <tableColumn id="4" xr3:uid="{B28AECF4-19E1-42BB-A2EF-7B68CA1633A8}" uniqueName="4" name="Price" queryTableFieldId="4" dataDxfId="13" dataCellStyle="Currency"/>
    <tableColumn id="1" xr3:uid="{DED8C5DE-3E16-4A63-8CC6-43D88B1D493D}" uniqueName="1" name="Ye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7C42-1B41-4AB5-8412-9CA7221C9295}">
  <sheetPr>
    <tabColor theme="7"/>
  </sheetPr>
  <dimension ref="C1:AC69"/>
  <sheetViews>
    <sheetView showGridLines="0" zoomScale="80" zoomScaleNormal="80" workbookViewId="0">
      <selection activeCell="Q10" sqref="Q10"/>
    </sheetView>
  </sheetViews>
  <sheetFormatPr defaultColWidth="9" defaultRowHeight="14.35" outlineLevelCol="1" x14ac:dyDescent="0.5"/>
  <cols>
    <col min="1" max="2" width="2.41015625" style="1" customWidth="1"/>
    <col min="3" max="3" width="19.29296875" style="1" customWidth="1"/>
    <col min="4" max="4" width="10.29296875" style="88" customWidth="1"/>
    <col min="5" max="5" width="11.29296875" style="1" customWidth="1"/>
    <col min="6" max="6" width="10.29296875" style="1" bestFit="1" customWidth="1"/>
    <col min="7" max="10" width="12.41015625" style="1" hidden="1" customWidth="1" outlineLevel="1"/>
    <col min="11" max="11" width="12.41015625" style="1" customWidth="1" collapsed="1"/>
    <col min="12" max="14" width="12.41015625" style="1" customWidth="1"/>
    <col min="15" max="15" width="9" style="1"/>
    <col min="16" max="16" width="4.29296875" style="1" customWidth="1"/>
    <col min="17" max="17" width="35.703125" style="1" customWidth="1"/>
    <col min="18" max="18" width="12.5859375" style="1" customWidth="1"/>
    <col min="19" max="19" width="10.5859375" style="1" hidden="1" customWidth="1" outlineLevel="1"/>
    <col min="20" max="20" width="12.5859375" style="1" hidden="1" customWidth="1" outlineLevel="1"/>
    <col min="21" max="21" width="12.5859375" style="1" customWidth="1" collapsed="1"/>
    <col min="22" max="26" width="12.5859375" style="1" customWidth="1"/>
    <col min="27" max="27" width="11.87890625" style="1" customWidth="1"/>
    <col min="28" max="28" width="40.5859375" style="1" customWidth="1"/>
    <col min="29" max="16384" width="9" style="1"/>
  </cols>
  <sheetData>
    <row r="1" spans="3:29" x14ac:dyDescent="0.5">
      <c r="K1" s="372"/>
      <c r="L1" s="1" t="s">
        <v>0</v>
      </c>
      <c r="S1" s="356"/>
      <c r="U1"/>
      <c r="V1"/>
      <c r="X1" s="356"/>
    </row>
    <row r="2" spans="3:29" x14ac:dyDescent="0.5">
      <c r="G2" s="55"/>
      <c r="K2" s="356"/>
      <c r="L2" s="355" t="s">
        <v>1</v>
      </c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3:29" s="90" customFormat="1" ht="39" x14ac:dyDescent="0.5">
      <c r="D3" s="91"/>
      <c r="E3" s="97" t="str" cm="1">
        <f t="array" ref="E3">INDEX($G3:$N3,1,$E$4)</f>
        <v>70/90 Tiered
1250/$2.82 BID 11.21</v>
      </c>
      <c r="F3" s="98"/>
      <c r="G3" s="99" t="str">
        <f>H3</f>
        <v>70/90 Tiered
1250/$2.82 BID 11.21</v>
      </c>
      <c r="H3" s="99" t="str">
        <f>I3</f>
        <v>70/90 Tiered
1250/$2.82 BID 11.21</v>
      </c>
      <c r="I3" s="99" t="str">
        <f>J3</f>
        <v>70/90 Tiered
1250/$2.82 BID 11.21</v>
      </c>
      <c r="J3" s="99" t="str">
        <f>K3</f>
        <v>70/90 Tiered
1250/$2.82 BID 11.21</v>
      </c>
      <c r="K3" s="376" t="s">
        <v>2</v>
      </c>
      <c r="L3" s="99" t="s">
        <v>3</v>
      </c>
      <c r="M3" s="99" t="s">
        <v>3</v>
      </c>
      <c r="N3" s="99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3:29" x14ac:dyDescent="0.5">
      <c r="C4" s="23" t="s">
        <v>4</v>
      </c>
      <c r="D4" s="87"/>
      <c r="E4" s="86">
        <v>5</v>
      </c>
      <c r="G4" s="95">
        <v>1</v>
      </c>
      <c r="H4" s="95">
        <v>2</v>
      </c>
      <c r="I4" s="95">
        <v>3</v>
      </c>
      <c r="J4" s="96">
        <v>4</v>
      </c>
      <c r="K4" s="96">
        <v>5</v>
      </c>
      <c r="L4" s="96">
        <v>6</v>
      </c>
      <c r="M4" s="96">
        <v>7</v>
      </c>
      <c r="N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3:29" x14ac:dyDescent="0.5">
      <c r="E5" s="55"/>
      <c r="G5" s="55"/>
      <c r="H5" s="55"/>
      <c r="I5" s="55"/>
      <c r="J5" s="55"/>
      <c r="K5" s="55"/>
      <c r="L5" s="55"/>
      <c r="M5" s="55"/>
      <c r="N5" s="5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3:29" x14ac:dyDescent="0.5">
      <c r="C6" s="1" t="s">
        <v>5</v>
      </c>
      <c r="E6" s="57">
        <v>2.5000000000000001E-2</v>
      </c>
      <c r="G6" s="55"/>
      <c r="H6" s="55"/>
      <c r="I6" s="55"/>
      <c r="J6" s="55"/>
      <c r="K6" s="55"/>
      <c r="L6" s="55"/>
      <c r="M6" s="55"/>
      <c r="N6" s="55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3:29" x14ac:dyDescent="0.5">
      <c r="E7" s="57"/>
      <c r="G7" s="55"/>
      <c r="H7" s="55"/>
      <c r="I7" s="55"/>
      <c r="J7" s="55"/>
      <c r="K7" s="55"/>
      <c r="L7" s="55"/>
      <c r="M7" s="55"/>
      <c r="N7" s="55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3:29" x14ac:dyDescent="0.5">
      <c r="C8" s="1" t="s">
        <v>6</v>
      </c>
      <c r="D8" s="88" t="s">
        <v>7</v>
      </c>
      <c r="E8" s="63" cm="1">
        <f t="array" ref="E8">INDEX($G8:$N8,1,$E$4)</f>
        <v>950</v>
      </c>
      <c r="G8" s="59">
        <v>950</v>
      </c>
      <c r="H8" s="59">
        <v>950</v>
      </c>
      <c r="I8" s="59">
        <v>950</v>
      </c>
      <c r="J8" s="59">
        <v>950</v>
      </c>
      <c r="K8" s="59">
        <v>950</v>
      </c>
      <c r="L8" s="59"/>
      <c r="M8" s="59"/>
      <c r="N8" s="59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3:29" x14ac:dyDescent="0.5">
      <c r="C9" s="1" t="s">
        <v>8</v>
      </c>
      <c r="E9" s="397" cm="1">
        <f t="array" ref="E9">INDEX($G9:$N9,1,$E$4)</f>
        <v>2.4340000000000001E-2</v>
      </c>
      <c r="G9" s="57">
        <v>2.4340000000000001E-2</v>
      </c>
      <c r="H9" s="57">
        <v>2.4340000000000001E-2</v>
      </c>
      <c r="I9" s="57">
        <v>2.4340000000000001E-2</v>
      </c>
      <c r="J9" s="57">
        <v>2.4340000000000001E-2</v>
      </c>
      <c r="K9" s="57">
        <v>2.4340000000000001E-2</v>
      </c>
      <c r="L9" s="57"/>
      <c r="M9" s="57"/>
      <c r="N9" s="57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3:29" x14ac:dyDescent="0.5">
      <c r="C10" s="1" t="s">
        <v>9</v>
      </c>
      <c r="D10" s="88" t="s">
        <v>7</v>
      </c>
      <c r="E10" s="56">
        <f>Model!AA11</f>
        <v>1500.2447447993927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3:29" x14ac:dyDescent="0.5"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3:29" x14ac:dyDescent="0.5">
      <c r="C12" s="1" t="s">
        <v>10</v>
      </c>
      <c r="E12" s="83" cm="1">
        <f t="array" ref="E12">INDEX($G12:$N12,1,$E$4)</f>
        <v>0.98</v>
      </c>
      <c r="G12" s="58">
        <v>0.98</v>
      </c>
      <c r="H12" s="58">
        <v>0.98</v>
      </c>
      <c r="I12" s="58">
        <v>0.98</v>
      </c>
      <c r="J12" s="58">
        <v>0.98</v>
      </c>
      <c r="K12" s="58">
        <v>0.98</v>
      </c>
      <c r="L12" s="58"/>
      <c r="M12" s="58"/>
      <c r="N12" s="58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3:29" x14ac:dyDescent="0.5">
      <c r="C13" s="1" t="s">
        <v>11</v>
      </c>
      <c r="E13" s="83" cm="1">
        <f t="array" ref="E13">INDEX($G13:$N13,1,$E$4)</f>
        <v>0.97906432407905841</v>
      </c>
      <c r="G13" s="58">
        <v>0.97906432407905841</v>
      </c>
      <c r="H13" s="58">
        <v>0.97906432407905841</v>
      </c>
      <c r="I13" s="58">
        <v>0.97906432407905841</v>
      </c>
      <c r="J13" s="58">
        <v>0.97906432407905841</v>
      </c>
      <c r="K13" s="58">
        <v>0.97906432407905841</v>
      </c>
      <c r="L13" s="58"/>
      <c r="M13" s="58"/>
      <c r="N13" s="58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3:29" x14ac:dyDescent="0.5">
      <c r="C14" s="1" t="s">
        <v>12</v>
      </c>
      <c r="E14" s="84" cm="1">
        <f t="array" ref="E14">INDEX($G14:$N14,1,$E$4)</f>
        <v>666.68382082478502</v>
      </c>
      <c r="G14" s="59">
        <v>666.68382082478502</v>
      </c>
      <c r="H14" s="59">
        <v>666.68382082478502</v>
      </c>
      <c r="I14" s="59">
        <v>666.68382082478502</v>
      </c>
      <c r="J14" s="59">
        <v>666.68382082478502</v>
      </c>
      <c r="K14" s="59">
        <v>666.68382082478502</v>
      </c>
      <c r="L14" s="59"/>
      <c r="M14" s="59"/>
      <c r="N14" s="59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3:29" x14ac:dyDescent="0.5"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3:29" x14ac:dyDescent="0.5">
      <c r="C16" s="1" t="s">
        <v>13</v>
      </c>
      <c r="E16" s="354" cm="1">
        <f t="array" ref="E16">INDEX($G16:$N16,1,$E$4)</f>
        <v>1</v>
      </c>
      <c r="G16" s="92">
        <v>1</v>
      </c>
      <c r="H16" s="92">
        <v>1</v>
      </c>
      <c r="I16" s="92">
        <v>1</v>
      </c>
      <c r="J16" s="92">
        <v>1</v>
      </c>
      <c r="K16" s="92">
        <v>1</v>
      </c>
      <c r="L16" s="92"/>
      <c r="M16" s="92"/>
      <c r="N16" s="367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3:29" x14ac:dyDescent="0.5">
      <c r="C17" s="1" t="s">
        <v>14</v>
      </c>
      <c r="D17" s="88" t="s">
        <v>15</v>
      </c>
      <c r="E17" s="85" cm="1">
        <f t="array" ref="E17">INDEX($G17:$N17,1,$E$4)</f>
        <v>2.39</v>
      </c>
      <c r="G17" s="67">
        <v>2.39</v>
      </c>
      <c r="H17" s="67">
        <v>2.39</v>
      </c>
      <c r="I17" s="67">
        <v>2.39</v>
      </c>
      <c r="J17" s="67">
        <v>2.39</v>
      </c>
      <c r="K17" s="67">
        <v>2.39</v>
      </c>
      <c r="L17" s="67"/>
      <c r="M17" s="67"/>
      <c r="N17" s="6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3:29" x14ac:dyDescent="0.5">
      <c r="C18" s="1" t="s">
        <v>16</v>
      </c>
      <c r="E18" s="83" cm="1">
        <f t="array" ref="E18">INDEX($G18:$N18,1,$E$4)</f>
        <v>0.01</v>
      </c>
      <c r="G18" s="57">
        <v>0.01</v>
      </c>
      <c r="H18" s="57">
        <v>0.01</v>
      </c>
      <c r="I18" s="57">
        <v>0.01</v>
      </c>
      <c r="J18" s="57">
        <v>0.01</v>
      </c>
      <c r="K18" s="57">
        <v>0.01</v>
      </c>
      <c r="L18" s="57"/>
      <c r="M18" s="57"/>
      <c r="N18" s="57"/>
      <c r="P18" s="90"/>
      <c r="Y18" s="90"/>
      <c r="Z18" s="90"/>
      <c r="AA18" s="90"/>
      <c r="AB18" s="90"/>
    </row>
    <row r="19" spans="3:29" x14ac:dyDescent="0.5">
      <c r="C19" s="1" t="s">
        <v>17</v>
      </c>
      <c r="E19" s="83" cm="1">
        <f t="array" ref="E19">INDEX($G19:$N19,1,$E$4)</f>
        <v>0.2</v>
      </c>
      <c r="G19" s="61">
        <v>0.2</v>
      </c>
      <c r="H19" s="61">
        <v>0.2</v>
      </c>
      <c r="I19" s="61">
        <v>0.2</v>
      </c>
      <c r="J19" s="61">
        <v>0.2</v>
      </c>
      <c r="K19" s="61">
        <v>0.2</v>
      </c>
      <c r="L19" s="61"/>
      <c r="M19" s="61"/>
      <c r="N19" s="61"/>
      <c r="P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3:29" x14ac:dyDescent="0.5">
      <c r="P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3:29" x14ac:dyDescent="0.5">
      <c r="C21" s="1" t="s">
        <v>18</v>
      </c>
      <c r="E21" s="93" cm="1">
        <f t="array" ref="E21">INDEX($G21:$N21,1,$E$4)</f>
        <v>1</v>
      </c>
      <c r="G21" s="92">
        <v>1</v>
      </c>
      <c r="H21" s="92">
        <v>1</v>
      </c>
      <c r="I21" s="92">
        <v>1</v>
      </c>
      <c r="J21" s="92">
        <v>1</v>
      </c>
      <c r="K21" s="92">
        <v>1</v>
      </c>
      <c r="L21" s="92"/>
      <c r="M21" s="92"/>
      <c r="N21" s="92"/>
      <c r="P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3:29" x14ac:dyDescent="0.5">
      <c r="C22" s="1" t="s">
        <v>19</v>
      </c>
      <c r="D22" s="88" t="s">
        <v>20</v>
      </c>
      <c r="E22" s="85" cm="1">
        <f t="array" ref="E22">INDEX($G22:$N22,1,$E$4)</f>
        <v>3.0390411611680341</v>
      </c>
      <c r="G22" s="67">
        <v>3.0390411611680341</v>
      </c>
      <c r="H22" s="67">
        <v>3.0390411611680341</v>
      </c>
      <c r="I22" s="67">
        <v>3.0390411611680341</v>
      </c>
      <c r="J22" s="67">
        <v>3.0390411611680341</v>
      </c>
      <c r="K22" s="67">
        <v>3.0390411611680341</v>
      </c>
      <c r="L22" s="67"/>
      <c r="M22" s="67"/>
      <c r="N22" s="6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3:29" x14ac:dyDescent="0.5">
      <c r="C23" s="1" t="s">
        <v>21</v>
      </c>
      <c r="E23" s="83" cm="1">
        <f t="array" ref="E23">INDEX($G23:$N23,1,$E$4)</f>
        <v>0.03</v>
      </c>
      <c r="G23" s="146">
        <v>0.03</v>
      </c>
      <c r="H23" s="146">
        <v>0.03</v>
      </c>
      <c r="I23" s="146">
        <v>0.03</v>
      </c>
      <c r="J23" s="146">
        <v>0.03</v>
      </c>
      <c r="K23" s="146">
        <v>0.03</v>
      </c>
      <c r="L23" s="146"/>
      <c r="M23" s="146"/>
      <c r="N23" s="146"/>
      <c r="P23" s="90"/>
      <c r="Q23"/>
      <c r="R23"/>
      <c r="S23" s="291"/>
      <c r="T23" s="90"/>
      <c r="U23" s="90"/>
      <c r="V23" s="90"/>
      <c r="W23" s="90"/>
      <c r="X23" s="90"/>
      <c r="Y23" s="90"/>
      <c r="Z23" s="90"/>
      <c r="AA23" s="90"/>
      <c r="AB23" s="90"/>
    </row>
    <row r="24" spans="3:29" x14ac:dyDescent="0.5">
      <c r="C24" s="1" t="s">
        <v>22</v>
      </c>
      <c r="D24" s="88" t="s">
        <v>20</v>
      </c>
      <c r="E24" s="60">
        <v>1</v>
      </c>
      <c r="P24" s="90"/>
      <c r="Q24"/>
      <c r="R24"/>
      <c r="S24" s="152">
        <f>+E32</f>
        <v>36835</v>
      </c>
      <c r="T24" s="90"/>
      <c r="U24" s="90"/>
      <c r="V24" s="90"/>
      <c r="W24" s="90"/>
      <c r="X24" s="90"/>
      <c r="Y24" s="90"/>
      <c r="Z24" s="90"/>
      <c r="AA24" s="90"/>
      <c r="AB24" s="90"/>
    </row>
    <row r="25" spans="3:29" x14ac:dyDescent="0.5">
      <c r="P25" s="90"/>
      <c r="Q25"/>
      <c r="R25"/>
      <c r="S25" s="152">
        <f>+Model!E38</f>
        <v>53083.042318568812</v>
      </c>
      <c r="T25" s="90"/>
      <c r="U25" s="90"/>
      <c r="V25" s="90"/>
      <c r="W25" s="90"/>
      <c r="X25" s="90"/>
      <c r="Y25" s="90"/>
      <c r="Z25" s="90"/>
      <c r="AA25" s="90"/>
      <c r="AB25" s="90"/>
    </row>
    <row r="26" spans="3:29" x14ac:dyDescent="0.5">
      <c r="C26" s="1" t="s">
        <v>23</v>
      </c>
      <c r="D26" s="88" t="s">
        <v>24</v>
      </c>
      <c r="E26" s="288" cm="1">
        <f t="array" ref="E26">INDEX($G26:$N26,1,$E$4)</f>
        <v>1000</v>
      </c>
      <c r="G26" s="373">
        <v>1000</v>
      </c>
      <c r="H26" s="373">
        <v>1000</v>
      </c>
      <c r="I26" s="373">
        <v>1000</v>
      </c>
      <c r="J26" s="373">
        <v>1000</v>
      </c>
      <c r="K26" s="373">
        <v>1000</v>
      </c>
      <c r="L26" s="368"/>
      <c r="M26" s="368"/>
      <c r="N26" s="368"/>
      <c r="P26" s="90"/>
      <c r="Q26"/>
      <c r="R26"/>
      <c r="S26" s="153">
        <f>-Model!E59</f>
        <v>12369.017320031468</v>
      </c>
      <c r="T26" s="90"/>
      <c r="U26" s="90"/>
      <c r="V26" s="90"/>
      <c r="W26" s="90"/>
      <c r="X26" s="90"/>
      <c r="Y26" s="90"/>
      <c r="Z26" s="90"/>
      <c r="AA26" s="90"/>
      <c r="AB26" s="90"/>
    </row>
    <row r="27" spans="3:29" x14ac:dyDescent="0.5">
      <c r="E27" s="109"/>
      <c r="P27" s="90"/>
      <c r="Q27"/>
      <c r="R27"/>
      <c r="S27" s="220">
        <f>SUM(S24:S26)</f>
        <v>102287.05963860027</v>
      </c>
      <c r="T27" s="90"/>
      <c r="U27" s="90"/>
      <c r="V27" s="90"/>
      <c r="W27" s="90"/>
      <c r="X27" s="90"/>
      <c r="Y27" s="90"/>
      <c r="Z27" s="90"/>
      <c r="AA27" s="90"/>
      <c r="AB27" s="90"/>
    </row>
    <row r="28" spans="3:29" x14ac:dyDescent="0.5">
      <c r="C28" s="1" t="s">
        <v>25</v>
      </c>
      <c r="E28" s="83" cm="1">
        <f t="array" ref="E28">INDEX($G28:$N28,1,$E$4)</f>
        <v>0.7</v>
      </c>
      <c r="G28" s="61">
        <v>0.7</v>
      </c>
      <c r="H28" s="61">
        <v>0.7</v>
      </c>
      <c r="I28" s="61">
        <v>0.7</v>
      </c>
      <c r="J28" s="61">
        <v>0.7</v>
      </c>
      <c r="K28" s="61">
        <v>0.7</v>
      </c>
      <c r="L28" s="61"/>
      <c r="M28" s="61"/>
      <c r="N28" s="61"/>
      <c r="P28" s="90"/>
      <c r="S28" s="152">
        <f>+S27/20</f>
        <v>5114.3529819300138</v>
      </c>
      <c r="T28" s="90"/>
      <c r="U28" s="90"/>
      <c r="V28" s="90"/>
      <c r="W28" s="90"/>
      <c r="X28" s="90"/>
      <c r="Y28" s="90"/>
      <c r="Z28" s="90"/>
      <c r="AA28" s="90"/>
      <c r="AB28" s="90"/>
    </row>
    <row r="29" spans="3:29" x14ac:dyDescent="0.5">
      <c r="C29" s="1" t="s">
        <v>26</v>
      </c>
      <c r="E29" s="83" cm="1">
        <f t="array" ref="E29">INDEX($G29:$N29,1,$E$4)</f>
        <v>0.9</v>
      </c>
      <c r="G29" s="350">
        <v>0.9</v>
      </c>
      <c r="H29" s="350">
        <v>0.9</v>
      </c>
      <c r="I29" s="350">
        <v>0.9</v>
      </c>
      <c r="J29" s="350">
        <v>0.9</v>
      </c>
      <c r="K29" s="350">
        <v>0.9</v>
      </c>
      <c r="L29" s="350"/>
      <c r="M29" s="61"/>
      <c r="N29" s="61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 spans="3:29" x14ac:dyDescent="0.5">
      <c r="C30" s="1" t="s">
        <v>27</v>
      </c>
      <c r="E30" s="85" cm="1">
        <f t="array" ref="E30">INDEX($G30:$N30,1,$E$4)</f>
        <v>2.82</v>
      </c>
      <c r="G30" s="67">
        <v>2.82</v>
      </c>
      <c r="H30" s="67">
        <v>2.82</v>
      </c>
      <c r="I30" s="67">
        <v>2.82</v>
      </c>
      <c r="J30" s="67">
        <v>2.82</v>
      </c>
      <c r="K30" s="67">
        <v>2.82</v>
      </c>
      <c r="L30" s="67"/>
      <c r="M30" s="67"/>
      <c r="N30" s="6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3:29" x14ac:dyDescent="0.5">
      <c r="C31" s="1" t="s">
        <v>28</v>
      </c>
      <c r="E31" s="63" cm="1">
        <f t="array" ref="E31">INDEX($G31:$N31,1,$E$4)</f>
        <v>1250</v>
      </c>
      <c r="F31" s="88"/>
      <c r="G31" s="377">
        <v>1250</v>
      </c>
      <c r="H31" s="377">
        <v>1250</v>
      </c>
      <c r="I31" s="377">
        <v>1250</v>
      </c>
      <c r="J31" s="377">
        <v>1250</v>
      </c>
      <c r="K31" s="109">
        <v>1250</v>
      </c>
      <c r="L31" s="29"/>
      <c r="M31" s="366"/>
      <c r="N31" s="2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3:29" x14ac:dyDescent="0.5">
      <c r="C32" s="1" t="s">
        <v>29</v>
      </c>
      <c r="E32" s="288" cm="1">
        <f t="array" ref="E32">INDEX($G32:$N32,1,$E$4)</f>
        <v>36835</v>
      </c>
      <c r="F32" s="61"/>
      <c r="G32" s="377">
        <v>36835</v>
      </c>
      <c r="H32" s="377">
        <v>36835</v>
      </c>
      <c r="I32" s="377">
        <v>36835</v>
      </c>
      <c r="J32" s="377">
        <v>36835</v>
      </c>
      <c r="K32" s="377">
        <v>36835</v>
      </c>
      <c r="L32" s="29"/>
      <c r="M32" s="29"/>
      <c r="N32" s="2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spans="3:28" x14ac:dyDescent="0.5">
      <c r="C33" s="1" t="s">
        <v>30</v>
      </c>
      <c r="E33" s="288" cm="1">
        <f t="array" ref="E33">INDEX($G33:$N33,1,$E$4)</f>
        <v>9208.75</v>
      </c>
      <c r="G33" s="377">
        <v>9208.75</v>
      </c>
      <c r="H33" s="377">
        <v>9208.75</v>
      </c>
      <c r="I33" s="377">
        <v>9208.75</v>
      </c>
      <c r="J33" s="377">
        <v>9208.75</v>
      </c>
      <c r="K33" s="377">
        <v>9208.75</v>
      </c>
      <c r="L33" s="29"/>
      <c r="M33" s="29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3:28" x14ac:dyDescent="0.5">
      <c r="C34" s="1" t="s">
        <v>31</v>
      </c>
      <c r="E34" s="288" cm="1">
        <f t="array" ref="E34">INDEX($G34:$N34,1,$E$4)</f>
        <v>51911.25</v>
      </c>
      <c r="G34" s="377">
        <v>51911.25</v>
      </c>
      <c r="H34" s="377">
        <v>51911.25</v>
      </c>
      <c r="I34" s="377">
        <v>51911.25</v>
      </c>
      <c r="J34" s="377">
        <v>51911.25</v>
      </c>
      <c r="K34" s="377">
        <v>51911.25</v>
      </c>
      <c r="L34" s="29"/>
      <c r="M34" s="29"/>
      <c r="N34" s="2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3:28" x14ac:dyDescent="0.5">
      <c r="F35" s="61"/>
      <c r="G35" s="17"/>
      <c r="H35" s="17"/>
      <c r="I35" s="17"/>
      <c r="J35" s="17"/>
      <c r="K35" s="17"/>
      <c r="L35" s="17"/>
      <c r="M35" s="17"/>
      <c r="N35" s="1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 spans="3:28" x14ac:dyDescent="0.5">
      <c r="C36" s="1" t="s">
        <v>32</v>
      </c>
      <c r="D36" s="89"/>
      <c r="E36" s="229">
        <v>46203</v>
      </c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spans="3:28" x14ac:dyDescent="0.5">
      <c r="C37" s="1" t="s">
        <v>33</v>
      </c>
      <c r="D37" s="88">
        <f>YEAR(E37)</f>
        <v>2027</v>
      </c>
      <c r="E37" s="229">
        <f>EOMONTH(E36,16)</f>
        <v>46691</v>
      </c>
      <c r="H37" s="17"/>
      <c r="I37" s="17"/>
      <c r="J37" s="17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spans="3:28" x14ac:dyDescent="0.5">
      <c r="C38" s="1" t="s">
        <v>34</v>
      </c>
      <c r="E38" s="230">
        <f>MEDIAN(E36:E37)</f>
        <v>46447</v>
      </c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spans="3:28" x14ac:dyDescent="0.5">
      <c r="G39" s="29"/>
      <c r="L39" s="29"/>
      <c r="M39" s="29"/>
      <c r="N39" s="29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3:28" x14ac:dyDescent="0.5"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3:28" x14ac:dyDescent="0.5">
      <c r="C41" s="1" t="s">
        <v>35</v>
      </c>
      <c r="E41" s="62">
        <v>11.727</v>
      </c>
      <c r="Q41"/>
      <c r="R41"/>
      <c r="S41"/>
      <c r="T41"/>
      <c r="U41"/>
      <c r="V41"/>
      <c r="W41"/>
      <c r="X41"/>
      <c r="Y41"/>
      <c r="Z41"/>
    </row>
    <row r="42" spans="3:28" x14ac:dyDescent="0.5">
      <c r="D42" s="1"/>
      <c r="Q42"/>
      <c r="R42"/>
      <c r="S42"/>
      <c r="T42"/>
      <c r="U42"/>
      <c r="V42"/>
      <c r="W42"/>
      <c r="X42"/>
      <c r="Y42"/>
      <c r="Z42"/>
    </row>
    <row r="43" spans="3:28" x14ac:dyDescent="0.5">
      <c r="D43" s="1"/>
      <c r="G43" s="17">
        <f t="shared" ref="G43:J43" si="0">+G34-0.25*$E32</f>
        <v>42702.5</v>
      </c>
      <c r="H43" s="17">
        <f t="shared" si="0"/>
        <v>42702.5</v>
      </c>
      <c r="I43" s="17">
        <f t="shared" si="0"/>
        <v>42702.5</v>
      </c>
      <c r="J43" s="17">
        <f t="shared" si="0"/>
        <v>42702.5</v>
      </c>
      <c r="K43" s="17"/>
      <c r="L43" s="17"/>
      <c r="M43" s="17"/>
      <c r="N43" s="17"/>
      <c r="Q43"/>
      <c r="R43"/>
      <c r="S43"/>
      <c r="T43"/>
      <c r="U43"/>
      <c r="V43"/>
      <c r="W43"/>
      <c r="X43"/>
      <c r="Y43"/>
      <c r="Z43"/>
    </row>
    <row r="44" spans="3:28" x14ac:dyDescent="0.5">
      <c r="D44" s="1"/>
    </row>
    <row r="45" spans="3:28" x14ac:dyDescent="0.5">
      <c r="D45" s="1"/>
      <c r="W45" s="7"/>
      <c r="X45" s="7"/>
      <c r="Y45" s="7"/>
    </row>
    <row r="46" spans="3:28" x14ac:dyDescent="0.5">
      <c r="D46" s="1"/>
      <c r="W46" s="7"/>
      <c r="X46" s="7"/>
      <c r="Y46" s="7"/>
    </row>
    <row r="47" spans="3:28" x14ac:dyDescent="0.5">
      <c r="D47" s="1"/>
      <c r="W47" s="7"/>
      <c r="X47" s="7"/>
      <c r="Y47" s="7"/>
    </row>
    <row r="48" spans="3:28" x14ac:dyDescent="0.5">
      <c r="D48" s="1"/>
    </row>
    <row r="49" spans="4:25" x14ac:dyDescent="0.5">
      <c r="D49" s="1"/>
    </row>
    <row r="50" spans="4:25" x14ac:dyDescent="0.5">
      <c r="D50" s="1"/>
    </row>
    <row r="51" spans="4:25" x14ac:dyDescent="0.5">
      <c r="D51" s="1"/>
    </row>
    <row r="52" spans="4:25" x14ac:dyDescent="0.5">
      <c r="D52" s="1"/>
      <c r="W52" s="9"/>
      <c r="Y52" s="9"/>
    </row>
    <row r="53" spans="4:25" x14ac:dyDescent="0.5">
      <c r="D53" s="1"/>
      <c r="W53" s="9"/>
      <c r="Y53" s="9"/>
    </row>
    <row r="54" spans="4:25" x14ac:dyDescent="0.5">
      <c r="D54" s="1"/>
      <c r="W54" s="9"/>
      <c r="Y54" s="9"/>
    </row>
    <row r="55" spans="4:25" x14ac:dyDescent="0.5">
      <c r="D55" s="1"/>
      <c r="W55" s="9"/>
      <c r="Y55" s="9"/>
    </row>
    <row r="56" spans="4:25" x14ac:dyDescent="0.5">
      <c r="D56" s="1"/>
      <c r="W56" s="7"/>
      <c r="Y56" s="7"/>
    </row>
    <row r="68" spans="22:22" x14ac:dyDescent="0.5">
      <c r="V68" s="114"/>
    </row>
    <row r="69" spans="22:22" x14ac:dyDescent="0.5">
      <c r="V69" s="1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26E6-5712-4ECB-9AEF-4100798E186D}">
  <dimension ref="B1:M32"/>
  <sheetViews>
    <sheetView showGridLines="0" zoomScale="90" zoomScaleNormal="90" workbookViewId="0">
      <selection activeCell="D31" sqref="D31"/>
    </sheetView>
  </sheetViews>
  <sheetFormatPr defaultColWidth="9" defaultRowHeight="14.35" x14ac:dyDescent="0.5"/>
  <cols>
    <col min="1" max="1" width="9" style="1"/>
    <col min="2" max="2" width="18.29296875" style="1" customWidth="1"/>
    <col min="3" max="3" width="9" style="1"/>
    <col min="4" max="4" width="9" style="55"/>
    <col min="5" max="5" width="9" style="1"/>
    <col min="6" max="6" width="1.1171875" style="1" customWidth="1"/>
    <col min="7" max="11" width="9" style="1"/>
    <col min="12" max="12" width="1.1171875" style="1" customWidth="1"/>
    <col min="13" max="16384" width="9" style="1"/>
  </cols>
  <sheetData>
    <row r="1" spans="2:13" x14ac:dyDescent="0.5">
      <c r="C1" s="1">
        <f>+INPUTS!E4</f>
        <v>5</v>
      </c>
    </row>
    <row r="3" spans="2:13" ht="15.7" x14ac:dyDescent="0.55000000000000004">
      <c r="B3" s="125" t="s">
        <v>36</v>
      </c>
      <c r="C3" s="126"/>
      <c r="D3" s="127"/>
      <c r="E3" s="128" t="s">
        <v>37</v>
      </c>
      <c r="F3" s="130"/>
      <c r="G3" s="129">
        <v>1</v>
      </c>
      <c r="H3" s="129">
        <v>2</v>
      </c>
      <c r="I3" s="129">
        <v>3</v>
      </c>
      <c r="J3" s="129">
        <v>4</v>
      </c>
      <c r="K3" s="129">
        <v>5</v>
      </c>
      <c r="L3" s="130"/>
      <c r="M3" s="129">
        <v>20</v>
      </c>
    </row>
    <row r="4" spans="2:13" x14ac:dyDescent="0.5">
      <c r="B4" s="1" t="s">
        <v>38</v>
      </c>
      <c r="D4" s="2" t="s">
        <v>7</v>
      </c>
      <c r="E4" s="119"/>
      <c r="F4" s="131"/>
      <c r="G4" s="9">
        <f>+Model!H11</f>
        <v>950</v>
      </c>
      <c r="H4" s="9">
        <f>+Model!I11</f>
        <v>973.12300000000005</v>
      </c>
      <c r="I4" s="9">
        <f>+Model!J11</f>
        <v>996.80881382000007</v>
      </c>
      <c r="J4" s="9">
        <f>+Model!K11</f>
        <v>1021.0711403483789</v>
      </c>
      <c r="K4" s="9">
        <f>+Model!L11</f>
        <v>1045.9240119044584</v>
      </c>
      <c r="L4" s="131"/>
      <c r="M4" s="9">
        <f>+Model!AA11</f>
        <v>1500.2447447993927</v>
      </c>
    </row>
    <row r="5" spans="2:13" x14ac:dyDescent="0.5">
      <c r="B5" s="1" t="s">
        <v>39</v>
      </c>
      <c r="D5" s="2" t="s">
        <v>40</v>
      </c>
      <c r="E5" s="56">
        <f>Model!E17/10^3</f>
        <v>8105.0000000000027</v>
      </c>
      <c r="F5" s="131"/>
      <c r="G5" s="9">
        <f>+Model!H17/10^3</f>
        <v>319.40093192511341</v>
      </c>
      <c r="H5" s="9">
        <f>+Model!I17/10^3</f>
        <v>327.17515060817072</v>
      </c>
      <c r="I5" s="9">
        <f>+Model!J17/10^3</f>
        <v>335.13859377397358</v>
      </c>
      <c r="J5" s="9">
        <f>+Model!K17/10^3</f>
        <v>343.29586714643216</v>
      </c>
      <c r="K5" s="9">
        <f>+Model!L17/10^3</f>
        <v>351.65168855277636</v>
      </c>
      <c r="L5" s="131"/>
      <c r="M5" s="9">
        <f>+Model!AA17/10^3</f>
        <v>504.39954695229488</v>
      </c>
    </row>
    <row r="6" spans="2:13" x14ac:dyDescent="0.5">
      <c r="E6" s="119"/>
    </row>
    <row r="7" spans="2:13" x14ac:dyDescent="0.5">
      <c r="B7" s="1" t="s">
        <v>41</v>
      </c>
      <c r="E7" s="56">
        <f>+Model!E28/10^3</f>
        <v>299.56480671951698</v>
      </c>
      <c r="G7" s="115">
        <f>+Model!H28/10^3</f>
        <v>9.9706694816803498</v>
      </c>
      <c r="H7" s="115">
        <f>+Model!I28/10^3</f>
        <v>10.404666358263972</v>
      </c>
      <c r="I7" s="115">
        <f>+Model!J28/10^3</f>
        <v>10.970996703381591</v>
      </c>
      <c r="J7" s="115">
        <f>+Model!K28/10^3</f>
        <v>11.739648458410038</v>
      </c>
      <c r="K7" s="115">
        <f>+Model!L28/10^3</f>
        <v>12.281461954536436</v>
      </c>
      <c r="M7" s="115">
        <f>+Model!AA28/10^3</f>
        <v>21.754387467592831</v>
      </c>
    </row>
    <row r="8" spans="2:13" x14ac:dyDescent="0.5">
      <c r="B8" s="1" t="s">
        <v>42</v>
      </c>
      <c r="E8" s="56">
        <f>+Model!E29/10^3</f>
        <v>-59.91296134390339</v>
      </c>
      <c r="G8" s="115">
        <f>+Model!H29/10^3</f>
        <v>-1.9941338963360702</v>
      </c>
      <c r="H8" s="115">
        <f>+Model!I29/10^3</f>
        <v>-2.0809332716527948</v>
      </c>
      <c r="I8" s="115">
        <f>+Model!J29/10^3</f>
        <v>-2.1941993406763181</v>
      </c>
      <c r="J8" s="115">
        <f>+Model!K29/10^3</f>
        <v>-2.3479296916820078</v>
      </c>
      <c r="K8" s="115">
        <f>+Model!L29/10^3</f>
        <v>-2.4562923909072873</v>
      </c>
      <c r="M8" s="115">
        <f>+Model!AA29/10^3</f>
        <v>-4.3508774935185661</v>
      </c>
    </row>
    <row r="9" spans="2:13" x14ac:dyDescent="0.5">
      <c r="B9" s="1" t="s">
        <v>43</v>
      </c>
      <c r="E9" s="56">
        <f>+Model!E30/10^3</f>
        <v>34.481019270297217</v>
      </c>
      <c r="G9" s="115">
        <f>+Model!H30/10^3</f>
        <v>1.0648827070383284</v>
      </c>
      <c r="H9" s="115">
        <f>+Model!I30/10^3</f>
        <v>1.0695355673381102</v>
      </c>
      <c r="I9" s="115">
        <f>+Model!J30/10^3</f>
        <v>1.12588972731882</v>
      </c>
      <c r="J9" s="115">
        <f>+Model!K30/10^3</f>
        <v>1.1851300692013353</v>
      </c>
      <c r="K9" s="115">
        <f>+Model!L30/10^3</f>
        <v>1.2474024907376751</v>
      </c>
      <c r="M9" s="115">
        <f>+Model!AA30/10^3</f>
        <v>2.670495432629199</v>
      </c>
    </row>
    <row r="10" spans="2:13" x14ac:dyDescent="0.5">
      <c r="B10" s="22" t="s">
        <v>44</v>
      </c>
      <c r="C10" s="22"/>
      <c r="D10" s="4" t="s">
        <v>45</v>
      </c>
      <c r="E10" s="120">
        <f>SUM(E7:E9)</f>
        <v>274.13286464591079</v>
      </c>
      <c r="F10" s="117"/>
      <c r="G10" s="116">
        <f>SUM(G7:G9)</f>
        <v>9.041418292382609</v>
      </c>
      <c r="H10" s="116">
        <f t="shared" ref="H10:M10" si="0">SUM(H7:H9)</f>
        <v>9.3932686539492884</v>
      </c>
      <c r="I10" s="116">
        <f t="shared" si="0"/>
        <v>9.9026870900240915</v>
      </c>
      <c r="J10" s="116">
        <f t="shared" si="0"/>
        <v>10.576848835929365</v>
      </c>
      <c r="K10" s="116">
        <f t="shared" si="0"/>
        <v>11.072572054366825</v>
      </c>
      <c r="L10" s="117">
        <f t="shared" si="0"/>
        <v>0</v>
      </c>
      <c r="M10" s="116">
        <f t="shared" si="0"/>
        <v>20.074005406703463</v>
      </c>
    </row>
    <row r="11" spans="2:13" x14ac:dyDescent="0.5">
      <c r="D11" s="2" t="s">
        <v>20</v>
      </c>
      <c r="E11" s="105">
        <f>+E10*10^3/E$5</f>
        <v>33.822685335707675</v>
      </c>
      <c r="F11" s="105"/>
      <c r="G11" s="105">
        <f>+G10*10^3/G$5</f>
        <v>28.307426148970833</v>
      </c>
      <c r="H11" s="105">
        <f t="shared" ref="H11:M11" si="1">+H10*10^3/H$5</f>
        <v>28.710214197161907</v>
      </c>
      <c r="I11" s="105">
        <f t="shared" si="1"/>
        <v>29.548035570927794</v>
      </c>
      <c r="J11" s="105">
        <f t="shared" si="1"/>
        <v>30.809717937611612</v>
      </c>
      <c r="K11" s="105">
        <f t="shared" si="1"/>
        <v>31.487327986212808</v>
      </c>
      <c r="L11" s="105"/>
      <c r="M11" s="105">
        <f t="shared" si="1"/>
        <v>39.797826005188753</v>
      </c>
    </row>
    <row r="12" spans="2:13" x14ac:dyDescent="0.5">
      <c r="D12" s="2"/>
      <c r="E12" s="119"/>
    </row>
    <row r="13" spans="2:13" x14ac:dyDescent="0.5">
      <c r="B13" s="1" t="s">
        <v>46</v>
      </c>
      <c r="E13" s="56">
        <f>+Model!E34/10^3</f>
        <v>17.416657575523953</v>
      </c>
      <c r="F13" s="132"/>
      <c r="G13" s="115">
        <f>+Model!H34/10^3</f>
        <v>0.52701153767643727</v>
      </c>
      <c r="H13" s="115">
        <f>+Model!I34/10^3</f>
        <v>0.55333497346606864</v>
      </c>
      <c r="I13" s="115">
        <f>+Model!J34/10^3</f>
        <v>0.58097322538823859</v>
      </c>
      <c r="J13" s="115">
        <f>+Model!K34/10^3</f>
        <v>0.6099919665365432</v>
      </c>
      <c r="K13" s="115">
        <f>+Model!L34/10^3</f>
        <v>0.64046015027709358</v>
      </c>
      <c r="L13" s="132"/>
      <c r="M13" s="115">
        <f>+Model!AA34/10^3</f>
        <v>1.3304914084714579</v>
      </c>
    </row>
    <row r="14" spans="2:13" x14ac:dyDescent="0.5">
      <c r="B14" s="1" t="s">
        <v>47</v>
      </c>
      <c r="E14" s="56">
        <f>+Model!E35/10^3</f>
        <v>8.9722175389062802</v>
      </c>
      <c r="F14" s="132"/>
      <c r="G14" s="115">
        <f>+Model!H35/10^3</f>
        <v>0.27149079213634636</v>
      </c>
      <c r="H14" s="115">
        <f>+Model!I35/10^3</f>
        <v>0.28505134996736869</v>
      </c>
      <c r="I14" s="115">
        <f>+Model!J35/10^3</f>
        <v>0.29928923732121382</v>
      </c>
      <c r="J14" s="115">
        <f>+Model!K35/10^3</f>
        <v>0.31423828579155255</v>
      </c>
      <c r="K14" s="115">
        <f>+Model!L35/10^3</f>
        <v>0.32993401680941187</v>
      </c>
      <c r="L14" s="132"/>
      <c r="M14" s="115">
        <f>+Model!AA35/10^3</f>
        <v>0.68540466497014496</v>
      </c>
    </row>
    <row r="15" spans="2:13" x14ac:dyDescent="0.5">
      <c r="B15" s="1" t="s">
        <v>48</v>
      </c>
      <c r="E15" s="56">
        <f>+Model!E36/10^3</f>
        <v>5.1089315223231733</v>
      </c>
      <c r="F15" s="132"/>
      <c r="G15" s="115">
        <f>+Model!H36/10^3</f>
        <v>0.2</v>
      </c>
      <c r="H15" s="115">
        <f>+Model!I36/10^3</f>
        <v>0.20499999999999996</v>
      </c>
      <c r="I15" s="115">
        <f>+Model!J36/10^3</f>
        <v>0.21012499999999998</v>
      </c>
      <c r="J15" s="115">
        <f>+Model!K36/10^3</f>
        <v>0.21537812499999998</v>
      </c>
      <c r="K15" s="115">
        <f>+Model!L36/10^3</f>
        <v>0.22076257812499994</v>
      </c>
      <c r="L15" s="132"/>
      <c r="M15" s="115">
        <f>+Model!AA36/10^3</f>
        <v>0.31973003712983306</v>
      </c>
    </row>
    <row r="16" spans="2:13" x14ac:dyDescent="0.5">
      <c r="B16" s="1" t="s">
        <v>49</v>
      </c>
      <c r="E16" s="56">
        <f>+Model!E37/10^3</f>
        <v>21.585235681815405</v>
      </c>
      <c r="F16" s="132"/>
      <c r="G16" s="115">
        <f>+Model!H37/10^3</f>
        <v>0.84499999999999997</v>
      </c>
      <c r="H16" s="115">
        <f>+Model!I37/10^3</f>
        <v>0.86612499999999992</v>
      </c>
      <c r="I16" s="115">
        <f>+Model!J37/10^3</f>
        <v>0.88777812499999997</v>
      </c>
      <c r="J16" s="115">
        <f>+Model!K37/10^3</f>
        <v>0.90997257812499988</v>
      </c>
      <c r="K16" s="115">
        <f>+Model!L37/10^3</f>
        <v>0.93272189257812477</v>
      </c>
      <c r="L16" s="132"/>
      <c r="M16" s="115">
        <f>+Model!AA37/10^3</f>
        <v>1.3508594068735447</v>
      </c>
    </row>
    <row r="17" spans="2:13" x14ac:dyDescent="0.5">
      <c r="B17" s="22" t="s">
        <v>50</v>
      </c>
      <c r="C17" s="22"/>
      <c r="D17" s="4" t="s">
        <v>45</v>
      </c>
      <c r="E17" s="120">
        <f>+Model!E38/10^3</f>
        <v>53.083042318568815</v>
      </c>
      <c r="F17" s="23"/>
      <c r="G17" s="116">
        <f>SUM(G13:G16)</f>
        <v>1.8435023298127835</v>
      </c>
      <c r="H17" s="116">
        <f t="shared" ref="H17:M17" si="2">SUM(H13:H16)</f>
        <v>1.9095113234334371</v>
      </c>
      <c r="I17" s="116">
        <f t="shared" si="2"/>
        <v>1.9781655877094524</v>
      </c>
      <c r="J17" s="116">
        <f t="shared" si="2"/>
        <v>2.0495809554530959</v>
      </c>
      <c r="K17" s="116">
        <f t="shared" si="2"/>
        <v>2.1238786377896304</v>
      </c>
      <c r="L17" s="23"/>
      <c r="M17" s="116">
        <f t="shared" si="2"/>
        <v>3.6864855174449804</v>
      </c>
    </row>
    <row r="18" spans="2:13" x14ac:dyDescent="0.5">
      <c r="D18" s="2" t="s">
        <v>20</v>
      </c>
      <c r="E18" s="105">
        <f>+E17*10^3/E$5</f>
        <v>6.5494191633027503</v>
      </c>
      <c r="F18" s="105"/>
      <c r="G18" s="105">
        <f>+G17*10^3/G$5</f>
        <v>5.7717500030494904</v>
      </c>
      <c r="H18" s="105">
        <f>+H17*10^3/H$5</f>
        <v>5.836358048231765</v>
      </c>
      <c r="I18" s="105">
        <f>+I17*10^3/I$5</f>
        <v>5.9025299516640573</v>
      </c>
      <c r="J18" s="105">
        <f>+J17*10^3/J$5</f>
        <v>5.9703047767215081</v>
      </c>
      <c r="K18" s="105">
        <f>+K17*10^3/K$5</f>
        <v>6.0397225633423224</v>
      </c>
      <c r="L18" s="105"/>
      <c r="M18" s="105">
        <f>+M17*10^3/M$5</f>
        <v>7.3086614365925291</v>
      </c>
    </row>
    <row r="19" spans="2:13" x14ac:dyDescent="0.5">
      <c r="E19" s="119"/>
    </row>
    <row r="20" spans="2:13" x14ac:dyDescent="0.5">
      <c r="B20" s="1" t="s">
        <v>51</v>
      </c>
      <c r="D20" s="88" t="s">
        <v>52</v>
      </c>
      <c r="E20" s="119"/>
    </row>
    <row r="21" spans="2:13" x14ac:dyDescent="0.5">
      <c r="B21" s="42" t="s">
        <v>53</v>
      </c>
      <c r="D21" s="103">
        <f>+Model!D46</f>
        <v>0.7</v>
      </c>
      <c r="E21" s="119"/>
      <c r="F21" s="132"/>
      <c r="G21" s="115">
        <f>+Model!H45/10^3</f>
        <v>4.1436682923826087</v>
      </c>
      <c r="H21" s="115">
        <f>+Model!I45/10^3</f>
        <v>4.4955186539492882</v>
      </c>
      <c r="I21" s="115">
        <f>+Model!J45/10^3</f>
        <v>5.0049370900240922</v>
      </c>
      <c r="J21" s="115">
        <f>+Model!K45/10^3</f>
        <v>5.6790988359293664</v>
      </c>
      <c r="K21" s="115">
        <f>+Model!L45/10^3</f>
        <v>6.1748220543668246</v>
      </c>
      <c r="L21" s="132"/>
      <c r="M21" s="115">
        <f>+Model!AA45/10^3</f>
        <v>15.176255406703465</v>
      </c>
    </row>
    <row r="22" spans="2:13" x14ac:dyDescent="0.5">
      <c r="B22" s="42" t="s">
        <v>54</v>
      </c>
      <c r="D22" s="103">
        <v>0.9</v>
      </c>
      <c r="E22" s="119"/>
      <c r="F22" s="132"/>
      <c r="G22" s="115">
        <f>+Model!H50/10^3</f>
        <v>0</v>
      </c>
      <c r="H22" s="115">
        <f>+Model!I50/10^3</f>
        <v>0</v>
      </c>
      <c r="I22" s="115">
        <f>+Model!J50/10^3</f>
        <v>0</v>
      </c>
      <c r="J22" s="115">
        <f>+Model!K50/10^3</f>
        <v>0</v>
      </c>
      <c r="K22" s="115">
        <f>+Model!L50/10^3</f>
        <v>0</v>
      </c>
      <c r="L22" s="132"/>
      <c r="M22" s="115">
        <f>+Model!AA50/10^3</f>
        <v>0.5062878139618131</v>
      </c>
    </row>
    <row r="23" spans="2:13" x14ac:dyDescent="0.5">
      <c r="B23" s="22" t="s">
        <v>55</v>
      </c>
      <c r="C23" s="22"/>
      <c r="D23" s="4" t="s">
        <v>45</v>
      </c>
      <c r="E23" s="120">
        <f>+Model!D52/10^3</f>
        <v>125.28607691976697</v>
      </c>
      <c r="F23" s="23"/>
      <c r="G23" s="116">
        <f>MAX(2,SUMPRODUCT(G21:G22,$D$21:$D$22))</f>
        <v>2.9005678046678258</v>
      </c>
      <c r="H23" s="116">
        <f t="shared" ref="H23:K23" si="3">MAX(2,SUMPRODUCT(H21:H22,$D$21:$D$22))</f>
        <v>3.1468630577645014</v>
      </c>
      <c r="I23" s="116">
        <f t="shared" si="3"/>
        <v>3.5034559630168642</v>
      </c>
      <c r="J23" s="116">
        <f t="shared" si="3"/>
        <v>3.9753691851505564</v>
      </c>
      <c r="K23" s="116">
        <f t="shared" si="3"/>
        <v>4.3223754380567767</v>
      </c>
      <c r="L23" s="23"/>
      <c r="M23" s="116">
        <f>SUMPRODUCT(M21:M22,$D$21:$D$22)</f>
        <v>11.079037817258058</v>
      </c>
    </row>
    <row r="24" spans="2:13" x14ac:dyDescent="0.5">
      <c r="D24" s="2" t="s">
        <v>20</v>
      </c>
      <c r="E24" s="105">
        <f>+E23*10^3/E$5</f>
        <v>15.457875005523372</v>
      </c>
      <c r="F24" s="105"/>
      <c r="G24" s="105">
        <f>+G23*10^3/G$5</f>
        <v>9.0812753337485308</v>
      </c>
      <c r="H24" s="105">
        <f>+H23*10^3/H$5</f>
        <v>9.6182825985254183</v>
      </c>
      <c r="I24" s="105">
        <f>+I23*10^3/I$5</f>
        <v>10.453752650700947</v>
      </c>
      <c r="J24" s="105">
        <f>+J23*10^3/J$5</f>
        <v>11.580008865806912</v>
      </c>
      <c r="K24" s="105">
        <f>+K23*10^3/K$5</f>
        <v>12.291638512658725</v>
      </c>
      <c r="L24" s="105"/>
      <c r="M24" s="105">
        <f>+M23*10^3/M$5</f>
        <v>21.964805250520758</v>
      </c>
    </row>
    <row r="25" spans="2:13" x14ac:dyDescent="0.5">
      <c r="E25" s="119"/>
    </row>
    <row r="26" spans="2:13" x14ac:dyDescent="0.5">
      <c r="B26" s="23" t="s">
        <v>56</v>
      </c>
      <c r="E26" s="118">
        <f>Model!E58/10^3</f>
        <v>95.763745407575016</v>
      </c>
      <c r="F26" s="117"/>
      <c r="G26" s="117">
        <f>+G10-G17-G23</f>
        <v>4.2973481579020003</v>
      </c>
      <c r="H26" s="117">
        <f>+H10-H17-H23</f>
        <v>4.3368942727513504</v>
      </c>
      <c r="I26" s="117">
        <f>+I10-I17-I23</f>
        <v>4.4210655392977749</v>
      </c>
      <c r="J26" s="117">
        <f>+J10-J17-J23</f>
        <v>4.551898695325713</v>
      </c>
      <c r="K26" s="117">
        <f>+K10-K17-K23</f>
        <v>4.6263179785204178</v>
      </c>
      <c r="L26" s="117"/>
      <c r="M26" s="117">
        <f>+Model!AA58/10^3</f>
        <v>5.2578532906042472</v>
      </c>
    </row>
    <row r="27" spans="2:13" x14ac:dyDescent="0.5">
      <c r="B27" s="23" t="s">
        <v>57</v>
      </c>
      <c r="E27" s="118">
        <f>Model!E57/10^3</f>
        <v>-36.835000000000001</v>
      </c>
    </row>
    <row r="28" spans="2:13" x14ac:dyDescent="0.5">
      <c r="B28" s="23" t="s">
        <v>58</v>
      </c>
      <c r="E28" s="118">
        <f>Model!E60/10^3</f>
        <v>12.965919999999999</v>
      </c>
    </row>
    <row r="29" spans="2:13" x14ac:dyDescent="0.5">
      <c r="B29" s="23" t="s">
        <v>59</v>
      </c>
      <c r="C29" s="23"/>
      <c r="D29" s="36"/>
      <c r="E29" s="118">
        <f>Model!E59/10^3</f>
        <v>-12.369017320031467</v>
      </c>
    </row>
    <row r="31" spans="2:13" x14ac:dyDescent="0.5">
      <c r="B31" s="23" t="s">
        <v>60</v>
      </c>
      <c r="C31" s="23"/>
      <c r="D31" s="36"/>
      <c r="E31" s="121">
        <f>+Model!D63</f>
        <v>0.15111439824104311</v>
      </c>
    </row>
    <row r="32" spans="2:13" x14ac:dyDescent="0.5">
      <c r="B32" s="23" t="s">
        <v>61</v>
      </c>
      <c r="E32" s="122">
        <f>-SUM(E27:E28)/I26</f>
        <v>5.3989428086585836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DC8A-CC8E-411A-A427-E9D29002AD96}">
  <sheetPr>
    <tabColor rgb="FF00B050"/>
  </sheetPr>
  <dimension ref="A3:AA99"/>
  <sheetViews>
    <sheetView showGridLines="0" tabSelected="1" topLeftCell="A4" zoomScale="80" zoomScaleNormal="80" workbookViewId="0">
      <pane xSplit="6" ySplit="7" topLeftCell="G50" activePane="bottomRight" state="frozen"/>
      <selection pane="topRight" activeCell="G4" sqref="G4"/>
      <selection pane="bottomLeft" activeCell="A11" sqref="A11"/>
      <selection pane="bottomRight" activeCell="I11" sqref="I11"/>
    </sheetView>
  </sheetViews>
  <sheetFormatPr defaultColWidth="9" defaultRowHeight="14.35" outlineLevelRow="1" outlineLevelCol="1" x14ac:dyDescent="0.5"/>
  <cols>
    <col min="1" max="1" width="10.1171875" style="1" bestFit="1" customWidth="1"/>
    <col min="2" max="2" width="9.703125" style="1" bestFit="1" customWidth="1"/>
    <col min="3" max="3" width="45.703125" style="1" bestFit="1" customWidth="1"/>
    <col min="4" max="4" width="10.703125" style="2" bestFit="1" customWidth="1"/>
    <col min="5" max="5" width="10.703125" style="1" bestFit="1" customWidth="1"/>
    <col min="6" max="6" width="1.41015625" style="1" customWidth="1"/>
    <col min="7" max="7" width="10.29296875" style="1" customWidth="1"/>
    <col min="8" max="8" width="10.41015625" style="1" bestFit="1" customWidth="1"/>
    <col min="9" max="13" width="10.29296875" style="1" customWidth="1"/>
    <col min="14" max="14" width="10.41015625" style="1" bestFit="1" customWidth="1"/>
    <col min="15" max="17" width="10.29296875" style="1" customWidth="1"/>
    <col min="18" max="27" width="10.29296875" style="1" customWidth="1" outlineLevel="1"/>
    <col min="28" max="16384" width="9" style="1"/>
  </cols>
  <sheetData>
    <row r="3" spans="3:27" x14ac:dyDescent="0.5">
      <c r="C3" s="1" t="s">
        <v>32</v>
      </c>
      <c r="E3" s="34">
        <v>46203</v>
      </c>
    </row>
    <row r="4" spans="3:27" x14ac:dyDescent="0.5">
      <c r="I4" s="114"/>
      <c r="J4" s="114"/>
      <c r="K4" s="114"/>
    </row>
    <row r="6" spans="3:27" x14ac:dyDescent="0.5">
      <c r="H6" s="2" cm="1">
        <f t="array" ref="H6:AA6">_xlfn.SEQUENCE(1,20,0,1)</f>
        <v>0</v>
      </c>
      <c r="I6" s="2">
        <v>1</v>
      </c>
      <c r="J6" s="2">
        <v>2</v>
      </c>
      <c r="K6" s="2">
        <v>3</v>
      </c>
      <c r="L6" s="2">
        <v>4</v>
      </c>
      <c r="M6" s="2">
        <v>5</v>
      </c>
      <c r="N6" s="2">
        <v>6</v>
      </c>
      <c r="O6" s="2">
        <v>7</v>
      </c>
      <c r="P6" s="2">
        <v>8</v>
      </c>
      <c r="Q6" s="2">
        <v>9</v>
      </c>
      <c r="R6" s="2">
        <v>10</v>
      </c>
      <c r="S6" s="2">
        <v>11</v>
      </c>
      <c r="T6" s="2">
        <v>12</v>
      </c>
      <c r="U6" s="2">
        <v>13</v>
      </c>
      <c r="V6" s="2">
        <v>14</v>
      </c>
      <c r="W6" s="2">
        <v>15</v>
      </c>
      <c r="X6" s="2">
        <v>16</v>
      </c>
      <c r="Y6" s="2">
        <v>17</v>
      </c>
      <c r="Z6" s="2">
        <v>18</v>
      </c>
      <c r="AA6" s="2">
        <v>19</v>
      </c>
    </row>
    <row r="7" spans="3:27" x14ac:dyDescent="0.5">
      <c r="C7" s="1" t="s">
        <v>62</v>
      </c>
      <c r="D7" s="2">
        <f>+INPUTS!E4</f>
        <v>5</v>
      </c>
      <c r="H7" s="2">
        <f>YEAR(H9)</f>
        <v>2028</v>
      </c>
      <c r="I7" s="2">
        <f t="shared" ref="I7:AA7" si="0">YEAR(I9)</f>
        <v>2029</v>
      </c>
      <c r="J7" s="2">
        <f t="shared" si="0"/>
        <v>2030</v>
      </c>
      <c r="K7" s="2">
        <f t="shared" si="0"/>
        <v>2031</v>
      </c>
      <c r="L7" s="2">
        <f t="shared" si="0"/>
        <v>2032</v>
      </c>
      <c r="M7" s="2">
        <f t="shared" si="0"/>
        <v>2033</v>
      </c>
      <c r="N7" s="2">
        <f t="shared" si="0"/>
        <v>2034</v>
      </c>
      <c r="O7" s="2">
        <f t="shared" si="0"/>
        <v>2035</v>
      </c>
      <c r="P7" s="2">
        <f t="shared" si="0"/>
        <v>2036</v>
      </c>
      <c r="Q7" s="2">
        <f t="shared" si="0"/>
        <v>2037</v>
      </c>
      <c r="R7" s="2">
        <f t="shared" si="0"/>
        <v>2038</v>
      </c>
      <c r="S7" s="2">
        <f t="shared" si="0"/>
        <v>2039</v>
      </c>
      <c r="T7" s="2">
        <f t="shared" si="0"/>
        <v>2040</v>
      </c>
      <c r="U7" s="2">
        <f t="shared" si="0"/>
        <v>2041</v>
      </c>
      <c r="V7" s="2">
        <f t="shared" si="0"/>
        <v>2042</v>
      </c>
      <c r="W7" s="2">
        <f t="shared" si="0"/>
        <v>2043</v>
      </c>
      <c r="X7" s="2">
        <f t="shared" si="0"/>
        <v>2044</v>
      </c>
      <c r="Y7" s="2">
        <f t="shared" si="0"/>
        <v>2045</v>
      </c>
      <c r="Z7" s="2">
        <f t="shared" si="0"/>
        <v>2046</v>
      </c>
      <c r="AA7" s="2">
        <f t="shared" si="0"/>
        <v>2047</v>
      </c>
    </row>
    <row r="8" spans="3:27" x14ac:dyDescent="0.5">
      <c r="C8" s="1" t="s">
        <v>60</v>
      </c>
      <c r="D8" s="221">
        <f>+D63</f>
        <v>0.15111439824104311</v>
      </c>
      <c r="H8" s="35">
        <v>1</v>
      </c>
      <c r="I8" s="35">
        <f>H8*(1+INPUTS!$E$6)</f>
        <v>1.0249999999999999</v>
      </c>
      <c r="J8" s="35">
        <f>I8*(1+INPUTS!$E$6)</f>
        <v>1.0506249999999999</v>
      </c>
      <c r="K8" s="35">
        <f>J8*(1+INPUTS!$E$6)</f>
        <v>1.0768906249999999</v>
      </c>
      <c r="L8" s="35">
        <f>K8*(1+INPUTS!$E$6)</f>
        <v>1.1038128906249998</v>
      </c>
      <c r="M8" s="35">
        <f>L8*(1+INPUTS!$E$6)</f>
        <v>1.1314082128906247</v>
      </c>
      <c r="N8" s="35">
        <f>M8*(1+INPUTS!$E$6)</f>
        <v>1.1596934182128902</v>
      </c>
      <c r="O8" s="35">
        <f>N8*(1+INPUTS!$E$6)</f>
        <v>1.1886857536682123</v>
      </c>
      <c r="P8" s="35">
        <f>O8*(1+INPUTS!$E$6)</f>
        <v>1.2184028975099175</v>
      </c>
      <c r="Q8" s="35">
        <f>P8*(1+INPUTS!$E$6)</f>
        <v>1.2488629699476652</v>
      </c>
      <c r="R8" s="35">
        <f>Q8*(1+INPUTS!$E$6)</f>
        <v>1.2800845441963566</v>
      </c>
      <c r="S8" s="35">
        <f>R8*(1+INPUTS!$E$6)</f>
        <v>1.3120866578012655</v>
      </c>
      <c r="T8" s="35">
        <f>S8*(1+INPUTS!$E$6)</f>
        <v>1.3448888242462971</v>
      </c>
      <c r="U8" s="35">
        <f>T8*(1+INPUTS!$E$6)</f>
        <v>1.3785110448524545</v>
      </c>
      <c r="V8" s="35">
        <f>U8*(1+INPUTS!$E$6)</f>
        <v>1.4129738209737657</v>
      </c>
      <c r="W8" s="35">
        <f>V8*(1+INPUTS!$E$6)</f>
        <v>1.4482981664981096</v>
      </c>
      <c r="X8" s="35">
        <f>W8*(1+INPUTS!$E$6)</f>
        <v>1.4845056206605622</v>
      </c>
      <c r="Y8" s="35">
        <f>X8*(1+INPUTS!$E$6)</f>
        <v>1.5216182611770761</v>
      </c>
      <c r="Z8" s="35">
        <f>Y8*(1+INPUTS!$E$6)</f>
        <v>1.5596587177065029</v>
      </c>
      <c r="AA8" s="35">
        <f>Z8*(1+INPUTS!$E$6)</f>
        <v>1.5986501856491653</v>
      </c>
    </row>
    <row r="9" spans="3:27" x14ac:dyDescent="0.5">
      <c r="G9" s="26">
        <f>+INPUTS!E38</f>
        <v>46447</v>
      </c>
      <c r="H9" s="26">
        <f>EOMONTH(INPUTS!E37,6)</f>
        <v>46873</v>
      </c>
      <c r="I9" s="26">
        <f>EOMONTH(H9,12)</f>
        <v>47238</v>
      </c>
      <c r="J9" s="26">
        <f t="shared" ref="J9:AA9" si="1">EOMONTH(I9,12)</f>
        <v>47603</v>
      </c>
      <c r="K9" s="26">
        <f t="shared" si="1"/>
        <v>47968</v>
      </c>
      <c r="L9" s="26">
        <f t="shared" si="1"/>
        <v>48334</v>
      </c>
      <c r="M9" s="26">
        <f t="shared" si="1"/>
        <v>48699</v>
      </c>
      <c r="N9" s="26">
        <f t="shared" si="1"/>
        <v>49064</v>
      </c>
      <c r="O9" s="26">
        <f t="shared" si="1"/>
        <v>49429</v>
      </c>
      <c r="P9" s="26">
        <f t="shared" si="1"/>
        <v>49795</v>
      </c>
      <c r="Q9" s="26">
        <f t="shared" si="1"/>
        <v>50160</v>
      </c>
      <c r="R9" s="26">
        <f t="shared" si="1"/>
        <v>50525</v>
      </c>
      <c r="S9" s="26">
        <f t="shared" si="1"/>
        <v>50890</v>
      </c>
      <c r="T9" s="26">
        <f t="shared" si="1"/>
        <v>51256</v>
      </c>
      <c r="U9" s="26">
        <f t="shared" si="1"/>
        <v>51621</v>
      </c>
      <c r="V9" s="26">
        <f t="shared" si="1"/>
        <v>51986</v>
      </c>
      <c r="W9" s="26">
        <f t="shared" si="1"/>
        <v>52351</v>
      </c>
      <c r="X9" s="26">
        <f t="shared" si="1"/>
        <v>52717</v>
      </c>
      <c r="Y9" s="26">
        <f t="shared" si="1"/>
        <v>53082</v>
      </c>
      <c r="Z9" s="26">
        <f t="shared" si="1"/>
        <v>53447</v>
      </c>
      <c r="AA9" s="26">
        <f t="shared" si="1"/>
        <v>53812</v>
      </c>
    </row>
    <row r="10" spans="3:27" x14ac:dyDescent="0.5">
      <c r="C10" s="24" t="s">
        <v>63</v>
      </c>
      <c r="G10" s="36" t="s">
        <v>64</v>
      </c>
      <c r="H10" s="36" t="s">
        <v>65</v>
      </c>
      <c r="I10" s="36" t="s">
        <v>66</v>
      </c>
      <c r="J10" s="36" t="s">
        <v>67</v>
      </c>
      <c r="K10" s="36" t="s">
        <v>68</v>
      </c>
      <c r="L10" s="36" t="s">
        <v>69</v>
      </c>
      <c r="M10" s="36" t="s">
        <v>70</v>
      </c>
      <c r="N10" s="36" t="s">
        <v>71</v>
      </c>
      <c r="O10" s="36" t="s">
        <v>72</v>
      </c>
      <c r="P10" s="36" t="s">
        <v>73</v>
      </c>
      <c r="Q10" s="36" t="s">
        <v>74</v>
      </c>
      <c r="R10" s="36" t="s">
        <v>75</v>
      </c>
      <c r="S10" s="36" t="s">
        <v>76</v>
      </c>
      <c r="T10" s="36" t="s">
        <v>77</v>
      </c>
      <c r="U10" s="36" t="s">
        <v>78</v>
      </c>
      <c r="V10" s="36" t="s">
        <v>79</v>
      </c>
      <c r="W10" s="36" t="s">
        <v>80</v>
      </c>
      <c r="X10" s="36" t="s">
        <v>81</v>
      </c>
      <c r="Y10" s="36" t="s">
        <v>82</v>
      </c>
      <c r="Z10" s="36" t="s">
        <v>83</v>
      </c>
      <c r="AA10" s="36" t="s">
        <v>84</v>
      </c>
    </row>
    <row r="11" spans="3:27" x14ac:dyDescent="0.5">
      <c r="C11" s="3" t="s">
        <v>85</v>
      </c>
      <c r="D11" s="4" t="s">
        <v>7</v>
      </c>
      <c r="E11" s="3"/>
      <c r="G11" s="3"/>
      <c r="H11" s="5">
        <f>INPUTS!E8</f>
        <v>950</v>
      </c>
      <c r="I11" s="6">
        <f>H11*(1+INPUTS!$E$9)</f>
        <v>973.12300000000005</v>
      </c>
      <c r="J11" s="6">
        <f>I11*(1+INPUTS!$E$9)</f>
        <v>996.80881382000007</v>
      </c>
      <c r="K11" s="6">
        <f>J11*(1+INPUTS!$E$9)</f>
        <v>1021.0711403483789</v>
      </c>
      <c r="L11" s="6">
        <f>K11*(1+INPUTS!$E$9)</f>
        <v>1045.9240119044584</v>
      </c>
      <c r="M11" s="6">
        <f>L11*(1+INPUTS!$E$9)</f>
        <v>1071.3818023542131</v>
      </c>
      <c r="N11" s="6">
        <f>M11*(1+INPUTS!$E$9)</f>
        <v>1097.4592354235147</v>
      </c>
      <c r="O11" s="6">
        <f>N11*(1+INPUTS!$E$9)</f>
        <v>1124.1713932137229</v>
      </c>
      <c r="P11" s="6">
        <f>O11*(1+INPUTS!$E$9)</f>
        <v>1151.5337249245449</v>
      </c>
      <c r="Q11" s="6">
        <f>P11*(1+INPUTS!$E$9)</f>
        <v>1179.5620557892084</v>
      </c>
      <c r="R11" s="6">
        <f>Q11*(1+INPUTS!$E$9)</f>
        <v>1208.2725962271179</v>
      </c>
      <c r="S11" s="6">
        <f>R11*(1+INPUTS!$E$9)</f>
        <v>1237.681951219286</v>
      </c>
      <c r="T11" s="6">
        <f>S11*(1+INPUTS!$E$9)</f>
        <v>1267.8071299119636</v>
      </c>
      <c r="U11" s="6">
        <f>T11*(1+INPUTS!$E$9)</f>
        <v>1298.6655554540207</v>
      </c>
      <c r="V11" s="6">
        <f>U11*(1+INPUTS!$E$9)</f>
        <v>1330.2750750737716</v>
      </c>
      <c r="W11" s="6">
        <f>V11*(1+INPUTS!$E$9)</f>
        <v>1362.6539704010672</v>
      </c>
      <c r="X11" s="6">
        <f>W11*(1+INPUTS!$E$9)</f>
        <v>1395.8209680406292</v>
      </c>
      <c r="Y11" s="6">
        <f>X11*(1+INPUTS!$E$9)</f>
        <v>1429.795250402738</v>
      </c>
      <c r="Z11" s="6">
        <f>Y11*(1+INPUTS!$E$9)</f>
        <v>1464.5964667975406</v>
      </c>
      <c r="AA11" s="6">
        <f>Z11*(1+INPUTS!$E$9)</f>
        <v>1500.2447447993927</v>
      </c>
    </row>
    <row r="12" spans="3:27" x14ac:dyDescent="0.5">
      <c r="C12" s="1" t="s">
        <v>85</v>
      </c>
      <c r="D12" s="2" t="s">
        <v>86</v>
      </c>
      <c r="H12" s="7">
        <f>H11*(24*60)</f>
        <v>1368000</v>
      </c>
      <c r="I12" s="7">
        <f t="shared" ref="I12:AA12" si="2">I11*(24*60)</f>
        <v>1401297.12</v>
      </c>
      <c r="J12" s="7">
        <f t="shared" si="2"/>
        <v>1435404.6919008</v>
      </c>
      <c r="K12" s="7">
        <f t="shared" si="2"/>
        <v>1470342.4421016655</v>
      </c>
      <c r="L12" s="7">
        <f t="shared" si="2"/>
        <v>1506130.5771424202</v>
      </c>
      <c r="M12" s="7">
        <f t="shared" si="2"/>
        <v>1542789.7953900667</v>
      </c>
      <c r="N12" s="7">
        <f t="shared" si="2"/>
        <v>1580341.2990098612</v>
      </c>
      <c r="O12" s="7">
        <f t="shared" si="2"/>
        <v>1618806.8062277611</v>
      </c>
      <c r="P12" s="7">
        <f t="shared" si="2"/>
        <v>1658208.5638913447</v>
      </c>
      <c r="Q12" s="7">
        <f t="shared" si="2"/>
        <v>1698569.3603364602</v>
      </c>
      <c r="R12" s="7">
        <f t="shared" si="2"/>
        <v>1739912.5385670499</v>
      </c>
      <c r="S12" s="7">
        <f t="shared" si="2"/>
        <v>1782262.0097557718</v>
      </c>
      <c r="T12" s="7">
        <f t="shared" si="2"/>
        <v>1825642.2670732276</v>
      </c>
      <c r="U12" s="7">
        <f t="shared" si="2"/>
        <v>1870078.3998537897</v>
      </c>
      <c r="V12" s="7">
        <f t="shared" si="2"/>
        <v>1915596.1081062311</v>
      </c>
      <c r="W12" s="7">
        <f t="shared" si="2"/>
        <v>1962221.7173775367</v>
      </c>
      <c r="X12" s="7">
        <f t="shared" si="2"/>
        <v>2009982.1939785059</v>
      </c>
      <c r="Y12" s="7">
        <f t="shared" si="2"/>
        <v>2058905.1605799426</v>
      </c>
      <c r="Z12" s="7">
        <f t="shared" si="2"/>
        <v>2109018.9121884587</v>
      </c>
      <c r="AA12" s="7">
        <f t="shared" si="2"/>
        <v>2160352.4325111257</v>
      </c>
    </row>
    <row r="13" spans="3:27" x14ac:dyDescent="0.5">
      <c r="C13" s="1" t="s">
        <v>87</v>
      </c>
      <c r="D13" s="8" t="s">
        <v>88</v>
      </c>
      <c r="E13" s="64">
        <f>INPUTS!$E$14</f>
        <v>666.68382082478502</v>
      </c>
      <c r="F13" s="19"/>
      <c r="G13" s="19"/>
      <c r="H13" s="7">
        <f>$E$13*H12/10^6</f>
        <v>912.02346688830585</v>
      </c>
      <c r="I13" s="7">
        <f t="shared" ref="I13:AA13" si="3">$E$13*I12/10^6</f>
        <v>934.22211807236727</v>
      </c>
      <c r="J13" s="7">
        <f t="shared" si="3"/>
        <v>956.9610844262487</v>
      </c>
      <c r="K13" s="7">
        <f t="shared" si="3"/>
        <v>980.25351722118364</v>
      </c>
      <c r="L13" s="7">
        <f t="shared" si="3"/>
        <v>1004.1128878303473</v>
      </c>
      <c r="M13" s="7">
        <f t="shared" si="3"/>
        <v>1028.552995520138</v>
      </c>
      <c r="N13" s="7">
        <f t="shared" si="3"/>
        <v>1053.5879754310984</v>
      </c>
      <c r="O13" s="7">
        <f t="shared" si="3"/>
        <v>1079.2323067530911</v>
      </c>
      <c r="P13" s="7">
        <f t="shared" si="3"/>
        <v>1105.5008210994613</v>
      </c>
      <c r="Q13" s="7">
        <f t="shared" si="3"/>
        <v>1132.4087110850221</v>
      </c>
      <c r="R13" s="7">
        <f t="shared" si="3"/>
        <v>1159.9715391128318</v>
      </c>
      <c r="S13" s="7">
        <f t="shared" si="3"/>
        <v>1188.2052463748385</v>
      </c>
      <c r="T13" s="7">
        <f t="shared" si="3"/>
        <v>1217.1261620716018</v>
      </c>
      <c r="U13" s="7">
        <f t="shared" si="3"/>
        <v>1246.7510128564245</v>
      </c>
      <c r="V13" s="7">
        <f t="shared" si="3"/>
        <v>1277.0969325093502</v>
      </c>
      <c r="W13" s="7">
        <f t="shared" si="3"/>
        <v>1308.1814718466278</v>
      </c>
      <c r="X13" s="7">
        <f t="shared" si="3"/>
        <v>1340.0226088713746</v>
      </c>
      <c r="Y13" s="7">
        <f t="shared" si="3"/>
        <v>1372.6387591713037</v>
      </c>
      <c r="Z13" s="7">
        <f t="shared" si="3"/>
        <v>1406.0487865695334</v>
      </c>
      <c r="AA13" s="7">
        <f t="shared" si="3"/>
        <v>1440.2720140346357</v>
      </c>
    </row>
    <row r="14" spans="3:27" x14ac:dyDescent="0.5">
      <c r="C14" s="1" t="s">
        <v>87</v>
      </c>
      <c r="D14" s="2" t="s">
        <v>89</v>
      </c>
      <c r="E14" s="7">
        <f>SUM(H14:AA14)</f>
        <v>8447257.2024772111</v>
      </c>
      <c r="F14" s="7"/>
      <c r="G14" s="7"/>
      <c r="H14" s="7">
        <f>H13*365</f>
        <v>332888.56541423162</v>
      </c>
      <c r="I14" s="7">
        <f t="shared" ref="I14:AA14" si="4">I13*365</f>
        <v>340991.07309641404</v>
      </c>
      <c r="J14" s="7">
        <f t="shared" si="4"/>
        <v>349290.79581558076</v>
      </c>
      <c r="K14" s="7">
        <f t="shared" si="4"/>
        <v>357792.53378573206</v>
      </c>
      <c r="L14" s="7">
        <f t="shared" si="4"/>
        <v>366501.20405807678</v>
      </c>
      <c r="M14" s="7">
        <f t="shared" si="4"/>
        <v>375421.84336485039</v>
      </c>
      <c r="N14" s="7">
        <f t="shared" si="4"/>
        <v>384559.61103235092</v>
      </c>
      <c r="O14" s="7">
        <f t="shared" si="4"/>
        <v>393919.79196487821</v>
      </c>
      <c r="P14" s="7">
        <f t="shared" si="4"/>
        <v>403507.79970130336</v>
      </c>
      <c r="Q14" s="7">
        <f t="shared" si="4"/>
        <v>413329.17954603309</v>
      </c>
      <c r="R14" s="7">
        <f t="shared" si="4"/>
        <v>423389.61177618359</v>
      </c>
      <c r="S14" s="7">
        <f t="shared" si="4"/>
        <v>433694.91492681601</v>
      </c>
      <c r="T14" s="7">
        <f t="shared" si="4"/>
        <v>444251.04915613466</v>
      </c>
      <c r="U14" s="7">
        <f t="shared" si="4"/>
        <v>455064.11969259492</v>
      </c>
      <c r="V14" s="7">
        <f t="shared" si="4"/>
        <v>466140.3803659128</v>
      </c>
      <c r="W14" s="7">
        <f t="shared" si="4"/>
        <v>477486.23722401913</v>
      </c>
      <c r="X14" s="7">
        <f t="shared" si="4"/>
        <v>489108.25223805173</v>
      </c>
      <c r="Y14" s="7">
        <f t="shared" si="4"/>
        <v>501013.14709752589</v>
      </c>
      <c r="Z14" s="7">
        <f t="shared" si="4"/>
        <v>513207.8070978797</v>
      </c>
      <c r="AA14" s="7">
        <f t="shared" si="4"/>
        <v>525699.28512264206</v>
      </c>
    </row>
    <row r="15" spans="3:27" x14ac:dyDescent="0.5">
      <c r="C15" s="1" t="s">
        <v>10</v>
      </c>
      <c r="E15" s="38"/>
      <c r="F15" s="10"/>
      <c r="G15" s="10"/>
      <c r="H15" s="10">
        <f>INPUTS!$E$12</f>
        <v>0.98</v>
      </c>
      <c r="I15" s="10">
        <f t="shared" ref="I15:AA15" si="5">H15</f>
        <v>0.98</v>
      </c>
      <c r="J15" s="10">
        <f t="shared" si="5"/>
        <v>0.98</v>
      </c>
      <c r="K15" s="10">
        <f t="shared" si="5"/>
        <v>0.98</v>
      </c>
      <c r="L15" s="10">
        <f t="shared" si="5"/>
        <v>0.98</v>
      </c>
      <c r="M15" s="10">
        <f t="shared" si="5"/>
        <v>0.98</v>
      </c>
      <c r="N15" s="10">
        <f t="shared" si="5"/>
        <v>0.98</v>
      </c>
      <c r="O15" s="10">
        <f t="shared" si="5"/>
        <v>0.98</v>
      </c>
      <c r="P15" s="10">
        <f t="shared" si="5"/>
        <v>0.98</v>
      </c>
      <c r="Q15" s="10">
        <f t="shared" si="5"/>
        <v>0.98</v>
      </c>
      <c r="R15" s="10">
        <f t="shared" si="5"/>
        <v>0.98</v>
      </c>
      <c r="S15" s="10">
        <f t="shared" si="5"/>
        <v>0.98</v>
      </c>
      <c r="T15" s="10">
        <f t="shared" si="5"/>
        <v>0.98</v>
      </c>
      <c r="U15" s="10">
        <f t="shared" si="5"/>
        <v>0.98</v>
      </c>
      <c r="V15" s="10">
        <f t="shared" si="5"/>
        <v>0.98</v>
      </c>
      <c r="W15" s="10">
        <f t="shared" si="5"/>
        <v>0.98</v>
      </c>
      <c r="X15" s="10">
        <f t="shared" si="5"/>
        <v>0.98</v>
      </c>
      <c r="Y15" s="10">
        <f t="shared" si="5"/>
        <v>0.98</v>
      </c>
      <c r="Z15" s="10">
        <f t="shared" si="5"/>
        <v>0.98</v>
      </c>
      <c r="AA15" s="10">
        <f t="shared" si="5"/>
        <v>0.98</v>
      </c>
    </row>
    <row r="16" spans="3:27" x14ac:dyDescent="0.5">
      <c r="C16" s="1" t="s">
        <v>11</v>
      </c>
      <c r="D16" s="2" t="s">
        <v>90</v>
      </c>
      <c r="E16" s="139">
        <v>1</v>
      </c>
      <c r="F16" s="10"/>
      <c r="G16" s="10"/>
      <c r="H16" s="10">
        <f>INPUTS!$E$13</f>
        <v>0.97906432407905841</v>
      </c>
      <c r="I16" s="10">
        <f t="shared" ref="I16:AA16" si="6">H16</f>
        <v>0.97906432407905841</v>
      </c>
      <c r="J16" s="10">
        <f t="shared" si="6"/>
        <v>0.97906432407905841</v>
      </c>
      <c r="K16" s="10">
        <f t="shared" si="6"/>
        <v>0.97906432407905841</v>
      </c>
      <c r="L16" s="10">
        <f t="shared" si="6"/>
        <v>0.97906432407905841</v>
      </c>
      <c r="M16" s="10">
        <f t="shared" si="6"/>
        <v>0.97906432407905841</v>
      </c>
      <c r="N16" s="10">
        <f t="shared" si="6"/>
        <v>0.97906432407905841</v>
      </c>
      <c r="O16" s="10">
        <f t="shared" si="6"/>
        <v>0.97906432407905841</v>
      </c>
      <c r="P16" s="10">
        <f t="shared" si="6"/>
        <v>0.97906432407905841</v>
      </c>
      <c r="Q16" s="10">
        <f t="shared" si="6"/>
        <v>0.97906432407905841</v>
      </c>
      <c r="R16" s="10">
        <f t="shared" si="6"/>
        <v>0.97906432407905841</v>
      </c>
      <c r="S16" s="10">
        <f t="shared" si="6"/>
        <v>0.97906432407905841</v>
      </c>
      <c r="T16" s="10">
        <f t="shared" si="6"/>
        <v>0.97906432407905841</v>
      </c>
      <c r="U16" s="10">
        <f t="shared" si="6"/>
        <v>0.97906432407905841</v>
      </c>
      <c r="V16" s="10">
        <f t="shared" si="6"/>
        <v>0.97906432407905841</v>
      </c>
      <c r="W16" s="10">
        <f t="shared" si="6"/>
        <v>0.97906432407905841</v>
      </c>
      <c r="X16" s="10">
        <f t="shared" si="6"/>
        <v>0.97906432407905841</v>
      </c>
      <c r="Y16" s="10">
        <f t="shared" si="6"/>
        <v>0.97906432407905841</v>
      </c>
      <c r="Z16" s="10">
        <f t="shared" si="6"/>
        <v>0.97906432407905841</v>
      </c>
      <c r="AA16" s="10">
        <f t="shared" si="6"/>
        <v>0.97906432407905841</v>
      </c>
    </row>
    <row r="17" spans="2:27" x14ac:dyDescent="0.5">
      <c r="C17" s="1" t="s">
        <v>91</v>
      </c>
      <c r="D17" s="2" t="s">
        <v>89</v>
      </c>
      <c r="E17" s="7">
        <f>SUM(H17:AA17)</f>
        <v>8105000.0000000028</v>
      </c>
      <c r="F17" s="7"/>
      <c r="G17" s="7"/>
      <c r="H17" s="9">
        <f>PRODUCT(H14:H16)*$E$16</f>
        <v>319400.93192511343</v>
      </c>
      <c r="I17" s="9">
        <f t="shared" ref="I17:AA17" si="7">PRODUCT(I14:I16)*$E$16</f>
        <v>327175.15060817072</v>
      </c>
      <c r="J17" s="9">
        <f t="shared" si="7"/>
        <v>335138.59377397358</v>
      </c>
      <c r="K17" s="9">
        <f t="shared" si="7"/>
        <v>343295.86714643217</v>
      </c>
      <c r="L17" s="9">
        <f t="shared" si="7"/>
        <v>351651.68855277635</v>
      </c>
      <c r="M17" s="9">
        <f t="shared" si="7"/>
        <v>360210.89065215096</v>
      </c>
      <c r="N17" s="9">
        <f t="shared" si="7"/>
        <v>368978.42373062437</v>
      </c>
      <c r="O17" s="9">
        <f t="shared" si="7"/>
        <v>377959.35856422764</v>
      </c>
      <c r="P17" s="9">
        <f t="shared" si="7"/>
        <v>387158.88935168099</v>
      </c>
      <c r="Q17" s="9">
        <f t="shared" si="7"/>
        <v>396582.33671850088</v>
      </c>
      <c r="R17" s="9">
        <f t="shared" si="7"/>
        <v>406235.15079422924</v>
      </c>
      <c r="S17" s="9">
        <f t="shared" si="7"/>
        <v>416122.91436456091</v>
      </c>
      <c r="T17" s="9">
        <f t="shared" si="7"/>
        <v>426251.34610019426</v>
      </c>
      <c r="U17" s="9">
        <f t="shared" si="7"/>
        <v>436626.30386427295</v>
      </c>
      <c r="V17" s="9">
        <f t="shared" si="7"/>
        <v>447253.78810032946</v>
      </c>
      <c r="W17" s="9">
        <f t="shared" si="7"/>
        <v>458139.94530269149</v>
      </c>
      <c r="X17" s="9">
        <f t="shared" si="7"/>
        <v>469291.071571359</v>
      </c>
      <c r="Y17" s="9">
        <f t="shared" si="7"/>
        <v>480713.61625340581</v>
      </c>
      <c r="Z17" s="9">
        <f t="shared" si="7"/>
        <v>492414.18567301374</v>
      </c>
      <c r="AA17" s="9">
        <f t="shared" si="7"/>
        <v>504399.54695229488</v>
      </c>
    </row>
    <row r="18" spans="2:27" x14ac:dyDescent="0.5">
      <c r="H18" s="114"/>
    </row>
    <row r="19" spans="2:27" x14ac:dyDescent="0.5">
      <c r="B19" s="92">
        <f>INPUTS!E16</f>
        <v>1</v>
      </c>
      <c r="C19" s="1" t="s">
        <v>92</v>
      </c>
      <c r="D19" s="2" t="s">
        <v>93</v>
      </c>
      <c r="E19" s="134">
        <v>0</v>
      </c>
      <c r="H19" s="375">
        <f>_xlfn.XLOOKUP(H7,'RIN Curves'!$G$18:$G$44,'RIN Curves'!$H$18:$H$44)+$E$19</f>
        <v>2.6619581040516365</v>
      </c>
      <c r="I19" s="375">
        <f>_xlfn.XLOOKUP(I7,'RIN Curves'!$G$18:$G$44,'RIN Curves'!$H$18:$H$44)+$E$19</f>
        <v>2.7118203928073998</v>
      </c>
      <c r="J19" s="375">
        <f>_xlfn.XLOOKUP(J7,'RIN Curves'!$G$18:$G$44,'RIN Curves'!$H$18:$H$44)+$E$19</f>
        <v>2.7914812580932673</v>
      </c>
      <c r="K19" s="375">
        <f>_xlfn.XLOOKUP(K7,'RIN Curves'!$G$18:$G$44,'RIN Curves'!$H$18:$H$44)+$E$19</f>
        <v>2.9160810589464075</v>
      </c>
      <c r="L19" s="375">
        <f>_xlfn.XLOOKUP(L7,'RIN Curves'!$G$18:$G$44,'RIN Curves'!$H$18:$H$44)+$E$19</f>
        <v>2.9781765172612142</v>
      </c>
      <c r="M19" s="375">
        <f>_xlfn.XLOOKUP(M7,'RIN Curves'!$G$18:$G$44,'RIN Curves'!$H$18:$H$44)+$E$19</f>
        <v>2.9101358522712708</v>
      </c>
      <c r="N19" s="375">
        <f>_xlfn.XLOOKUP(N7,'RIN Curves'!$G$18:$G$44,'RIN Curves'!$H$18:$H$44)+$E$19</f>
        <v>2.8799223864483365</v>
      </c>
      <c r="O19" s="375">
        <f>_xlfn.XLOOKUP(O7,'RIN Curves'!$G$18:$G$44,'RIN Curves'!$H$18:$H$44)+$E$19</f>
        <v>2.8742293511089954</v>
      </c>
      <c r="P19" s="375">
        <f>_xlfn.XLOOKUP(P7,'RIN Curves'!$G$18:$G$44,'RIN Curves'!$H$18:$H$44)+$E$19</f>
        <v>2.9338871538336271</v>
      </c>
      <c r="Q19" s="375">
        <f>_xlfn.XLOOKUP(Q7,'RIN Curves'!$G$18:$G$44,'RIN Curves'!$H$18:$H$44)+$E$19</f>
        <v>2.9947832201034275</v>
      </c>
      <c r="R19" s="375">
        <f>_xlfn.XLOOKUP(R7,'RIN Curves'!$G$18:$G$44,'RIN Curves'!$H$18:$H$44)+$E$19</f>
        <v>3.0569432514450559</v>
      </c>
      <c r="S19" s="375">
        <f>_xlfn.XLOOKUP(S7,'RIN Curves'!$G$18:$G$44,'RIN Curves'!$H$18:$H$44)+$E$19</f>
        <v>3.120393482848733</v>
      </c>
      <c r="T19" s="375">
        <f>_xlfn.XLOOKUP(T7,'RIN Curves'!$G$18:$G$44,'RIN Curves'!$H$18:$H$44)+$E$19</f>
        <v>3.1851606938408499</v>
      </c>
      <c r="U19" s="375">
        <f>_xlfn.XLOOKUP(U7,'RIN Curves'!$G$18:$G$44,'RIN Curves'!$H$18:$H$44)+$E$19</f>
        <v>3.2512722197864368</v>
      </c>
      <c r="V19" s="375">
        <f>_xlfn.XLOOKUP(V7,'RIN Curves'!$G$18:$G$44,'RIN Curves'!$H$18:$H$44)+$E$19</f>
        <v>3.3187559634261912</v>
      </c>
      <c r="W19" s="375">
        <f>_xlfn.XLOOKUP(W7,'RIN Curves'!$G$18:$G$44,'RIN Curves'!$H$18:$H$44)+$E$19</f>
        <v>3.387640406652991</v>
      </c>
      <c r="X19" s="375">
        <f>_xlfn.XLOOKUP(X7,'RIN Curves'!$G$18:$G$44,'RIN Curves'!$H$18:$H$44)+$E$19</f>
        <v>3.4579546225328461</v>
      </c>
      <c r="Y19" s="375">
        <f>_xlfn.XLOOKUP(Y7,'RIN Curves'!$G$18:$G$44,'RIN Curves'!$H$18:$H$44)+$E$19</f>
        <v>3.5297282875753377</v>
      </c>
      <c r="Z19" s="375">
        <f>_xlfn.XLOOKUP(Z7,'RIN Curves'!$G$18:$G$44,'RIN Curves'!$H$18:$H$44)+$E$19</f>
        <v>3.6029916942587552</v>
      </c>
      <c r="AA19" s="375">
        <f>_xlfn.XLOOKUP(AA7,'RIN Curves'!$G$18:$G$44,'RIN Curves'!$H$18:$H$44)+$E$19</f>
        <v>3.6777757638152244</v>
      </c>
    </row>
    <row r="20" spans="2:27" x14ac:dyDescent="0.5">
      <c r="C20" s="1" t="s">
        <v>14</v>
      </c>
      <c r="D20" s="2" t="s">
        <v>15</v>
      </c>
      <c r="E20" s="65">
        <f>INPUTS!$E$17+$E$19</f>
        <v>2.39</v>
      </c>
      <c r="F20" s="11"/>
      <c r="G20" s="11"/>
      <c r="H20" s="12">
        <f>IF($B$19=0,E20,H19)</f>
        <v>2.6619581040516365</v>
      </c>
      <c r="I20" s="12">
        <f>IF($B$19=0,H20*(1+INPUTS!$E$18),I19)</f>
        <v>2.7118203928073998</v>
      </c>
      <c r="J20" s="12">
        <f>IF($B$19=0,I20*(1+INPUTS!$E$18),J19)</f>
        <v>2.7914812580932673</v>
      </c>
      <c r="K20" s="12">
        <f>IF($B$19=0,J20*(1+INPUTS!$E$18),K19)</f>
        <v>2.9160810589464075</v>
      </c>
      <c r="L20" s="12">
        <f>IF($B$19=0,K20*(1+INPUTS!$E$18),L19)</f>
        <v>2.9781765172612142</v>
      </c>
      <c r="M20" s="12">
        <f>IF($B$19=0,L20*(1+INPUTS!$E$18),M19)</f>
        <v>2.9101358522712708</v>
      </c>
      <c r="N20" s="12">
        <f>IF($B$19=0,M20*(1+INPUTS!$E$18),N19)</f>
        <v>2.8799223864483365</v>
      </c>
      <c r="O20" s="12">
        <f>IF($B$19=0,N20*(1+INPUTS!$E$18),O19)</f>
        <v>2.8742293511089954</v>
      </c>
      <c r="P20" s="12">
        <f>IF($B$19=0,O20*(1+INPUTS!$E$18),P19)</f>
        <v>2.9338871538336271</v>
      </c>
      <c r="Q20" s="12">
        <f>IF($B$19=0,P20*(1+INPUTS!$E$18),Q19)</f>
        <v>2.9947832201034275</v>
      </c>
      <c r="R20" s="12">
        <f>IF($B$19=0,Q20*(1+INPUTS!$E$18),R19)</f>
        <v>3.0569432514450559</v>
      </c>
      <c r="S20" s="12">
        <f>IF($B$19=0,R20*(1+INPUTS!$E$18),S19)</f>
        <v>3.120393482848733</v>
      </c>
      <c r="T20" s="12">
        <f>IF($B$19=0,S20*(1+INPUTS!$E$18),T19)</f>
        <v>3.1851606938408499</v>
      </c>
      <c r="U20" s="12">
        <f>IF($B$19=0,T20*(1+INPUTS!$E$18),U19)</f>
        <v>3.2512722197864368</v>
      </c>
      <c r="V20" s="12">
        <f>IF($B$19=0,U20*(1+INPUTS!$E$18),V19)</f>
        <v>3.3187559634261912</v>
      </c>
      <c r="W20" s="12">
        <f>IF($B$19=0,V20*(1+INPUTS!$E$18),W19)</f>
        <v>3.387640406652991</v>
      </c>
      <c r="X20" s="12">
        <f>IF($B$19=0,W20*(1+INPUTS!$E$18),X19)</f>
        <v>3.4579546225328461</v>
      </c>
      <c r="Y20" s="12">
        <f>IF($B$19=0,X20*(1+INPUTS!$E$18),Y19)</f>
        <v>3.5297282875753377</v>
      </c>
      <c r="Z20" s="12">
        <f>IF($B$19=0,Y20*(1+INPUTS!$E$18),Z19)</f>
        <v>3.6029916942587552</v>
      </c>
      <c r="AA20" s="12">
        <f>IF($B$19=0,Z20*(1+INPUTS!$E$18),AA19)</f>
        <v>3.6777757638152244</v>
      </c>
    </row>
    <row r="21" spans="2:27" x14ac:dyDescent="0.5">
      <c r="C21" s="1" t="s">
        <v>14</v>
      </c>
      <c r="D21" s="2" t="s">
        <v>20</v>
      </c>
      <c r="H21" s="13">
        <f>H20*INPUTS!$E$41</f>
        <v>31.216782686213541</v>
      </c>
      <c r="I21" s="13">
        <f>I20*INPUTS!$E$41</f>
        <v>31.801517746452379</v>
      </c>
      <c r="J21" s="13">
        <f>J20*INPUTS!$E$41</f>
        <v>32.735700713659746</v>
      </c>
      <c r="K21" s="13">
        <f>K20*INPUTS!$E$41</f>
        <v>34.196882578264521</v>
      </c>
      <c r="L21" s="13">
        <f>L20*INPUTS!$E$41</f>
        <v>34.925076017922258</v>
      </c>
      <c r="M21" s="13">
        <f>M20*INPUTS!$E$41</f>
        <v>34.127163139585193</v>
      </c>
      <c r="N21" s="13">
        <f>N20*INPUTS!$E$41</f>
        <v>33.772849825879646</v>
      </c>
      <c r="O21" s="13">
        <f>O20*INPUTS!$E$41</f>
        <v>33.706087600455191</v>
      </c>
      <c r="P21" s="13">
        <f>P20*INPUTS!$E$41</f>
        <v>34.405694653006947</v>
      </c>
      <c r="Q21" s="13">
        <f>Q20*INPUTS!$E$41</f>
        <v>35.119822822152898</v>
      </c>
      <c r="R21" s="13">
        <f>R20*INPUTS!$E$41</f>
        <v>35.848773509696173</v>
      </c>
      <c r="S21" s="13">
        <f>S20*INPUTS!$E$41</f>
        <v>36.592854373367089</v>
      </c>
      <c r="T21" s="13">
        <f>T20*INPUTS!$E$41</f>
        <v>37.352379456671649</v>
      </c>
      <c r="U21" s="13">
        <f>U20*INPUTS!$E$41</f>
        <v>38.127669321435548</v>
      </c>
      <c r="V21" s="13">
        <f>V20*INPUTS!$E$41</f>
        <v>38.919051183098944</v>
      </c>
      <c r="W21" s="13">
        <f>W20*INPUTS!$E$41</f>
        <v>39.726859048819627</v>
      </c>
      <c r="X21" s="13">
        <f>X20*INPUTS!$E$41</f>
        <v>40.551433858442685</v>
      </c>
      <c r="Y21" s="13">
        <f>Y20*INPUTS!$E$41</f>
        <v>41.393123628395983</v>
      </c>
      <c r="Z21" s="13">
        <f>Z20*INPUTS!$E$41</f>
        <v>42.252283598572426</v>
      </c>
      <c r="AA21" s="13">
        <f>AA20*INPUTS!$E$41</f>
        <v>43.129276382261139</v>
      </c>
    </row>
    <row r="23" spans="2:27" x14ac:dyDescent="0.5">
      <c r="B23" s="92">
        <f>+INPUTS!E21</f>
        <v>1</v>
      </c>
      <c r="C23" s="1" t="s">
        <v>94</v>
      </c>
      <c r="H23" s="13">
        <f>_xlfn.XLOOKUP(H$7,HenryHub!$B$28:$B$52,HenryHub!$E$28:$E$52)</f>
        <v>4.3340000000000005</v>
      </c>
      <c r="I23" s="13">
        <f>_xlfn.XLOOKUP(I$7,HenryHub!$B$28:$B$52,HenryHub!$E$28:$E$52)</f>
        <v>4.2690000000000001</v>
      </c>
      <c r="J23" s="13">
        <f>_xlfn.XLOOKUP(J$7,HenryHub!$B$28:$B$52,HenryHub!$E$28:$E$52)</f>
        <v>4.3594749999999998</v>
      </c>
      <c r="K23" s="13">
        <f>_xlfn.XLOOKUP(K$7,HenryHub!$B$28:$B$52,HenryHub!$E$28:$E$52)</f>
        <v>4.4522118749999997</v>
      </c>
      <c r="L23" s="13">
        <f>_xlfn.XLOOKUP(L$7,HenryHub!$B$28:$B$52,HenryHub!$E$28:$E$52)</f>
        <v>4.5472671718749993</v>
      </c>
      <c r="M23" s="13">
        <f>_xlfn.XLOOKUP(M$7,HenryHub!$B$28:$B$52,HenryHub!$E$28:$E$52)</f>
        <v>4.6446988511718734</v>
      </c>
      <c r="N23" s="13">
        <f>_xlfn.XLOOKUP(N$7,HenryHub!$B$28:$B$52,HenryHub!$E$28:$E$52)</f>
        <v>4.7445663224511705</v>
      </c>
      <c r="O23" s="13">
        <f>_xlfn.XLOOKUP(O$7,HenryHub!$B$28:$B$52,HenryHub!$E$28:$E$52)</f>
        <v>4.8469304805124498</v>
      </c>
      <c r="P23" s="13">
        <f>_xlfn.XLOOKUP(P$7,HenryHub!$B$28:$B$52,HenryHub!$E$28:$E$52)</f>
        <v>4.9518537425252607</v>
      </c>
      <c r="Q23" s="13">
        <f>_xlfn.XLOOKUP(Q$7,HenryHub!$B$28:$B$52,HenryHub!$E$28:$E$52)</f>
        <v>5.0594000860883916</v>
      </c>
      <c r="R23" s="13">
        <f>_xlfn.XLOOKUP(R$7,HenryHub!$B$28:$B$52,HenryHub!$E$28:$E$52)</f>
        <v>5.169635088240601</v>
      </c>
      <c r="S23" s="13">
        <f>_xlfn.XLOOKUP(S$7,HenryHub!$B$28:$B$52,HenryHub!$E$28:$E$52)</f>
        <v>5.2826259654466154</v>
      </c>
      <c r="T23" s="13">
        <f>_xlfn.XLOOKUP(T$7,HenryHub!$B$28:$B$52,HenryHub!$E$28:$E$52)</f>
        <v>5.3984416145827803</v>
      </c>
      <c r="U23" s="13">
        <f>_xlfn.XLOOKUP(U$7,HenryHub!$B$28:$B$52,HenryHub!$E$28:$E$52)</f>
        <v>5.5171526549473491</v>
      </c>
      <c r="V23" s="13">
        <f>_xlfn.XLOOKUP(V$7,HenryHub!$B$28:$B$52,HenryHub!$E$28:$E$52)</f>
        <v>5.6388314713210326</v>
      </c>
      <c r="W23" s="13">
        <f>_xlfn.XLOOKUP(W$7,HenryHub!$B$28:$B$52,HenryHub!$E$28:$E$52)</f>
        <v>5.7635522581040579</v>
      </c>
      <c r="X23" s="13">
        <f>_xlfn.XLOOKUP(X$7,HenryHub!$B$28:$B$52,HenryHub!$E$28:$E$52)</f>
        <v>5.8913910645566592</v>
      </c>
      <c r="Y23" s="13">
        <f>_xlfn.XLOOKUP(Y$7,HenryHub!$B$28:$B$52,HenryHub!$E$28:$E$52)</f>
        <v>6.0224258411705751</v>
      </c>
      <c r="Z23" s="13">
        <f>_xlfn.XLOOKUP(Z$7,HenryHub!$B$28:$B$52,HenryHub!$E$28:$E$52)</f>
        <v>6.1567364871998391</v>
      </c>
      <c r="AA23" s="13">
        <f>_xlfn.XLOOKUP(AA$7,HenryHub!$B$28:$B$52,HenryHub!$E$28:$E$52)</f>
        <v>6.2944048993798347</v>
      </c>
    </row>
    <row r="24" spans="2:27" x14ac:dyDescent="0.5">
      <c r="C24" s="1" t="s">
        <v>95</v>
      </c>
      <c r="D24" s="2" t="s">
        <v>20</v>
      </c>
      <c r="E24" s="66">
        <f>INPUTS!E23</f>
        <v>0.03</v>
      </c>
      <c r="H24" s="13">
        <f>IF($B$23=1,H23,INPUTS!$E$22*(1+$E$24)^H6)</f>
        <v>4.3340000000000005</v>
      </c>
      <c r="I24" s="13">
        <f>IF($B$23=1,I23,INPUTS!$E$22*(1+$E$24)^I6)</f>
        <v>4.2690000000000001</v>
      </c>
      <c r="J24" s="13">
        <f>IF($B$23=1,J23,INPUTS!$E$22*(1+$E$24)^J6)</f>
        <v>4.3594749999999998</v>
      </c>
      <c r="K24" s="13">
        <f>IF($B$23=1,K23,INPUTS!$E$22*(1+$E$24)^K6)</f>
        <v>4.4522118749999997</v>
      </c>
      <c r="L24" s="13">
        <f>IF($B$23=1,L23,INPUTS!$E$22*(1+$E$24)^L6)</f>
        <v>4.5472671718749993</v>
      </c>
      <c r="M24" s="13">
        <f>IF($B$23=1,M23,INPUTS!$E$22*(1+$E$24)^M6)</f>
        <v>4.6446988511718734</v>
      </c>
      <c r="N24" s="13">
        <f>IF($B$23=1,N23,INPUTS!$E$22*(1+$E$24)^N6)</f>
        <v>4.7445663224511705</v>
      </c>
      <c r="O24" s="13">
        <f>IF($B$23=1,O23,INPUTS!$E$22*(1+$E$24)^O6)</f>
        <v>4.8469304805124498</v>
      </c>
      <c r="P24" s="13">
        <f>IF($B$23=1,P23,INPUTS!$E$22*(1+$E$24)^P6)</f>
        <v>4.9518537425252607</v>
      </c>
      <c r="Q24" s="13">
        <f>IF($B$23=1,Q23,INPUTS!$E$22*(1+$E$24)^Q6)</f>
        <v>5.0594000860883916</v>
      </c>
      <c r="R24" s="13">
        <f>IF($B$23=1,R23,INPUTS!$E$22*(1+$E$24)^R6)</f>
        <v>5.169635088240601</v>
      </c>
      <c r="S24" s="13">
        <f>IF($B$23=1,S23,INPUTS!$E$22*(1+$E$24)^S6)</f>
        <v>5.2826259654466154</v>
      </c>
      <c r="T24" s="13">
        <f>IF($B$23=1,T23,INPUTS!$E$22*(1+$E$24)^T6)</f>
        <v>5.3984416145827803</v>
      </c>
      <c r="U24" s="13">
        <f>IF($B$23=1,U23,INPUTS!$E$22*(1+$E$24)^U6)</f>
        <v>5.5171526549473491</v>
      </c>
      <c r="V24" s="13">
        <f>IF($B$23=1,V23,INPUTS!$E$22*(1+$E$24)^V6)</f>
        <v>5.6388314713210326</v>
      </c>
      <c r="W24" s="13">
        <f>IF($B$23=1,W23,INPUTS!$E$22*(1+$E$24)^W6)</f>
        <v>5.7635522581040579</v>
      </c>
      <c r="X24" s="13">
        <f>IF($B$23=1,X23,INPUTS!$E$22*(1+$E$24)^X6)</f>
        <v>5.8913910645566592</v>
      </c>
      <c r="Y24" s="13">
        <f>IF($B$23=1,Y23,INPUTS!$E$22*(1+$E$24)^Y6)</f>
        <v>6.0224258411705751</v>
      </c>
      <c r="Z24" s="13">
        <f>IF($B$23=1,Z23,INPUTS!$E$22*(1+$E$24)^Z6)</f>
        <v>6.1567364871998391</v>
      </c>
      <c r="AA24" s="13">
        <f>IF($B$23=1,AA23,INPUTS!$E$22*(1+$E$24)^AA6)</f>
        <v>6.2944048993798347</v>
      </c>
    </row>
    <row r="25" spans="2:27" x14ac:dyDescent="0.5">
      <c r="C25" s="1" t="s">
        <v>96</v>
      </c>
      <c r="D25" s="2" t="s">
        <v>20</v>
      </c>
      <c r="H25" s="14">
        <f>-INPUTS!$E$24</f>
        <v>-1</v>
      </c>
      <c r="I25" s="14">
        <f>H25</f>
        <v>-1</v>
      </c>
      <c r="J25" s="14">
        <f t="shared" ref="J25:AA25" si="8">I25</f>
        <v>-1</v>
      </c>
      <c r="K25" s="14">
        <f t="shared" si="8"/>
        <v>-1</v>
      </c>
      <c r="L25" s="14">
        <f t="shared" si="8"/>
        <v>-1</v>
      </c>
      <c r="M25" s="14">
        <f t="shared" si="8"/>
        <v>-1</v>
      </c>
      <c r="N25" s="14">
        <f t="shared" si="8"/>
        <v>-1</v>
      </c>
      <c r="O25" s="14">
        <f t="shared" si="8"/>
        <v>-1</v>
      </c>
      <c r="P25" s="14">
        <f t="shared" si="8"/>
        <v>-1</v>
      </c>
      <c r="Q25" s="14">
        <f t="shared" si="8"/>
        <v>-1</v>
      </c>
      <c r="R25" s="14">
        <f t="shared" si="8"/>
        <v>-1</v>
      </c>
      <c r="S25" s="14">
        <f t="shared" si="8"/>
        <v>-1</v>
      </c>
      <c r="T25" s="14">
        <f t="shared" si="8"/>
        <v>-1</v>
      </c>
      <c r="U25" s="14">
        <f t="shared" si="8"/>
        <v>-1</v>
      </c>
      <c r="V25" s="14">
        <f t="shared" si="8"/>
        <v>-1</v>
      </c>
      <c r="W25" s="14">
        <f t="shared" si="8"/>
        <v>-1</v>
      </c>
      <c r="X25" s="14">
        <f t="shared" si="8"/>
        <v>-1</v>
      </c>
      <c r="Y25" s="14">
        <f t="shared" si="8"/>
        <v>-1</v>
      </c>
      <c r="Z25" s="14">
        <f t="shared" si="8"/>
        <v>-1</v>
      </c>
      <c r="AA25" s="14">
        <f t="shared" si="8"/>
        <v>-1</v>
      </c>
    </row>
    <row r="26" spans="2:27" x14ac:dyDescent="0.5">
      <c r="H26" s="114"/>
    </row>
    <row r="27" spans="2:27" x14ac:dyDescent="0.5">
      <c r="C27" s="23" t="s">
        <v>97</v>
      </c>
      <c r="E27" s="41">
        <f>E28+E30</f>
        <v>334045.82598981418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x14ac:dyDescent="0.5">
      <c r="C28" s="3" t="s">
        <v>98</v>
      </c>
      <c r="D28" s="4"/>
      <c r="E28" s="25">
        <f>+SUM(H28:AA28)</f>
        <v>299564.80671951699</v>
      </c>
      <c r="F28" s="20"/>
      <c r="G28" s="25"/>
      <c r="H28" s="25">
        <f t="shared" ref="H28:AA28" si="9">+H21*H$17/10^3</f>
        <v>9970.6694816803501</v>
      </c>
      <c r="I28" s="25">
        <f t="shared" si="9"/>
        <v>10404.666358263972</v>
      </c>
      <c r="J28" s="25">
        <f t="shared" si="9"/>
        <v>10970.99670338159</v>
      </c>
      <c r="K28" s="25">
        <f t="shared" si="9"/>
        <v>11739.648458410038</v>
      </c>
      <c r="L28" s="25">
        <f t="shared" si="9"/>
        <v>12281.461954536437</v>
      </c>
      <c r="M28" s="25">
        <f t="shared" si="9"/>
        <v>12292.975829941239</v>
      </c>
      <c r="N28" s="25">
        <f t="shared" si="9"/>
        <v>12461.452893644164</v>
      </c>
      <c r="O28" s="25">
        <f t="shared" si="9"/>
        <v>12739.531249177711</v>
      </c>
      <c r="P28" s="25">
        <f t="shared" si="9"/>
        <v>13320.470529231239</v>
      </c>
      <c r="Q28" s="25">
        <f t="shared" si="9"/>
        <v>13927.901399949133</v>
      </c>
      <c r="R28" s="25">
        <f t="shared" si="9"/>
        <v>14563.031912499595</v>
      </c>
      <c r="S28" s="25">
        <f t="shared" si="9"/>
        <v>15227.125206763481</v>
      </c>
      <c r="T28" s="25">
        <f t="shared" si="9"/>
        <v>15921.502023451532</v>
      </c>
      <c r="U28" s="25">
        <f t="shared" si="9"/>
        <v>16647.543330777637</v>
      </c>
      <c r="V28" s="25">
        <f t="shared" si="9"/>
        <v>17406.693070911613</v>
      </c>
      <c r="W28" s="25">
        <f t="shared" si="9"/>
        <v>18200.461031673956</v>
      </c>
      <c r="X28" s="25">
        <f t="shared" si="9"/>
        <v>19030.425849183655</v>
      </c>
      <c r="Y28" s="25">
        <f t="shared" si="9"/>
        <v>19898.238147430533</v>
      </c>
      <c r="Z28" s="25">
        <f t="shared" si="9"/>
        <v>20805.623821016274</v>
      </c>
      <c r="AA28" s="25">
        <f t="shared" si="9"/>
        <v>21754.387467592831</v>
      </c>
    </row>
    <row r="29" spans="2:27" x14ac:dyDescent="0.5">
      <c r="B29" s="66">
        <f>INPUTS!E19</f>
        <v>0.2</v>
      </c>
      <c r="C29" s="1" t="s">
        <v>42</v>
      </c>
      <c r="E29" s="9">
        <f>+SUM(H29:AA29)</f>
        <v>-59912.961343903393</v>
      </c>
      <c r="F29" s="19"/>
      <c r="G29" s="19"/>
      <c r="H29" s="9">
        <f>-$B$29*H28</f>
        <v>-1994.1338963360702</v>
      </c>
      <c r="I29" s="9">
        <f t="shared" ref="I29:AA29" si="10">-$B$29*I28</f>
        <v>-2080.9332716527947</v>
      </c>
      <c r="J29" s="9">
        <f t="shared" si="10"/>
        <v>-2194.1993406763181</v>
      </c>
      <c r="K29" s="9">
        <f t="shared" si="10"/>
        <v>-2347.9296916820076</v>
      </c>
      <c r="L29" s="9">
        <f t="shared" si="10"/>
        <v>-2456.2923909072874</v>
      </c>
      <c r="M29" s="9">
        <f t="shared" si="10"/>
        <v>-2458.595165988248</v>
      </c>
      <c r="N29" s="9">
        <f t="shared" si="10"/>
        <v>-2492.2905787288328</v>
      </c>
      <c r="O29" s="9">
        <f t="shared" si="10"/>
        <v>-2547.9062498355424</v>
      </c>
      <c r="P29" s="9">
        <f t="shared" si="10"/>
        <v>-2664.0941058462481</v>
      </c>
      <c r="Q29" s="9">
        <f t="shared" si="10"/>
        <v>-2785.5802799898265</v>
      </c>
      <c r="R29" s="9">
        <f t="shared" si="10"/>
        <v>-2912.6063824999192</v>
      </c>
      <c r="S29" s="9">
        <f t="shared" si="10"/>
        <v>-3045.4250413526966</v>
      </c>
      <c r="T29" s="9">
        <f t="shared" si="10"/>
        <v>-3184.3004046903066</v>
      </c>
      <c r="U29" s="9">
        <f t="shared" si="10"/>
        <v>-3329.5086661555274</v>
      </c>
      <c r="V29" s="9">
        <f t="shared" si="10"/>
        <v>-3481.338614182323</v>
      </c>
      <c r="W29" s="9">
        <f t="shared" si="10"/>
        <v>-3640.0922063347916</v>
      </c>
      <c r="X29" s="9">
        <f t="shared" si="10"/>
        <v>-3806.0851698367314</v>
      </c>
      <c r="Y29" s="9">
        <f t="shared" si="10"/>
        <v>-3979.6476294861068</v>
      </c>
      <c r="Z29" s="9">
        <f t="shared" si="10"/>
        <v>-4161.1247642032549</v>
      </c>
      <c r="AA29" s="9">
        <f t="shared" si="10"/>
        <v>-4350.8774935185666</v>
      </c>
    </row>
    <row r="30" spans="2:27" x14ac:dyDescent="0.5">
      <c r="C30" s="1" t="s">
        <v>99</v>
      </c>
      <c r="E30" s="9">
        <f>+SUM(H30:AA30)</f>
        <v>34481.01927029722</v>
      </c>
      <c r="F30" s="19"/>
      <c r="G30" s="19"/>
      <c r="H30" s="9">
        <f t="shared" ref="H30:AA30" si="11">SUM(H24:H25)*H17/10^3</f>
        <v>1064.8827070383284</v>
      </c>
      <c r="I30" s="9">
        <f t="shared" si="11"/>
        <v>1069.5355673381102</v>
      </c>
      <c r="J30" s="9">
        <f t="shared" si="11"/>
        <v>1125.88972731882</v>
      </c>
      <c r="K30" s="9">
        <f t="shared" si="11"/>
        <v>1185.1300692013353</v>
      </c>
      <c r="L30" s="9">
        <f t="shared" si="11"/>
        <v>1247.402490737675</v>
      </c>
      <c r="M30" s="9">
        <f t="shared" si="11"/>
        <v>1312.860219339492</v>
      </c>
      <c r="N30" s="9">
        <f t="shared" si="11"/>
        <v>1381.6641792128137</v>
      </c>
      <c r="O30" s="9">
        <f t="shared" si="11"/>
        <v>1453.9833768556616</v>
      </c>
      <c r="P30" s="9">
        <f t="shared" si="11"/>
        <v>1529.995305836364</v>
      </c>
      <c r="Q30" s="9">
        <f t="shared" si="11"/>
        <v>1609.8863718162179</v>
      </c>
      <c r="R30" s="9">
        <f t="shared" si="11"/>
        <v>1693.8523388283299</v>
      </c>
      <c r="S30" s="9">
        <f t="shared" si="11"/>
        <v>1782.098797874987</v>
      </c>
      <c r="T30" s="9">
        <f t="shared" si="11"/>
        <v>1874.841658959022</v>
      </c>
      <c r="U30" s="9">
        <f t="shared" si="11"/>
        <v>1972.3076677203485</v>
      </c>
      <c r="V30" s="9">
        <f t="shared" si="11"/>
        <v>2074.7349479073564</v>
      </c>
      <c r="W30" s="9">
        <f t="shared" si="11"/>
        <v>2182.3735709743059</v>
      </c>
      <c r="X30" s="9">
        <f t="shared" si="11"/>
        <v>2295.486154160365</v>
      </c>
      <c r="Y30" s="9">
        <f t="shared" si="11"/>
        <v>2414.3484884736608</v>
      </c>
      <c r="Z30" s="9">
        <f t="shared" si="11"/>
        <v>2539.2501980748261</v>
      </c>
      <c r="AA30" s="9">
        <f t="shared" si="11"/>
        <v>2670.4954326291991</v>
      </c>
    </row>
    <row r="31" spans="2:27" x14ac:dyDescent="0.5">
      <c r="C31" s="22" t="s">
        <v>100</v>
      </c>
      <c r="D31" s="4"/>
      <c r="E31" s="21">
        <f>+SUM(H31:AA31)</f>
        <v>274132.8646459108</v>
      </c>
      <c r="F31" s="17"/>
      <c r="G31" s="18"/>
      <c r="H31" s="21">
        <f t="shared" ref="H31:AA31" si="12">SUM(H28:H30)</f>
        <v>9041.4182923826083</v>
      </c>
      <c r="I31" s="21">
        <f t="shared" si="12"/>
        <v>9393.2686539492879</v>
      </c>
      <c r="J31" s="21">
        <f t="shared" si="12"/>
        <v>9902.687090024092</v>
      </c>
      <c r="K31" s="21">
        <f t="shared" si="12"/>
        <v>10576.848835929366</v>
      </c>
      <c r="L31" s="21">
        <f t="shared" si="12"/>
        <v>11072.572054366825</v>
      </c>
      <c r="M31" s="21">
        <f t="shared" si="12"/>
        <v>11147.240883292483</v>
      </c>
      <c r="N31" s="21">
        <f t="shared" si="12"/>
        <v>11350.826494128145</v>
      </c>
      <c r="O31" s="21">
        <f t="shared" si="12"/>
        <v>11645.608376197832</v>
      </c>
      <c r="P31" s="21">
        <f t="shared" si="12"/>
        <v>12186.371729221355</v>
      </c>
      <c r="Q31" s="21">
        <f t="shared" si="12"/>
        <v>12752.207491775524</v>
      </c>
      <c r="R31" s="21">
        <f t="shared" si="12"/>
        <v>13344.277868828007</v>
      </c>
      <c r="S31" s="21">
        <f t="shared" si="12"/>
        <v>13963.798963285772</v>
      </c>
      <c r="T31" s="21">
        <f t="shared" si="12"/>
        <v>14612.043277720248</v>
      </c>
      <c r="U31" s="21">
        <f t="shared" si="12"/>
        <v>15290.342332342458</v>
      </c>
      <c r="V31" s="21">
        <f t="shared" si="12"/>
        <v>16000.089404636647</v>
      </c>
      <c r="W31" s="21">
        <f t="shared" si="12"/>
        <v>16742.742396313472</v>
      </c>
      <c r="X31" s="21">
        <f t="shared" si="12"/>
        <v>17519.82683350729</v>
      </c>
      <c r="Y31" s="21">
        <f t="shared" si="12"/>
        <v>18332.939006418088</v>
      </c>
      <c r="Z31" s="21">
        <f t="shared" si="12"/>
        <v>19183.749254887847</v>
      </c>
      <c r="AA31" s="21">
        <f t="shared" si="12"/>
        <v>20074.005406703465</v>
      </c>
    </row>
    <row r="32" spans="2:27" x14ac:dyDescent="0.5">
      <c r="C32" s="23"/>
      <c r="E32" s="41"/>
      <c r="F32" s="17"/>
      <c r="G32" s="17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2:27" x14ac:dyDescent="0.5">
      <c r="C33" s="23" t="s">
        <v>101</v>
      </c>
      <c r="H33" s="43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x14ac:dyDescent="0.5">
      <c r="B34" s="11">
        <v>1.65</v>
      </c>
      <c r="C34" s="3" t="s">
        <v>46</v>
      </c>
      <c r="D34" s="4"/>
      <c r="E34" s="18">
        <f>SUM(H34:AA34)</f>
        <v>17416.657575523954</v>
      </c>
      <c r="G34" s="3"/>
      <c r="H34" s="25">
        <f>+$B34*H$8*H$17/10^3</f>
        <v>527.01153767643723</v>
      </c>
      <c r="I34" s="25">
        <f t="shared" ref="I34:AA34" si="13">+$B$34*I8*I17/10^3</f>
        <v>553.33497346606862</v>
      </c>
      <c r="J34" s="25">
        <f t="shared" si="13"/>
        <v>580.97322538823857</v>
      </c>
      <c r="K34" s="25">
        <f t="shared" si="13"/>
        <v>609.99196653654315</v>
      </c>
      <c r="L34" s="25">
        <f t="shared" si="13"/>
        <v>640.46015027709359</v>
      </c>
      <c r="M34" s="25">
        <f t="shared" si="13"/>
        <v>672.45017409320894</v>
      </c>
      <c r="N34" s="25">
        <f t="shared" si="13"/>
        <v>706.03805161390369</v>
      </c>
      <c r="O34" s="25">
        <f t="shared" si="13"/>
        <v>741.30359323494042</v>
      </c>
      <c r="P34" s="25">
        <f t="shared" si="13"/>
        <v>778.33059576163578</v>
      </c>
      <c r="Q34" s="25">
        <f t="shared" si="13"/>
        <v>817.20704152403573</v>
      </c>
      <c r="R34" s="25">
        <f t="shared" si="13"/>
        <v>858.02530743759905</v>
      </c>
      <c r="S34" s="25">
        <f t="shared" si="13"/>
        <v>900.8823845061462</v>
      </c>
      <c r="T34" s="25">
        <f t="shared" si="13"/>
        <v>945.88010828865117</v>
      </c>
      <c r="U34" s="25">
        <f t="shared" si="13"/>
        <v>993.12540087750688</v>
      </c>
      <c r="V34" s="25">
        <f t="shared" si="13"/>
        <v>1042.730524963237</v>
      </c>
      <c r="W34" s="25">
        <f t="shared" si="13"/>
        <v>1094.8133505893632</v>
      </c>
      <c r="X34" s="25">
        <f t="shared" si="13"/>
        <v>1149.497635231276</v>
      </c>
      <c r="Y34" s="25">
        <f t="shared" si="13"/>
        <v>1206.913317864625</v>
      </c>
      <c r="Z34" s="25">
        <f t="shared" si="13"/>
        <v>1267.1968277219862</v>
      </c>
      <c r="AA34" s="25">
        <f t="shared" si="13"/>
        <v>1330.4914084714578</v>
      </c>
    </row>
    <row r="35" spans="2:27" x14ac:dyDescent="0.5">
      <c r="B35" s="11">
        <v>0.85</v>
      </c>
      <c r="C35" s="1" t="s">
        <v>47</v>
      </c>
      <c r="E35" s="31">
        <f>SUM(H35:AA35)</f>
        <v>8972.2175389062795</v>
      </c>
      <c r="H35" s="27">
        <f>+$B35*H$8*H$17/10^3</f>
        <v>271.49079213634639</v>
      </c>
      <c r="I35" s="27">
        <f t="shared" ref="I35:AA35" si="14">+$B35*I$8*I$17/10^3</f>
        <v>285.05134996736871</v>
      </c>
      <c r="J35" s="27">
        <f t="shared" si="14"/>
        <v>299.28923732121382</v>
      </c>
      <c r="K35" s="27">
        <f t="shared" si="14"/>
        <v>314.23828579155253</v>
      </c>
      <c r="L35" s="27">
        <f t="shared" si="14"/>
        <v>329.93401680941184</v>
      </c>
      <c r="M35" s="27">
        <f t="shared" si="14"/>
        <v>346.41372604801683</v>
      </c>
      <c r="N35" s="27">
        <f t="shared" si="14"/>
        <v>363.71657204352618</v>
      </c>
      <c r="O35" s="27">
        <f t="shared" si="14"/>
        <v>381.88366924224204</v>
      </c>
      <c r="P35" s="27">
        <f t="shared" si="14"/>
        <v>400.95818569538818</v>
      </c>
      <c r="Q35" s="27">
        <f t="shared" si="14"/>
        <v>420.98544563359417</v>
      </c>
      <c r="R35" s="27">
        <f t="shared" si="14"/>
        <v>442.01303716482374</v>
      </c>
      <c r="S35" s="27">
        <f t="shared" si="14"/>
        <v>464.09092535165109</v>
      </c>
      <c r="T35" s="27">
        <f t="shared" si="14"/>
        <v>487.27157093657797</v>
      </c>
      <c r="U35" s="27">
        <f t="shared" si="14"/>
        <v>511.6100549975036</v>
      </c>
      <c r="V35" s="27">
        <f t="shared" si="14"/>
        <v>537.16420982954639</v>
      </c>
      <c r="W35" s="27">
        <f t="shared" si="14"/>
        <v>563.99475636421744</v>
      </c>
      <c r="X35" s="27">
        <f t="shared" si="14"/>
        <v>592.16544845247563</v>
      </c>
      <c r="Y35" s="27">
        <f t="shared" si="14"/>
        <v>621.74322435450392</v>
      </c>
      <c r="Z35" s="27">
        <f t="shared" si="14"/>
        <v>652.79836579617472</v>
      </c>
      <c r="AA35" s="27">
        <f t="shared" si="14"/>
        <v>685.40466497014495</v>
      </c>
    </row>
    <row r="36" spans="2:27" x14ac:dyDescent="0.5">
      <c r="B36" s="29">
        <v>200</v>
      </c>
      <c r="C36" s="1" t="s">
        <v>48</v>
      </c>
      <c r="E36" s="30">
        <f>SUM(H36:AA36)</f>
        <v>5108.9315223231733</v>
      </c>
      <c r="H36" s="27">
        <f>+$B36*H$8</f>
        <v>200</v>
      </c>
      <c r="I36" s="27">
        <f t="shared" ref="I36:AA37" si="15">+$B36*I$8</f>
        <v>204.99999999999997</v>
      </c>
      <c r="J36" s="27">
        <f t="shared" si="15"/>
        <v>210.12499999999997</v>
      </c>
      <c r="K36" s="27">
        <f t="shared" si="15"/>
        <v>215.37812499999998</v>
      </c>
      <c r="L36" s="27">
        <f t="shared" si="15"/>
        <v>220.76257812499995</v>
      </c>
      <c r="M36" s="27">
        <f t="shared" si="15"/>
        <v>226.28164257812494</v>
      </c>
      <c r="N36" s="27">
        <f t="shared" si="15"/>
        <v>231.93868364257804</v>
      </c>
      <c r="O36" s="27">
        <f t="shared" si="15"/>
        <v>237.73715073364247</v>
      </c>
      <c r="P36" s="27">
        <f t="shared" si="15"/>
        <v>243.68057950198349</v>
      </c>
      <c r="Q36" s="27">
        <f t="shared" si="15"/>
        <v>249.77259398953305</v>
      </c>
      <c r="R36" s="27">
        <f t="shared" si="15"/>
        <v>256.01690883927131</v>
      </c>
      <c r="S36" s="27">
        <f t="shared" si="15"/>
        <v>262.4173315602531</v>
      </c>
      <c r="T36" s="27">
        <f t="shared" si="15"/>
        <v>268.97776484925942</v>
      </c>
      <c r="U36" s="27">
        <f t="shared" si="15"/>
        <v>275.70220897049091</v>
      </c>
      <c r="V36" s="27">
        <f t="shared" si="15"/>
        <v>282.59476419475311</v>
      </c>
      <c r="W36" s="27">
        <f t="shared" si="15"/>
        <v>289.65963329962193</v>
      </c>
      <c r="X36" s="27">
        <f t="shared" si="15"/>
        <v>296.90112413211244</v>
      </c>
      <c r="Y36" s="27">
        <f t="shared" si="15"/>
        <v>304.32365223541524</v>
      </c>
      <c r="Z36" s="27">
        <f t="shared" si="15"/>
        <v>311.93174354130059</v>
      </c>
      <c r="AA36" s="27">
        <f t="shared" si="15"/>
        <v>319.73003712983308</v>
      </c>
    </row>
    <row r="37" spans="2:27" x14ac:dyDescent="0.5">
      <c r="B37" s="29">
        <v>845</v>
      </c>
      <c r="C37" s="1" t="s">
        <v>49</v>
      </c>
      <c r="E37" s="30">
        <f>SUM(H37:AA37)</f>
        <v>21585.235681815404</v>
      </c>
      <c r="H37" s="27">
        <f>+$B37*H$8</f>
        <v>845</v>
      </c>
      <c r="I37" s="27">
        <f t="shared" si="15"/>
        <v>866.12499999999989</v>
      </c>
      <c r="J37" s="27">
        <f t="shared" si="15"/>
        <v>887.77812499999993</v>
      </c>
      <c r="K37" s="27">
        <f t="shared" si="15"/>
        <v>909.97257812499993</v>
      </c>
      <c r="L37" s="27">
        <f t="shared" si="15"/>
        <v>932.72189257812477</v>
      </c>
      <c r="M37" s="27">
        <f t="shared" si="15"/>
        <v>956.03993989257788</v>
      </c>
      <c r="N37" s="27">
        <f t="shared" si="15"/>
        <v>979.94093838989215</v>
      </c>
      <c r="O37" s="27">
        <f t="shared" si="15"/>
        <v>1004.4394618496394</v>
      </c>
      <c r="P37" s="27">
        <f t="shared" si="15"/>
        <v>1029.5504483958803</v>
      </c>
      <c r="Q37" s="27">
        <f t="shared" si="15"/>
        <v>1055.2892096057772</v>
      </c>
      <c r="R37" s="27">
        <f t="shared" si="15"/>
        <v>1081.6714398459214</v>
      </c>
      <c r="S37" s="27">
        <f t="shared" si="15"/>
        <v>1108.7132258420693</v>
      </c>
      <c r="T37" s="27">
        <f t="shared" si="15"/>
        <v>1136.4310564881209</v>
      </c>
      <c r="U37" s="27">
        <f t="shared" si="15"/>
        <v>1164.8418329003241</v>
      </c>
      <c r="V37" s="27">
        <f t="shared" si="15"/>
        <v>1193.9628787228321</v>
      </c>
      <c r="W37" s="27">
        <f t="shared" si="15"/>
        <v>1223.8119506909027</v>
      </c>
      <c r="X37" s="27">
        <f t="shared" si="15"/>
        <v>1254.4072494581751</v>
      </c>
      <c r="Y37" s="27">
        <f t="shared" si="15"/>
        <v>1285.7674306946294</v>
      </c>
      <c r="Z37" s="27">
        <f t="shared" si="15"/>
        <v>1317.911616461995</v>
      </c>
      <c r="AA37" s="27">
        <f t="shared" si="15"/>
        <v>1350.8594068735447</v>
      </c>
    </row>
    <row r="38" spans="2:27" x14ac:dyDescent="0.5">
      <c r="C38" s="22" t="s">
        <v>37</v>
      </c>
      <c r="D38" s="4"/>
      <c r="E38" s="21">
        <f>SUM(H38:AA38)</f>
        <v>53083.042318568812</v>
      </c>
      <c r="G38" s="3"/>
      <c r="H38" s="21">
        <f t="shared" ref="H38:AA38" si="16">SUM(H34:H37)</f>
        <v>1843.5023298127835</v>
      </c>
      <c r="I38" s="21">
        <f t="shared" si="16"/>
        <v>1909.5113234334372</v>
      </c>
      <c r="J38" s="21">
        <f t="shared" si="16"/>
        <v>1978.1655877094522</v>
      </c>
      <c r="K38" s="21">
        <f t="shared" si="16"/>
        <v>2049.5809554530956</v>
      </c>
      <c r="L38" s="21">
        <f t="shared" si="16"/>
        <v>2123.8786377896299</v>
      </c>
      <c r="M38" s="21">
        <f t="shared" si="16"/>
        <v>2201.1854826119288</v>
      </c>
      <c r="N38" s="21">
        <f t="shared" si="16"/>
        <v>2281.6342456899001</v>
      </c>
      <c r="O38" s="21">
        <f t="shared" si="16"/>
        <v>2365.3638750604641</v>
      </c>
      <c r="P38" s="21">
        <f t="shared" si="16"/>
        <v>2452.5198093548879</v>
      </c>
      <c r="Q38" s="21">
        <f t="shared" si="16"/>
        <v>2543.2542907529401</v>
      </c>
      <c r="R38" s="21">
        <f t="shared" si="16"/>
        <v>2637.7266932876155</v>
      </c>
      <c r="S38" s="21">
        <f t="shared" si="16"/>
        <v>2736.1038672601198</v>
      </c>
      <c r="T38" s="21">
        <f t="shared" si="16"/>
        <v>2838.5605005626094</v>
      </c>
      <c r="U38" s="21">
        <f t="shared" si="16"/>
        <v>2945.2794977458252</v>
      </c>
      <c r="V38" s="21">
        <f t="shared" si="16"/>
        <v>3056.4523777103686</v>
      </c>
      <c r="W38" s="21">
        <f t="shared" si="16"/>
        <v>3172.2796909441049</v>
      </c>
      <c r="X38" s="21">
        <f t="shared" si="16"/>
        <v>3292.9714572740395</v>
      </c>
      <c r="Y38" s="21">
        <f t="shared" si="16"/>
        <v>3418.7476251491735</v>
      </c>
      <c r="Z38" s="21">
        <f t="shared" si="16"/>
        <v>3549.8385535214566</v>
      </c>
      <c r="AA38" s="21">
        <f t="shared" si="16"/>
        <v>3686.4855174449804</v>
      </c>
    </row>
    <row r="39" spans="2:27" x14ac:dyDescent="0.5">
      <c r="E39" s="105">
        <f>E38*1000/E17</f>
        <v>6.5494191633027503</v>
      </c>
      <c r="H39" s="105">
        <f t="shared" ref="H39:AA39" si="17">H38*1000/H17</f>
        <v>5.7717500030494904</v>
      </c>
      <c r="I39" s="105">
        <f t="shared" si="17"/>
        <v>5.836358048231765</v>
      </c>
      <c r="J39" s="105">
        <f t="shared" si="17"/>
        <v>5.9025299516640573</v>
      </c>
      <c r="K39" s="105">
        <f t="shared" si="17"/>
        <v>5.9703047767215063</v>
      </c>
      <c r="L39" s="105">
        <f t="shared" si="17"/>
        <v>6.0397225633423206</v>
      </c>
      <c r="M39" s="105">
        <f t="shared" si="17"/>
        <v>6.1108243524418393</v>
      </c>
      <c r="N39" s="105">
        <f t="shared" si="17"/>
        <v>6.1836522109369332</v>
      </c>
      <c r="O39" s="105">
        <f t="shared" si="17"/>
        <v>6.2582492573960478</v>
      </c>
      <c r="P39" s="105">
        <f t="shared" si="17"/>
        <v>6.3346596883304631</v>
      </c>
      <c r="Q39" s="105">
        <f t="shared" si="17"/>
        <v>6.4129288051428617</v>
      </c>
      <c r="R39" s="105">
        <f t="shared" si="17"/>
        <v>6.4931030417495963</v>
      </c>
      <c r="S39" s="105">
        <f t="shared" si="17"/>
        <v>6.5752299928935134</v>
      </c>
      <c r="T39" s="105">
        <f t="shared" si="17"/>
        <v>6.65935844316461</v>
      </c>
      <c r="U39" s="105">
        <f t="shared" si="17"/>
        <v>6.7455383967461957</v>
      </c>
      <c r="V39" s="105">
        <f t="shared" si="17"/>
        <v>6.8338211079047024</v>
      </c>
      <c r="W39" s="105">
        <f t="shared" si="17"/>
        <v>6.9242591122417645</v>
      </c>
      <c r="X39" s="105">
        <f t="shared" si="17"/>
        <v>7.016906258727575</v>
      </c>
      <c r="Y39" s="105">
        <f t="shared" si="17"/>
        <v>7.1118177425350853</v>
      </c>
      <c r="Z39" s="105">
        <f t="shared" si="17"/>
        <v>7.2090501386950638</v>
      </c>
      <c r="AA39" s="105">
        <f t="shared" si="17"/>
        <v>7.3086614365925291</v>
      </c>
    </row>
    <row r="40" spans="2:27" x14ac:dyDescent="0.5">
      <c r="C40" s="23" t="s">
        <v>51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x14ac:dyDescent="0.5">
      <c r="C41" s="3" t="s">
        <v>102</v>
      </c>
      <c r="D41" s="4"/>
      <c r="E41" s="6">
        <f>SUM(H41:AA41)</f>
        <v>274132.8646459108</v>
      </c>
      <c r="H41" s="94">
        <f>+H31</f>
        <v>9041.4182923826083</v>
      </c>
      <c r="I41" s="94">
        <f t="shared" ref="I41:AA41" si="18">+I31</f>
        <v>9393.2686539492879</v>
      </c>
      <c r="J41" s="94">
        <f t="shared" si="18"/>
        <v>9902.687090024092</v>
      </c>
      <c r="K41" s="94">
        <f t="shared" si="18"/>
        <v>10576.848835929366</v>
      </c>
      <c r="L41" s="94">
        <f t="shared" si="18"/>
        <v>11072.572054366825</v>
      </c>
      <c r="M41" s="94">
        <f t="shared" si="18"/>
        <v>11147.240883292483</v>
      </c>
      <c r="N41" s="94">
        <f t="shared" si="18"/>
        <v>11350.826494128145</v>
      </c>
      <c r="O41" s="94">
        <f t="shared" si="18"/>
        <v>11645.608376197832</v>
      </c>
      <c r="P41" s="94">
        <f t="shared" si="18"/>
        <v>12186.371729221355</v>
      </c>
      <c r="Q41" s="94">
        <f t="shared" si="18"/>
        <v>12752.207491775524</v>
      </c>
      <c r="R41" s="94">
        <f t="shared" si="18"/>
        <v>13344.277868828007</v>
      </c>
      <c r="S41" s="94">
        <f t="shared" si="18"/>
        <v>13963.798963285772</v>
      </c>
      <c r="T41" s="94">
        <f t="shared" si="18"/>
        <v>14612.043277720248</v>
      </c>
      <c r="U41" s="94">
        <f t="shared" si="18"/>
        <v>15290.342332342458</v>
      </c>
      <c r="V41" s="94">
        <f t="shared" si="18"/>
        <v>16000.089404636647</v>
      </c>
      <c r="W41" s="94">
        <f t="shared" si="18"/>
        <v>16742.742396313472</v>
      </c>
      <c r="X41" s="94">
        <f t="shared" si="18"/>
        <v>17519.82683350729</v>
      </c>
      <c r="Y41" s="94">
        <f t="shared" si="18"/>
        <v>18332.939006418088</v>
      </c>
      <c r="Z41" s="94">
        <f t="shared" si="18"/>
        <v>19183.749254887847</v>
      </c>
      <c r="AA41" s="94">
        <f t="shared" si="18"/>
        <v>20074.005406703465</v>
      </c>
    </row>
    <row r="42" spans="2:27" x14ac:dyDescent="0.5">
      <c r="B42" s="7"/>
      <c r="C42" s="1" t="s">
        <v>103</v>
      </c>
      <c r="D42" s="371">
        <f>+INPUTS!E32</f>
        <v>36835</v>
      </c>
      <c r="E42" s="17"/>
      <c r="H42" s="19">
        <f>-$D$42/20</f>
        <v>-1841.75</v>
      </c>
      <c r="I42" s="19">
        <f t="shared" ref="I42:AA42" si="19">-$D$42/20</f>
        <v>-1841.75</v>
      </c>
      <c r="J42" s="19">
        <f t="shared" si="19"/>
        <v>-1841.75</v>
      </c>
      <c r="K42" s="19">
        <f t="shared" si="19"/>
        <v>-1841.75</v>
      </c>
      <c r="L42" s="19">
        <f t="shared" si="19"/>
        <v>-1841.75</v>
      </c>
      <c r="M42" s="19">
        <f t="shared" si="19"/>
        <v>-1841.75</v>
      </c>
      <c r="N42" s="19">
        <f t="shared" si="19"/>
        <v>-1841.75</v>
      </c>
      <c r="O42" s="19">
        <f t="shared" si="19"/>
        <v>-1841.75</v>
      </c>
      <c r="P42" s="19">
        <f t="shared" si="19"/>
        <v>-1841.75</v>
      </c>
      <c r="Q42" s="19">
        <f t="shared" si="19"/>
        <v>-1841.75</v>
      </c>
      <c r="R42" s="19">
        <f t="shared" si="19"/>
        <v>-1841.75</v>
      </c>
      <c r="S42" s="19">
        <f t="shared" si="19"/>
        <v>-1841.75</v>
      </c>
      <c r="T42" s="19">
        <f t="shared" si="19"/>
        <v>-1841.75</v>
      </c>
      <c r="U42" s="19">
        <f t="shared" si="19"/>
        <v>-1841.75</v>
      </c>
      <c r="V42" s="19">
        <f t="shared" si="19"/>
        <v>-1841.75</v>
      </c>
      <c r="W42" s="19">
        <f t="shared" si="19"/>
        <v>-1841.75</v>
      </c>
      <c r="X42" s="19">
        <f t="shared" si="19"/>
        <v>-1841.75</v>
      </c>
      <c r="Y42" s="19">
        <f t="shared" si="19"/>
        <v>-1841.75</v>
      </c>
      <c r="Z42" s="19">
        <f t="shared" si="19"/>
        <v>-1841.75</v>
      </c>
      <c r="AA42" s="19">
        <f t="shared" si="19"/>
        <v>-1841.75</v>
      </c>
    </row>
    <row r="43" spans="2:27" x14ac:dyDescent="0.5">
      <c r="B43" s="7"/>
      <c r="C43" s="1" t="s">
        <v>104</v>
      </c>
      <c r="D43" s="371">
        <f>+INPUTS!E33</f>
        <v>9208.75</v>
      </c>
      <c r="E43" s="17"/>
      <c r="H43" s="19">
        <f>-$D$43/20</f>
        <v>-460.4375</v>
      </c>
      <c r="I43" s="19">
        <f t="shared" ref="I43:AA43" si="20">-$D$43/20</f>
        <v>-460.4375</v>
      </c>
      <c r="J43" s="19">
        <f t="shared" si="20"/>
        <v>-460.4375</v>
      </c>
      <c r="K43" s="19">
        <f t="shared" si="20"/>
        <v>-460.4375</v>
      </c>
      <c r="L43" s="19">
        <f t="shared" si="20"/>
        <v>-460.4375</v>
      </c>
      <c r="M43" s="19">
        <f t="shared" si="20"/>
        <v>-460.4375</v>
      </c>
      <c r="N43" s="19">
        <f t="shared" si="20"/>
        <v>-460.4375</v>
      </c>
      <c r="O43" s="19">
        <f t="shared" si="20"/>
        <v>-460.4375</v>
      </c>
      <c r="P43" s="19">
        <f t="shared" si="20"/>
        <v>-460.4375</v>
      </c>
      <c r="Q43" s="19">
        <f t="shared" si="20"/>
        <v>-460.4375</v>
      </c>
      <c r="R43" s="19">
        <f t="shared" si="20"/>
        <v>-460.4375</v>
      </c>
      <c r="S43" s="19">
        <f t="shared" si="20"/>
        <v>-460.4375</v>
      </c>
      <c r="T43" s="19">
        <f t="shared" si="20"/>
        <v>-460.4375</v>
      </c>
      <c r="U43" s="19">
        <f t="shared" si="20"/>
        <v>-460.4375</v>
      </c>
      <c r="V43" s="19">
        <f t="shared" si="20"/>
        <v>-460.4375</v>
      </c>
      <c r="W43" s="19">
        <f t="shared" si="20"/>
        <v>-460.4375</v>
      </c>
      <c r="X43" s="19">
        <f t="shared" si="20"/>
        <v>-460.4375</v>
      </c>
      <c r="Y43" s="19">
        <f t="shared" si="20"/>
        <v>-460.4375</v>
      </c>
      <c r="Z43" s="19">
        <f t="shared" si="20"/>
        <v>-460.4375</v>
      </c>
      <c r="AA43" s="19">
        <f t="shared" si="20"/>
        <v>-460.4375</v>
      </c>
    </row>
    <row r="44" spans="2:27" x14ac:dyDescent="0.5">
      <c r="B44" s="7"/>
      <c r="C44" s="1" t="s">
        <v>105</v>
      </c>
      <c r="D44" s="371">
        <f>+INPUTS!E34</f>
        <v>51911.25</v>
      </c>
      <c r="E44" s="110"/>
      <c r="H44" s="19">
        <f>-$D$44/20</f>
        <v>-2595.5625</v>
      </c>
      <c r="I44" s="19">
        <f t="shared" ref="I44:AA44" si="21">-$D$44/20</f>
        <v>-2595.5625</v>
      </c>
      <c r="J44" s="19">
        <f t="shared" si="21"/>
        <v>-2595.5625</v>
      </c>
      <c r="K44" s="19">
        <f t="shared" si="21"/>
        <v>-2595.5625</v>
      </c>
      <c r="L44" s="19">
        <f t="shared" si="21"/>
        <v>-2595.5625</v>
      </c>
      <c r="M44" s="19">
        <f t="shared" si="21"/>
        <v>-2595.5625</v>
      </c>
      <c r="N44" s="19">
        <f t="shared" si="21"/>
        <v>-2595.5625</v>
      </c>
      <c r="O44" s="19">
        <f t="shared" si="21"/>
        <v>-2595.5625</v>
      </c>
      <c r="P44" s="19">
        <f t="shared" si="21"/>
        <v>-2595.5625</v>
      </c>
      <c r="Q44" s="19">
        <f t="shared" si="21"/>
        <v>-2595.5625</v>
      </c>
      <c r="R44" s="19">
        <f t="shared" si="21"/>
        <v>-2595.5625</v>
      </c>
      <c r="S44" s="19">
        <f t="shared" si="21"/>
        <v>-2595.5625</v>
      </c>
      <c r="T44" s="19">
        <f t="shared" si="21"/>
        <v>-2595.5625</v>
      </c>
      <c r="U44" s="19">
        <f t="shared" si="21"/>
        <v>-2595.5625</v>
      </c>
      <c r="V44" s="19">
        <f t="shared" si="21"/>
        <v>-2595.5625</v>
      </c>
      <c r="W44" s="19">
        <f t="shared" si="21"/>
        <v>-2595.5625</v>
      </c>
      <c r="X44" s="19">
        <f t="shared" si="21"/>
        <v>-2595.5625</v>
      </c>
      <c r="Y44" s="19">
        <f t="shared" si="21"/>
        <v>-2595.5625</v>
      </c>
      <c r="Z44" s="19">
        <f t="shared" si="21"/>
        <v>-2595.5625</v>
      </c>
      <c r="AA44" s="19">
        <f t="shared" si="21"/>
        <v>-2595.5625</v>
      </c>
    </row>
    <row r="45" spans="2:27" x14ac:dyDescent="0.5">
      <c r="B45" s="7"/>
      <c r="C45" s="3" t="s">
        <v>106</v>
      </c>
      <c r="D45" s="374">
        <f>+SUM(D42:D44)</f>
        <v>97955</v>
      </c>
      <c r="E45" s="211"/>
      <c r="H45" s="94">
        <f>SUM(H41:H44)</f>
        <v>4143.6682923826083</v>
      </c>
      <c r="I45" s="94">
        <f t="shared" ref="I45:AA45" si="22">SUM(I41:I44)</f>
        <v>4495.5186539492879</v>
      </c>
      <c r="J45" s="94">
        <f t="shared" si="22"/>
        <v>5004.937090024092</v>
      </c>
      <c r="K45" s="94">
        <f t="shared" si="22"/>
        <v>5679.098835929366</v>
      </c>
      <c r="L45" s="94">
        <f t="shared" si="22"/>
        <v>6174.8220543668249</v>
      </c>
      <c r="M45" s="94">
        <f t="shared" si="22"/>
        <v>6249.490883292483</v>
      </c>
      <c r="N45" s="94">
        <f t="shared" si="22"/>
        <v>6453.076494128145</v>
      </c>
      <c r="O45" s="94">
        <f t="shared" si="22"/>
        <v>6747.8583761978316</v>
      </c>
      <c r="P45" s="94">
        <f t="shared" si="22"/>
        <v>7288.6217292213551</v>
      </c>
      <c r="Q45" s="94">
        <f t="shared" si="22"/>
        <v>7854.4574917755235</v>
      </c>
      <c r="R45" s="94">
        <f t="shared" si="22"/>
        <v>8446.5278688280068</v>
      </c>
      <c r="S45" s="94">
        <f t="shared" si="22"/>
        <v>9066.0489632857716</v>
      </c>
      <c r="T45" s="94">
        <f t="shared" si="22"/>
        <v>9714.2932777202477</v>
      </c>
      <c r="U45" s="94">
        <f t="shared" si="22"/>
        <v>10392.592332342458</v>
      </c>
      <c r="V45" s="94">
        <f t="shared" si="22"/>
        <v>11102.339404636647</v>
      </c>
      <c r="W45" s="94">
        <f t="shared" si="22"/>
        <v>11844.992396313472</v>
      </c>
      <c r="X45" s="94">
        <f t="shared" si="22"/>
        <v>12622.07683350729</v>
      </c>
      <c r="Y45" s="94">
        <f t="shared" si="22"/>
        <v>13435.189006418088</v>
      </c>
      <c r="Z45" s="94">
        <f t="shared" si="22"/>
        <v>14285.999254887847</v>
      </c>
      <c r="AA45" s="94">
        <f t="shared" si="22"/>
        <v>15176.255406703465</v>
      </c>
    </row>
    <row r="46" spans="2:27" x14ac:dyDescent="0.5">
      <c r="B46" s="7"/>
      <c r="C46" s="213" t="s">
        <v>107</v>
      </c>
      <c r="D46" s="351">
        <f>+INPUTS!$E$28</f>
        <v>0.7</v>
      </c>
      <c r="E46" s="352">
        <f>+INPUTS!E26</f>
        <v>1000</v>
      </c>
      <c r="H46" s="348">
        <f>+$D$46</f>
        <v>0.7</v>
      </c>
      <c r="I46" s="348">
        <f t="shared" ref="I46:AA46" si="23">+$D$46</f>
        <v>0.7</v>
      </c>
      <c r="J46" s="348">
        <f t="shared" si="23"/>
        <v>0.7</v>
      </c>
      <c r="K46" s="348">
        <f t="shared" si="23"/>
        <v>0.7</v>
      </c>
      <c r="L46" s="348">
        <f t="shared" si="23"/>
        <v>0.7</v>
      </c>
      <c r="M46" s="348">
        <f t="shared" si="23"/>
        <v>0.7</v>
      </c>
      <c r="N46" s="348">
        <f t="shared" si="23"/>
        <v>0.7</v>
      </c>
      <c r="O46" s="348">
        <f t="shared" si="23"/>
        <v>0.7</v>
      </c>
      <c r="P46" s="348">
        <f t="shared" si="23"/>
        <v>0.7</v>
      </c>
      <c r="Q46" s="348">
        <f t="shared" si="23"/>
        <v>0.7</v>
      </c>
      <c r="R46" s="348">
        <f t="shared" si="23"/>
        <v>0.7</v>
      </c>
      <c r="S46" s="348">
        <f t="shared" si="23"/>
        <v>0.7</v>
      </c>
      <c r="T46" s="348">
        <f t="shared" si="23"/>
        <v>0.7</v>
      </c>
      <c r="U46" s="348">
        <f t="shared" si="23"/>
        <v>0.7</v>
      </c>
      <c r="V46" s="348">
        <f t="shared" si="23"/>
        <v>0.7</v>
      </c>
      <c r="W46" s="348">
        <f t="shared" si="23"/>
        <v>0.7</v>
      </c>
      <c r="X46" s="348">
        <f t="shared" si="23"/>
        <v>0.7</v>
      </c>
      <c r="Y46" s="348">
        <f t="shared" si="23"/>
        <v>0.7</v>
      </c>
      <c r="Z46" s="348">
        <f t="shared" si="23"/>
        <v>0.7</v>
      </c>
      <c r="AA46" s="348">
        <f t="shared" si="23"/>
        <v>0.7</v>
      </c>
    </row>
    <row r="47" spans="2:27" x14ac:dyDescent="0.5">
      <c r="B47" s="7"/>
      <c r="C47" s="123" t="s">
        <v>108</v>
      </c>
      <c r="D47" s="215">
        <f>SUM(H47:AA47)</f>
        <v>123324.50525213755</v>
      </c>
      <c r="E47" s="211"/>
      <c r="H47" s="94">
        <f>+MAX($E$46,H46*H45)</f>
        <v>2900.5678046678258</v>
      </c>
      <c r="I47" s="94">
        <f t="shared" ref="I47:AA47" si="24">+MAX($E$46,I46*I45)</f>
        <v>3146.8630577645013</v>
      </c>
      <c r="J47" s="94">
        <f t="shared" si="24"/>
        <v>3503.4559630168642</v>
      </c>
      <c r="K47" s="94">
        <f t="shared" si="24"/>
        <v>3975.3691851505559</v>
      </c>
      <c r="L47" s="94">
        <f t="shared" si="24"/>
        <v>4322.3754380567771</v>
      </c>
      <c r="M47" s="94">
        <f t="shared" si="24"/>
        <v>4374.6436183047381</v>
      </c>
      <c r="N47" s="94">
        <f t="shared" si="24"/>
        <v>4517.1535458897015</v>
      </c>
      <c r="O47" s="94">
        <f t="shared" si="24"/>
        <v>4723.5008633384814</v>
      </c>
      <c r="P47" s="94">
        <f t="shared" si="24"/>
        <v>5102.0352104549484</v>
      </c>
      <c r="Q47" s="94">
        <f t="shared" si="24"/>
        <v>5498.1202442428657</v>
      </c>
      <c r="R47" s="94">
        <f t="shared" si="24"/>
        <v>5912.5695081796048</v>
      </c>
      <c r="S47" s="94">
        <f t="shared" si="24"/>
        <v>6346.2342743000399</v>
      </c>
      <c r="T47" s="94">
        <f t="shared" si="24"/>
        <v>6800.0052944041727</v>
      </c>
      <c r="U47" s="94">
        <f t="shared" si="24"/>
        <v>7274.81463263972</v>
      </c>
      <c r="V47" s="94">
        <f t="shared" si="24"/>
        <v>7771.6375832456524</v>
      </c>
      <c r="W47" s="94">
        <f t="shared" si="24"/>
        <v>8291.4946774194304</v>
      </c>
      <c r="X47" s="94">
        <f t="shared" si="24"/>
        <v>8835.4537834551029</v>
      </c>
      <c r="Y47" s="94">
        <f t="shared" si="24"/>
        <v>9404.6323044926612</v>
      </c>
      <c r="Z47" s="94">
        <f t="shared" si="24"/>
        <v>10000.199478421493</v>
      </c>
      <c r="AA47" s="94">
        <f t="shared" si="24"/>
        <v>10623.378784692424</v>
      </c>
    </row>
    <row r="49" spans="1:27" x14ac:dyDescent="0.5">
      <c r="C49" s="1" t="s">
        <v>109</v>
      </c>
      <c r="D49" s="384">
        <f>+INPUTS!E31</f>
        <v>1250</v>
      </c>
      <c r="E49" s="65">
        <f>+INPUTS!$E$30</f>
        <v>2.82</v>
      </c>
      <c r="H49" s="9">
        <f t="shared" ref="H49:AA49" si="25">IF(AND(H$11&gt;$D$49,H$19&gt;$E$49),1,0)</f>
        <v>0</v>
      </c>
      <c r="I49" s="9">
        <f t="shared" si="25"/>
        <v>0</v>
      </c>
      <c r="J49" s="9">
        <f t="shared" si="25"/>
        <v>0</v>
      </c>
      <c r="K49" s="9">
        <f t="shared" si="25"/>
        <v>0</v>
      </c>
      <c r="L49" s="9">
        <f t="shared" si="25"/>
        <v>0</v>
      </c>
      <c r="M49" s="9">
        <f t="shared" si="25"/>
        <v>0</v>
      </c>
      <c r="N49" s="9">
        <f t="shared" si="25"/>
        <v>0</v>
      </c>
      <c r="O49" s="9">
        <f t="shared" si="25"/>
        <v>0</v>
      </c>
      <c r="P49" s="9">
        <f t="shared" si="25"/>
        <v>0</v>
      </c>
      <c r="Q49" s="9">
        <f t="shared" si="25"/>
        <v>0</v>
      </c>
      <c r="R49" s="9">
        <f t="shared" si="25"/>
        <v>0</v>
      </c>
      <c r="S49" s="9">
        <f t="shared" si="25"/>
        <v>0</v>
      </c>
      <c r="T49" s="9">
        <f t="shared" si="25"/>
        <v>1</v>
      </c>
      <c r="U49" s="9">
        <f t="shared" si="25"/>
        <v>1</v>
      </c>
      <c r="V49" s="9">
        <f t="shared" si="25"/>
        <v>1</v>
      </c>
      <c r="W49" s="9">
        <f t="shared" si="25"/>
        <v>1</v>
      </c>
      <c r="X49" s="9">
        <f t="shared" si="25"/>
        <v>1</v>
      </c>
      <c r="Y49" s="9">
        <f t="shared" si="25"/>
        <v>1</v>
      </c>
      <c r="Z49" s="9">
        <f t="shared" si="25"/>
        <v>1</v>
      </c>
      <c r="AA49" s="9">
        <f t="shared" si="25"/>
        <v>1</v>
      </c>
    </row>
    <row r="50" spans="1:27" x14ac:dyDescent="0.5">
      <c r="A50" s="114"/>
      <c r="B50" s="7"/>
      <c r="C50" s="213" t="s">
        <v>110</v>
      </c>
      <c r="D50" s="351">
        <f>+INPUTS!$E$29</f>
        <v>0.9</v>
      </c>
      <c r="E50" s="370"/>
      <c r="H50" s="19">
        <f>+H49*(H45*($D$50-$D$46)*((H$11-$D$49)/$D$49))</f>
        <v>0</v>
      </c>
      <c r="I50" s="19">
        <f t="shared" ref="I50:AA50" si="26">+I49*(I45*($D$50-$D$46)*((I$11-$D$49)/I$11))</f>
        <v>0</v>
      </c>
      <c r="J50" s="19">
        <f t="shared" si="26"/>
        <v>0</v>
      </c>
      <c r="K50" s="19">
        <f t="shared" si="26"/>
        <v>0</v>
      </c>
      <c r="L50" s="19">
        <f t="shared" si="26"/>
        <v>0</v>
      </c>
      <c r="M50" s="19">
        <f t="shared" si="26"/>
        <v>0</v>
      </c>
      <c r="N50" s="19">
        <f t="shared" si="26"/>
        <v>0</v>
      </c>
      <c r="O50" s="19">
        <f t="shared" si="26"/>
        <v>0</v>
      </c>
      <c r="P50" s="19">
        <f t="shared" si="26"/>
        <v>0</v>
      </c>
      <c r="Q50" s="19">
        <f t="shared" si="26"/>
        <v>0</v>
      </c>
      <c r="R50" s="19">
        <f t="shared" si="26"/>
        <v>0</v>
      </c>
      <c r="S50" s="19">
        <f t="shared" si="26"/>
        <v>0</v>
      </c>
      <c r="T50" s="19">
        <f t="shared" si="26"/>
        <v>27.288643251484281</v>
      </c>
      <c r="U50" s="19">
        <f t="shared" si="26"/>
        <v>77.889380577869474</v>
      </c>
      <c r="V50" s="19">
        <f t="shared" si="26"/>
        <v>133.99350944800278</v>
      </c>
      <c r="W50" s="19">
        <f t="shared" si="26"/>
        <v>195.85095729364332</v>
      </c>
      <c r="X50" s="19">
        <f t="shared" si="26"/>
        <v>263.72486224059338</v>
      </c>
      <c r="Y50" s="19">
        <f t="shared" si="26"/>
        <v>337.89218014770211</v>
      </c>
      <c r="Z50" s="19">
        <f t="shared" si="26"/>
        <v>418.64432070830929</v>
      </c>
      <c r="AA50" s="19">
        <f t="shared" si="26"/>
        <v>506.28781396181313</v>
      </c>
    </row>
    <row r="51" spans="1:27" ht="14.7" thickBot="1" x14ac:dyDescent="0.55000000000000004">
      <c r="A51" s="114"/>
      <c r="B51" s="7"/>
      <c r="C51" s="42"/>
      <c r="D51" s="369"/>
      <c r="E51" s="370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" thickTop="1" thickBot="1" x14ac:dyDescent="0.55000000000000004">
      <c r="B52" s="7"/>
      <c r="C52" s="216" t="s">
        <v>111</v>
      </c>
      <c r="D52" s="222">
        <f>+SUM(H52:AA52)</f>
        <v>125286.07691976697</v>
      </c>
      <c r="E52" s="214"/>
      <c r="H52" s="217">
        <f t="shared" ref="H52:AA52" si="27">+H47+H50</f>
        <v>2900.5678046678258</v>
      </c>
      <c r="I52" s="217">
        <f t="shared" si="27"/>
        <v>3146.8630577645013</v>
      </c>
      <c r="J52" s="217">
        <f t="shared" si="27"/>
        <v>3503.4559630168642</v>
      </c>
      <c r="K52" s="217">
        <f t="shared" si="27"/>
        <v>3975.3691851505559</v>
      </c>
      <c r="L52" s="217">
        <f t="shared" si="27"/>
        <v>4322.3754380567771</v>
      </c>
      <c r="M52" s="217">
        <f t="shared" si="27"/>
        <v>4374.6436183047381</v>
      </c>
      <c r="N52" s="217">
        <f t="shared" si="27"/>
        <v>4517.1535458897015</v>
      </c>
      <c r="O52" s="217">
        <f t="shared" si="27"/>
        <v>4723.5008633384814</v>
      </c>
      <c r="P52" s="217">
        <f t="shared" si="27"/>
        <v>5102.0352104549484</v>
      </c>
      <c r="Q52" s="217">
        <f t="shared" si="27"/>
        <v>5498.1202442428657</v>
      </c>
      <c r="R52" s="217">
        <f t="shared" si="27"/>
        <v>5912.5695081796048</v>
      </c>
      <c r="S52" s="217">
        <f t="shared" si="27"/>
        <v>6346.2342743000399</v>
      </c>
      <c r="T52" s="217">
        <f t="shared" si="27"/>
        <v>6827.2939376556569</v>
      </c>
      <c r="U52" s="217">
        <f t="shared" si="27"/>
        <v>7352.7040132175898</v>
      </c>
      <c r="V52" s="217">
        <f t="shared" si="27"/>
        <v>7905.6310926936549</v>
      </c>
      <c r="W52" s="217">
        <f t="shared" si="27"/>
        <v>8487.3456347130741</v>
      </c>
      <c r="X52" s="217">
        <f t="shared" si="27"/>
        <v>9099.1786456956961</v>
      </c>
      <c r="Y52" s="217">
        <f t="shared" si="27"/>
        <v>9742.5244846403639</v>
      </c>
      <c r="Z52" s="217">
        <f t="shared" si="27"/>
        <v>10418.843799129801</v>
      </c>
      <c r="AA52" s="217">
        <f t="shared" si="27"/>
        <v>11129.666598654238</v>
      </c>
    </row>
    <row r="53" spans="1:27" ht="14.7" thickTop="1" x14ac:dyDescent="0.5">
      <c r="B53" s="7"/>
      <c r="C53" s="213" t="s">
        <v>112</v>
      </c>
      <c r="D53" s="58"/>
      <c r="E53" s="214"/>
      <c r="H53" s="212">
        <f t="shared" ref="H53:AA53" si="28">+H52/H45</f>
        <v>0.7</v>
      </c>
      <c r="I53" s="212">
        <f t="shared" si="28"/>
        <v>0.7</v>
      </c>
      <c r="J53" s="212">
        <f t="shared" si="28"/>
        <v>0.7</v>
      </c>
      <c r="K53" s="212">
        <f t="shared" si="28"/>
        <v>0.7</v>
      </c>
      <c r="L53" s="212">
        <f t="shared" si="28"/>
        <v>0.7</v>
      </c>
      <c r="M53" s="212">
        <f t="shared" si="28"/>
        <v>0.7</v>
      </c>
      <c r="N53" s="212">
        <f t="shared" si="28"/>
        <v>0.7</v>
      </c>
      <c r="O53" s="212">
        <f t="shared" si="28"/>
        <v>0.69999999999999984</v>
      </c>
      <c r="P53" s="212">
        <f t="shared" si="28"/>
        <v>0.7</v>
      </c>
      <c r="Q53" s="212">
        <f t="shared" si="28"/>
        <v>0.7</v>
      </c>
      <c r="R53" s="212">
        <f t="shared" si="28"/>
        <v>0.7</v>
      </c>
      <c r="S53" s="212">
        <f t="shared" si="28"/>
        <v>0.7</v>
      </c>
      <c r="T53" s="212">
        <f t="shared" si="28"/>
        <v>0.70280912285344221</v>
      </c>
      <c r="U53" s="212">
        <f t="shared" si="28"/>
        <v>0.70749470181135388</v>
      </c>
      <c r="V53" s="212">
        <f t="shared" si="28"/>
        <v>0.71206894372118035</v>
      </c>
      <c r="W53" s="212">
        <f t="shared" si="28"/>
        <v>0.71653449413395987</v>
      </c>
      <c r="X53" s="212">
        <f t="shared" si="28"/>
        <v>0.72089393573809457</v>
      </c>
      <c r="Y53" s="212">
        <f t="shared" si="28"/>
        <v>0.72514978985307077</v>
      </c>
      <c r="Z53" s="212">
        <f t="shared" si="28"/>
        <v>0.72930451788768447</v>
      </c>
      <c r="AA53" s="212">
        <f t="shared" si="28"/>
        <v>0.73336052276361796</v>
      </c>
    </row>
    <row r="54" spans="1:27" x14ac:dyDescent="0.5">
      <c r="B54" s="7"/>
      <c r="C54" s="23"/>
      <c r="D54" s="111"/>
      <c r="E54" s="112"/>
      <c r="F54" s="23"/>
      <c r="G54" s="2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</row>
    <row r="55" spans="1:27" x14ac:dyDescent="0.5">
      <c r="B55" s="133" t="s">
        <v>113</v>
      </c>
      <c r="E55" s="13">
        <f>-E59+E38</f>
        <v>65452.05963860028</v>
      </c>
    </row>
    <row r="56" spans="1:27" outlineLevel="1" x14ac:dyDescent="0.5">
      <c r="C56" s="23" t="s">
        <v>114</v>
      </c>
      <c r="D56" s="2" t="s">
        <v>115</v>
      </c>
    </row>
    <row r="57" spans="1:27" outlineLevel="1" x14ac:dyDescent="0.5">
      <c r="B57" s="28">
        <f>+INPUTS!E32/10^3*$D$57</f>
        <v>36.835000000000001</v>
      </c>
      <c r="C57" s="3" t="s">
        <v>57</v>
      </c>
      <c r="D57" s="135">
        <v>1</v>
      </c>
      <c r="E57" s="32">
        <f>SUM(G57:AA57)</f>
        <v>-36835</v>
      </c>
      <c r="G57" s="32">
        <f>-B57*85%*10^3</f>
        <v>-31309.75</v>
      </c>
      <c r="H57" s="32">
        <f>-B57*10^3-G57</f>
        <v>-5525.25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outlineLevel="1" x14ac:dyDescent="0.5">
      <c r="C58" s="1" t="s">
        <v>116</v>
      </c>
      <c r="E58" s="31">
        <f>SUM(G58:AA58)</f>
        <v>95763.745407575014</v>
      </c>
      <c r="H58" s="31">
        <f t="shared" ref="H58:AA58" si="29">+H31-SUM(H38,H52)</f>
        <v>4297.348157901999</v>
      </c>
      <c r="I58" s="31">
        <f t="shared" si="29"/>
        <v>4336.8942727513495</v>
      </c>
      <c r="J58" s="31">
        <f t="shared" si="29"/>
        <v>4421.0655392977751</v>
      </c>
      <c r="K58" s="31">
        <f t="shared" si="29"/>
        <v>4551.8986953257145</v>
      </c>
      <c r="L58" s="31">
        <f t="shared" si="29"/>
        <v>4626.3179785204175</v>
      </c>
      <c r="M58" s="31">
        <f t="shared" si="29"/>
        <v>4571.4117823758161</v>
      </c>
      <c r="N58" s="31">
        <f t="shared" si="29"/>
        <v>4552.0387025485434</v>
      </c>
      <c r="O58" s="31">
        <f t="shared" si="29"/>
        <v>4556.7436377988861</v>
      </c>
      <c r="P58" s="31">
        <f t="shared" si="29"/>
        <v>4631.8167094115188</v>
      </c>
      <c r="Q58" s="31">
        <f t="shared" si="29"/>
        <v>4710.8329567797173</v>
      </c>
      <c r="R58" s="31">
        <f t="shared" si="29"/>
        <v>4793.9816673607875</v>
      </c>
      <c r="S58" s="31">
        <f t="shared" si="29"/>
        <v>4881.4608217256118</v>
      </c>
      <c r="T58" s="31">
        <f t="shared" si="29"/>
        <v>4946.1888395019814</v>
      </c>
      <c r="U58" s="31">
        <f t="shared" si="29"/>
        <v>4992.3588213790426</v>
      </c>
      <c r="V58" s="31">
        <f t="shared" si="29"/>
        <v>5038.0059342326222</v>
      </c>
      <c r="W58" s="31">
        <f t="shared" si="29"/>
        <v>5083.1170706562916</v>
      </c>
      <c r="X58" s="31">
        <f t="shared" si="29"/>
        <v>5127.6767305375542</v>
      </c>
      <c r="Y58" s="31">
        <f t="shared" si="29"/>
        <v>5171.6668966285506</v>
      </c>
      <c r="Z58" s="31">
        <f t="shared" si="29"/>
        <v>5215.0669022365892</v>
      </c>
      <c r="AA58" s="31">
        <f t="shared" si="29"/>
        <v>5257.8532906042474</v>
      </c>
    </row>
    <row r="59" spans="1:27" outlineLevel="1" x14ac:dyDescent="0.5">
      <c r="B59" s="16">
        <v>1.4999999999999999E-2</v>
      </c>
      <c r="C59" s="1" t="s">
        <v>117</v>
      </c>
      <c r="E59" s="31">
        <f>SUM(G59:AA59)</f>
        <v>-12369.017320031468</v>
      </c>
      <c r="J59" s="31">
        <f>+$B$59*SUM(G57:H57)</f>
        <v>-552.52499999999998</v>
      </c>
      <c r="K59" s="31">
        <f>J59*(1+INPUTS!$E$6)</f>
        <v>-566.33812499999988</v>
      </c>
      <c r="L59" s="31">
        <f>K59*(1+INPUTS!$E$6)</f>
        <v>-580.49657812499981</v>
      </c>
      <c r="M59" s="31">
        <f>L59*(1+INPUTS!$E$6)</f>
        <v>-595.00899257812478</v>
      </c>
      <c r="N59" s="31">
        <f>M59*(1+INPUTS!$E$6)</f>
        <v>-609.88421739257785</v>
      </c>
      <c r="O59" s="31">
        <f>N59*(1+INPUTS!$E$6)</f>
        <v>-625.1313228273923</v>
      </c>
      <c r="P59" s="31">
        <f>O59*(1+INPUTS!$E$6)</f>
        <v>-640.7596058980771</v>
      </c>
      <c r="Q59" s="31">
        <f>P59*(1+INPUTS!$E$6)</f>
        <v>-656.77859604552896</v>
      </c>
      <c r="R59" s="31">
        <f>Q59*(1+INPUTS!$E$6)</f>
        <v>-673.19806094666717</v>
      </c>
      <c r="S59" s="31">
        <f>R59*(1+INPUTS!$E$6)</f>
        <v>-690.02801247033381</v>
      </c>
      <c r="T59" s="31">
        <f>S59*(1+INPUTS!$E$6)</f>
        <v>-707.27871278209204</v>
      </c>
      <c r="U59" s="31">
        <f>T59*(1+INPUTS!$E$6)</f>
        <v>-724.9606806016443</v>
      </c>
      <c r="V59" s="31">
        <f>U59*(1+INPUTS!$E$6)</f>
        <v>-743.08469761668539</v>
      </c>
      <c r="W59" s="31">
        <f>V59*(1+INPUTS!$E$6)</f>
        <v>-761.66181505710244</v>
      </c>
      <c r="X59" s="31">
        <f>W59*(1+INPUTS!$E$6)</f>
        <v>-780.70336043352995</v>
      </c>
      <c r="Y59" s="31">
        <f>X59*(1+INPUTS!$E$6)</f>
        <v>-800.22094444436812</v>
      </c>
      <c r="Z59" s="31">
        <f>Y59*(1+INPUTS!$E$6)</f>
        <v>-820.2264680554772</v>
      </c>
      <c r="AA59" s="31">
        <f>Z59*(1+INPUTS!$E$6)</f>
        <v>-840.73212975686408</v>
      </c>
    </row>
    <row r="60" spans="1:27" outlineLevel="1" x14ac:dyDescent="0.5">
      <c r="B60" s="10">
        <v>0.35199999999999998</v>
      </c>
      <c r="C60" s="1" t="s">
        <v>118</v>
      </c>
      <c r="E60" s="31">
        <f>SUM(G60:AA60)</f>
        <v>12965.919999999998</v>
      </c>
      <c r="H60" s="31">
        <f>$B$60*B57*10^3</f>
        <v>12965.919999999998</v>
      </c>
    </row>
    <row r="61" spans="1:27" outlineLevel="1" x14ac:dyDescent="0.5">
      <c r="C61" s="22" t="s">
        <v>37</v>
      </c>
      <c r="D61" s="4"/>
      <c r="E61" s="33">
        <f>SUM(E57:E60)</f>
        <v>59525.648087543545</v>
      </c>
      <c r="G61" s="33">
        <f t="shared" ref="G61:AA61" si="30">SUM(G57:G60)</f>
        <v>-31309.75</v>
      </c>
      <c r="H61" s="33">
        <f t="shared" si="30"/>
        <v>11738.018157901997</v>
      </c>
      <c r="I61" s="33">
        <f t="shared" si="30"/>
        <v>4336.8942727513495</v>
      </c>
      <c r="J61" s="33">
        <f t="shared" si="30"/>
        <v>3868.540539297775</v>
      </c>
      <c r="K61" s="33">
        <f t="shared" si="30"/>
        <v>3985.5605703257147</v>
      </c>
      <c r="L61" s="33">
        <f t="shared" si="30"/>
        <v>4045.8214003954176</v>
      </c>
      <c r="M61" s="33">
        <f t="shared" si="30"/>
        <v>3976.4027897976912</v>
      </c>
      <c r="N61" s="33">
        <f t="shared" si="30"/>
        <v>3942.1544851559656</v>
      </c>
      <c r="O61" s="33">
        <f t="shared" si="30"/>
        <v>3931.612314971494</v>
      </c>
      <c r="P61" s="33">
        <f t="shared" si="30"/>
        <v>3991.0571035134417</v>
      </c>
      <c r="Q61" s="33">
        <f t="shared" si="30"/>
        <v>4054.0543607341883</v>
      </c>
      <c r="R61" s="33">
        <f t="shared" si="30"/>
        <v>4120.7836064141202</v>
      </c>
      <c r="S61" s="33">
        <f t="shared" si="30"/>
        <v>4191.4328092552778</v>
      </c>
      <c r="T61" s="33">
        <f t="shared" si="30"/>
        <v>4238.9101267198894</v>
      </c>
      <c r="U61" s="33">
        <f t="shared" si="30"/>
        <v>4267.3981407773981</v>
      </c>
      <c r="V61" s="33">
        <f t="shared" si="30"/>
        <v>4294.9212366159372</v>
      </c>
      <c r="W61" s="33">
        <f t="shared" si="30"/>
        <v>4321.4552555991895</v>
      </c>
      <c r="X61" s="33">
        <f t="shared" si="30"/>
        <v>4346.9733701040241</v>
      </c>
      <c r="Y61" s="33">
        <f t="shared" si="30"/>
        <v>4371.4459521841827</v>
      </c>
      <c r="Z61" s="33">
        <f t="shared" si="30"/>
        <v>4394.840434181112</v>
      </c>
      <c r="AA61" s="33">
        <f t="shared" si="30"/>
        <v>4417.1211608473832</v>
      </c>
    </row>
    <row r="63" spans="1:27" x14ac:dyDescent="0.5">
      <c r="C63" s="39" t="s">
        <v>60</v>
      </c>
      <c r="D63" s="349">
        <f>XIRR(G61:AA61,$G$9:$AA$9)</f>
        <v>0.15111439824104311</v>
      </c>
    </row>
    <row r="64" spans="1:27" x14ac:dyDescent="0.5">
      <c r="D64" s="1"/>
    </row>
    <row r="65" spans="2:27" x14ac:dyDescent="0.5">
      <c r="E65" s="9"/>
    </row>
    <row r="66" spans="2:27" x14ac:dyDescent="0.5">
      <c r="B66" s="133" t="s">
        <v>119</v>
      </c>
      <c r="E66" s="13"/>
    </row>
    <row r="67" spans="2:27" ht="15.7" hidden="1" outlineLevel="1" x14ac:dyDescent="0.55000000000000004">
      <c r="C67" s="100" t="s">
        <v>120</v>
      </c>
      <c r="E67" s="36" t="s">
        <v>37</v>
      </c>
      <c r="G67" s="36" t="str">
        <f t="shared" ref="G67:AA67" si="31">+G10</f>
        <v>Year 0</v>
      </c>
      <c r="H67" s="36" t="str">
        <f t="shared" si="31"/>
        <v>Year 1</v>
      </c>
      <c r="I67" s="36" t="str">
        <f t="shared" si="31"/>
        <v>Year 2</v>
      </c>
      <c r="J67" s="36" t="str">
        <f t="shared" si="31"/>
        <v>Year 3</v>
      </c>
      <c r="K67" s="36" t="str">
        <f t="shared" si="31"/>
        <v>Year 4</v>
      </c>
      <c r="L67" s="36" t="str">
        <f t="shared" si="31"/>
        <v>Year 5</v>
      </c>
      <c r="M67" s="36" t="str">
        <f t="shared" si="31"/>
        <v>Year 6</v>
      </c>
      <c r="N67" s="36" t="str">
        <f t="shared" si="31"/>
        <v>Year 7</v>
      </c>
      <c r="O67" s="36" t="str">
        <f t="shared" si="31"/>
        <v>Year 8</v>
      </c>
      <c r="P67" s="36" t="str">
        <f t="shared" si="31"/>
        <v>Year 9</v>
      </c>
      <c r="Q67" s="36" t="str">
        <f t="shared" si="31"/>
        <v>Year 10</v>
      </c>
      <c r="R67" s="36" t="str">
        <f t="shared" si="31"/>
        <v>Year 11</v>
      </c>
      <c r="S67" s="36" t="str">
        <f t="shared" si="31"/>
        <v>Year 12</v>
      </c>
      <c r="T67" s="36" t="str">
        <f t="shared" si="31"/>
        <v>Year 13</v>
      </c>
      <c r="U67" s="36" t="str">
        <f t="shared" si="31"/>
        <v>Year 14</v>
      </c>
      <c r="V67" s="36" t="str">
        <f t="shared" si="31"/>
        <v>Year 15</v>
      </c>
      <c r="W67" s="36" t="str">
        <f t="shared" si="31"/>
        <v>Year 16</v>
      </c>
      <c r="X67" s="36" t="str">
        <f t="shared" si="31"/>
        <v>Year 17</v>
      </c>
      <c r="Y67" s="36" t="str">
        <f t="shared" si="31"/>
        <v>Year 18</v>
      </c>
      <c r="Z67" s="36" t="str">
        <f t="shared" si="31"/>
        <v>Year 19</v>
      </c>
      <c r="AA67" s="36" t="str">
        <f t="shared" si="31"/>
        <v>Year 20</v>
      </c>
    </row>
    <row r="68" spans="2:27" hidden="1" outlineLevel="1" x14ac:dyDescent="0.5">
      <c r="C68" s="44" t="str">
        <f>'Bid Forms'!C5</f>
        <v>20- year Evaluative Value of the sale of RNG and EAs</v>
      </c>
      <c r="D68" s="45"/>
      <c r="E68" s="46">
        <f>SUM(G68:AA68)</f>
        <v>334045.82598981418</v>
      </c>
      <c r="G68" s="18">
        <f>+G31</f>
        <v>0</v>
      </c>
      <c r="H68" s="18">
        <f t="shared" ref="H68:AA68" si="32">+H31-H29</f>
        <v>11035.552188718679</v>
      </c>
      <c r="I68" s="18">
        <f t="shared" si="32"/>
        <v>11474.201925602083</v>
      </c>
      <c r="J68" s="18">
        <f t="shared" si="32"/>
        <v>12096.88643070041</v>
      </c>
      <c r="K68" s="18">
        <f t="shared" si="32"/>
        <v>12924.778527611374</v>
      </c>
      <c r="L68" s="18">
        <f t="shared" si="32"/>
        <v>13528.864445274112</v>
      </c>
      <c r="M68" s="18">
        <f t="shared" si="32"/>
        <v>13605.836049280731</v>
      </c>
      <c r="N68" s="18">
        <f t="shared" si="32"/>
        <v>13843.117072856978</v>
      </c>
      <c r="O68" s="18">
        <f t="shared" si="32"/>
        <v>14193.514626033375</v>
      </c>
      <c r="P68" s="18">
        <f t="shared" si="32"/>
        <v>14850.465835067604</v>
      </c>
      <c r="Q68" s="18">
        <f t="shared" si="32"/>
        <v>15537.78777176535</v>
      </c>
      <c r="R68" s="18">
        <f t="shared" si="32"/>
        <v>16256.884251327927</v>
      </c>
      <c r="S68" s="18">
        <f t="shared" si="32"/>
        <v>17009.224004638469</v>
      </c>
      <c r="T68" s="18">
        <f t="shared" si="32"/>
        <v>17796.343682410556</v>
      </c>
      <c r="U68" s="18">
        <f t="shared" si="32"/>
        <v>18619.850998497986</v>
      </c>
      <c r="V68" s="18">
        <f t="shared" si="32"/>
        <v>19481.42801881897</v>
      </c>
      <c r="W68" s="18">
        <f t="shared" si="32"/>
        <v>20382.834602648261</v>
      </c>
      <c r="X68" s="18">
        <f t="shared" si="32"/>
        <v>21325.912003344019</v>
      </c>
      <c r="Y68" s="18">
        <f t="shared" si="32"/>
        <v>22312.586635904194</v>
      </c>
      <c r="Z68" s="18">
        <f t="shared" si="32"/>
        <v>23344.874019091101</v>
      </c>
      <c r="AA68" s="18">
        <f t="shared" si="32"/>
        <v>24424.88290022203</v>
      </c>
    </row>
    <row r="69" spans="2:27" hidden="1" outlineLevel="1" x14ac:dyDescent="0.5">
      <c r="B69" s="10"/>
      <c r="C69" s="47" t="str">
        <f>"(-)"&amp;'Bid Forms'!C9</f>
        <v>(-)20-year Allowance for RIN Management</v>
      </c>
      <c r="D69" s="48"/>
      <c r="E69" s="49">
        <f>SUM(G69:AA69)</f>
        <v>-59912.961343903393</v>
      </c>
      <c r="H69" s="7">
        <f t="shared" ref="H69:AA69" si="33">H29</f>
        <v>-1994.1338963360702</v>
      </c>
      <c r="I69" s="7">
        <f t="shared" si="33"/>
        <v>-2080.9332716527947</v>
      </c>
      <c r="J69" s="7">
        <f t="shared" si="33"/>
        <v>-2194.1993406763181</v>
      </c>
      <c r="K69" s="7">
        <f t="shared" si="33"/>
        <v>-2347.9296916820076</v>
      </c>
      <c r="L69" s="7">
        <f t="shared" si="33"/>
        <v>-2456.2923909072874</v>
      </c>
      <c r="M69" s="7">
        <f t="shared" si="33"/>
        <v>-2458.595165988248</v>
      </c>
      <c r="N69" s="7">
        <f t="shared" si="33"/>
        <v>-2492.2905787288328</v>
      </c>
      <c r="O69" s="7">
        <f t="shared" si="33"/>
        <v>-2547.9062498355424</v>
      </c>
      <c r="P69" s="7">
        <f t="shared" si="33"/>
        <v>-2664.0941058462481</v>
      </c>
      <c r="Q69" s="7">
        <f t="shared" si="33"/>
        <v>-2785.5802799898265</v>
      </c>
      <c r="R69" s="7">
        <f t="shared" si="33"/>
        <v>-2912.6063824999192</v>
      </c>
      <c r="S69" s="7">
        <f t="shared" si="33"/>
        <v>-3045.4250413526966</v>
      </c>
      <c r="T69" s="7">
        <f t="shared" si="33"/>
        <v>-3184.3004046903066</v>
      </c>
      <c r="U69" s="7">
        <f t="shared" si="33"/>
        <v>-3329.5086661555274</v>
      </c>
      <c r="V69" s="7">
        <f t="shared" si="33"/>
        <v>-3481.338614182323</v>
      </c>
      <c r="W69" s="7">
        <f t="shared" si="33"/>
        <v>-3640.0922063347916</v>
      </c>
      <c r="X69" s="7">
        <f t="shared" si="33"/>
        <v>-3806.0851698367314</v>
      </c>
      <c r="Y69" s="7">
        <f t="shared" si="33"/>
        <v>-3979.6476294861068</v>
      </c>
      <c r="Z69" s="7">
        <f t="shared" si="33"/>
        <v>-4161.1247642032549</v>
      </c>
      <c r="AA69" s="7">
        <f t="shared" si="33"/>
        <v>-4350.8774935185666</v>
      </c>
    </row>
    <row r="70" spans="2:27" hidden="1" outlineLevel="1" x14ac:dyDescent="0.5">
      <c r="C70" s="47" t="str">
        <f>"(-)"&amp;'Bid Forms'!C8</f>
        <v>(-)20-year Allowance for Operations and Maintenance</v>
      </c>
      <c r="D70" s="48"/>
      <c r="E70" s="104">
        <v>-45000</v>
      </c>
      <c r="H70" s="7">
        <f t="shared" ref="H70:AA70" si="34">-H38</f>
        <v>-1843.5023298127835</v>
      </c>
      <c r="I70" s="7">
        <f t="shared" si="34"/>
        <v>-1909.5113234334372</v>
      </c>
      <c r="J70" s="7">
        <f t="shared" si="34"/>
        <v>-1978.1655877094522</v>
      </c>
      <c r="K70" s="7">
        <f t="shared" si="34"/>
        <v>-2049.5809554530956</v>
      </c>
      <c r="L70" s="7">
        <f t="shared" si="34"/>
        <v>-2123.8786377896299</v>
      </c>
      <c r="M70" s="7">
        <f t="shared" si="34"/>
        <v>-2201.1854826119288</v>
      </c>
      <c r="N70" s="7">
        <f t="shared" si="34"/>
        <v>-2281.6342456899001</v>
      </c>
      <c r="O70" s="7">
        <f t="shared" si="34"/>
        <v>-2365.3638750604641</v>
      </c>
      <c r="P70" s="7">
        <f t="shared" si="34"/>
        <v>-2452.5198093548879</v>
      </c>
      <c r="Q70" s="7">
        <f t="shared" si="34"/>
        <v>-2543.2542907529401</v>
      </c>
      <c r="R70" s="7">
        <f t="shared" si="34"/>
        <v>-2637.7266932876155</v>
      </c>
      <c r="S70" s="7">
        <f t="shared" si="34"/>
        <v>-2736.1038672601198</v>
      </c>
      <c r="T70" s="7">
        <f t="shared" si="34"/>
        <v>-2838.5605005626094</v>
      </c>
      <c r="U70" s="7">
        <f t="shared" si="34"/>
        <v>-2945.2794977458252</v>
      </c>
      <c r="V70" s="7">
        <f t="shared" si="34"/>
        <v>-3056.4523777103686</v>
      </c>
      <c r="W70" s="7">
        <f t="shared" si="34"/>
        <v>-3172.2796909441049</v>
      </c>
      <c r="X70" s="7">
        <f t="shared" si="34"/>
        <v>-3292.9714572740395</v>
      </c>
      <c r="Y70" s="7">
        <f t="shared" si="34"/>
        <v>-3418.7476251491735</v>
      </c>
      <c r="Z70" s="7">
        <f t="shared" si="34"/>
        <v>-3549.8385535214566</v>
      </c>
      <c r="AA70" s="7">
        <f t="shared" si="34"/>
        <v>-3686.4855174449804</v>
      </c>
    </row>
    <row r="71" spans="2:27" hidden="1" outlineLevel="1" x14ac:dyDescent="0.5">
      <c r="C71" s="50" t="s">
        <v>121</v>
      </c>
      <c r="D71" s="51"/>
      <c r="E71" s="52">
        <f>SUM(E68:E70)</f>
        <v>229132.8646459108</v>
      </c>
      <c r="F71" s="23"/>
      <c r="G71" s="22"/>
      <c r="H71" s="21">
        <f t="shared" ref="H71:AA71" si="35">SUM(H68:H70)</f>
        <v>7197.9159625698248</v>
      </c>
      <c r="I71" s="21">
        <f t="shared" si="35"/>
        <v>7483.7573305158512</v>
      </c>
      <c r="J71" s="21">
        <f t="shared" si="35"/>
        <v>7924.5215023146393</v>
      </c>
      <c r="K71" s="21">
        <f t="shared" si="35"/>
        <v>8527.2678804762709</v>
      </c>
      <c r="L71" s="21">
        <f t="shared" si="35"/>
        <v>8948.6934165771945</v>
      </c>
      <c r="M71" s="21">
        <f t="shared" si="35"/>
        <v>8946.0554006805542</v>
      </c>
      <c r="N71" s="21">
        <f t="shared" si="35"/>
        <v>9069.1922484382449</v>
      </c>
      <c r="O71" s="21">
        <f t="shared" si="35"/>
        <v>9280.2445011373693</v>
      </c>
      <c r="P71" s="21">
        <f t="shared" si="35"/>
        <v>9733.8519198664671</v>
      </c>
      <c r="Q71" s="21">
        <f t="shared" si="35"/>
        <v>10208.953201022583</v>
      </c>
      <c r="R71" s="21">
        <f t="shared" si="35"/>
        <v>10706.551175540393</v>
      </c>
      <c r="S71" s="21">
        <f t="shared" si="35"/>
        <v>11227.695096025651</v>
      </c>
      <c r="T71" s="21">
        <f t="shared" si="35"/>
        <v>11773.48277715764</v>
      </c>
      <c r="U71" s="21">
        <f t="shared" si="35"/>
        <v>12345.062834596634</v>
      </c>
      <c r="V71" s="21">
        <f t="shared" si="35"/>
        <v>12943.637026926277</v>
      </c>
      <c r="W71" s="21">
        <f t="shared" si="35"/>
        <v>13570.462705369366</v>
      </c>
      <c r="X71" s="21">
        <f t="shared" si="35"/>
        <v>14226.855376233247</v>
      </c>
      <c r="Y71" s="21">
        <f t="shared" si="35"/>
        <v>14914.191381268914</v>
      </c>
      <c r="Z71" s="21">
        <f t="shared" si="35"/>
        <v>15633.910701366391</v>
      </c>
      <c r="AA71" s="21">
        <f t="shared" si="35"/>
        <v>16387.519889258485</v>
      </c>
    </row>
    <row r="72" spans="2:27" hidden="1" outlineLevel="1" x14ac:dyDescent="0.5">
      <c r="C72" s="47" t="s">
        <v>122</v>
      </c>
      <c r="D72" s="53">
        <v>37</v>
      </c>
      <c r="E72" s="49">
        <f>SUM(G72:AA72)</f>
        <v>-37000</v>
      </c>
      <c r="F72" s="23"/>
      <c r="G72" s="19">
        <f>-D72*1000</f>
        <v>-37000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2:27" hidden="1" outlineLevel="1" x14ac:dyDescent="0.5">
      <c r="C73" s="47" t="s">
        <v>117</v>
      </c>
      <c r="D73" s="54">
        <v>1.4999999999999999E-2</v>
      </c>
      <c r="E73" s="49">
        <f>SUM(G73:AA73)</f>
        <v>-13290.03412141152</v>
      </c>
      <c r="H73" s="15">
        <v>0</v>
      </c>
      <c r="I73" s="7">
        <f t="shared" ref="I73:AA73" si="36">+$D$73*$G$72*H8</f>
        <v>-555</v>
      </c>
      <c r="J73" s="7">
        <f t="shared" si="36"/>
        <v>-568.875</v>
      </c>
      <c r="K73" s="7">
        <f t="shared" si="36"/>
        <v>-583.09687499999995</v>
      </c>
      <c r="L73" s="7">
        <f t="shared" si="36"/>
        <v>-597.67429687499998</v>
      </c>
      <c r="M73" s="7">
        <f t="shared" si="36"/>
        <v>-612.61615429687492</v>
      </c>
      <c r="N73" s="7">
        <f t="shared" si="36"/>
        <v>-627.93155815429668</v>
      </c>
      <c r="O73" s="7">
        <f t="shared" si="36"/>
        <v>-643.62984710815408</v>
      </c>
      <c r="P73" s="7">
        <f t="shared" si="36"/>
        <v>-659.72059328585783</v>
      </c>
      <c r="Q73" s="7">
        <f t="shared" si="36"/>
        <v>-676.21360811800423</v>
      </c>
      <c r="R73" s="7">
        <f t="shared" si="36"/>
        <v>-693.11894832095425</v>
      </c>
      <c r="S73" s="7">
        <f t="shared" si="36"/>
        <v>-710.44692202897795</v>
      </c>
      <c r="T73" s="7">
        <f t="shared" si="36"/>
        <v>-728.20809507970239</v>
      </c>
      <c r="U73" s="7">
        <f t="shared" si="36"/>
        <v>-746.41329745669486</v>
      </c>
      <c r="V73" s="7">
        <f t="shared" si="36"/>
        <v>-765.07362989311218</v>
      </c>
      <c r="W73" s="7">
        <f t="shared" si="36"/>
        <v>-784.2004706404399</v>
      </c>
      <c r="X73" s="7">
        <f t="shared" si="36"/>
        <v>-803.80548240645078</v>
      </c>
      <c r="Y73" s="7">
        <f t="shared" si="36"/>
        <v>-823.90061946661206</v>
      </c>
      <c r="Z73" s="7">
        <f t="shared" si="36"/>
        <v>-844.49813495327726</v>
      </c>
      <c r="AA73" s="7">
        <f t="shared" si="36"/>
        <v>-865.6105883271091</v>
      </c>
    </row>
    <row r="74" spans="2:27" hidden="1" outlineLevel="1" x14ac:dyDescent="0.5">
      <c r="C74" s="47" t="s">
        <v>123</v>
      </c>
      <c r="D74" s="54">
        <v>0.04</v>
      </c>
      <c r="E74" s="49">
        <f>SUM(G74:AA74)</f>
        <v>-29600</v>
      </c>
      <c r="H74" s="31">
        <f>$D$74*$G$72</f>
        <v>-1480</v>
      </c>
      <c r="I74" s="31">
        <f t="shared" ref="I74:AA74" si="37">$D$74*$G$72</f>
        <v>-1480</v>
      </c>
      <c r="J74" s="31">
        <f t="shared" si="37"/>
        <v>-1480</v>
      </c>
      <c r="K74" s="31">
        <f t="shared" si="37"/>
        <v>-1480</v>
      </c>
      <c r="L74" s="31">
        <f t="shared" si="37"/>
        <v>-1480</v>
      </c>
      <c r="M74" s="31">
        <f t="shared" si="37"/>
        <v>-1480</v>
      </c>
      <c r="N74" s="31">
        <f t="shared" si="37"/>
        <v>-1480</v>
      </c>
      <c r="O74" s="31">
        <f t="shared" si="37"/>
        <v>-1480</v>
      </c>
      <c r="P74" s="31">
        <f t="shared" si="37"/>
        <v>-1480</v>
      </c>
      <c r="Q74" s="31">
        <f t="shared" si="37"/>
        <v>-1480</v>
      </c>
      <c r="R74" s="31">
        <f t="shared" si="37"/>
        <v>-1480</v>
      </c>
      <c r="S74" s="31">
        <f t="shared" si="37"/>
        <v>-1480</v>
      </c>
      <c r="T74" s="31">
        <f t="shared" si="37"/>
        <v>-1480</v>
      </c>
      <c r="U74" s="31">
        <f t="shared" si="37"/>
        <v>-1480</v>
      </c>
      <c r="V74" s="31">
        <f t="shared" si="37"/>
        <v>-1480</v>
      </c>
      <c r="W74" s="31">
        <f t="shared" si="37"/>
        <v>-1480</v>
      </c>
      <c r="X74" s="31">
        <f t="shared" si="37"/>
        <v>-1480</v>
      </c>
      <c r="Y74" s="31">
        <f t="shared" si="37"/>
        <v>-1480</v>
      </c>
      <c r="Z74" s="31">
        <f t="shared" si="37"/>
        <v>-1480</v>
      </c>
      <c r="AA74" s="31">
        <f t="shared" si="37"/>
        <v>-1480</v>
      </c>
    </row>
    <row r="75" spans="2:27" hidden="1" outlineLevel="1" x14ac:dyDescent="0.5">
      <c r="C75" s="50" t="s">
        <v>124</v>
      </c>
      <c r="D75" s="45"/>
      <c r="E75" s="52">
        <f>SUM(E71:E74)</f>
        <v>149242.83052449927</v>
      </c>
      <c r="G75" s="33">
        <f>SUM(G71:G74)</f>
        <v>-37000</v>
      </c>
      <c r="H75" s="33">
        <f>SUM(H71:H74)</f>
        <v>5717.9159625698248</v>
      </c>
      <c r="I75" s="33">
        <f t="shared" ref="I75:AA75" si="38">SUM(I71:I74)</f>
        <v>5448.7573305158512</v>
      </c>
      <c r="J75" s="33">
        <f t="shared" si="38"/>
        <v>5875.6465023146393</v>
      </c>
      <c r="K75" s="33">
        <f t="shared" si="38"/>
        <v>6464.1710054762707</v>
      </c>
      <c r="L75" s="33">
        <f t="shared" si="38"/>
        <v>6871.0191197021941</v>
      </c>
      <c r="M75" s="33">
        <f t="shared" si="38"/>
        <v>6853.4392463836793</v>
      </c>
      <c r="N75" s="33">
        <f t="shared" si="38"/>
        <v>6961.2606902839489</v>
      </c>
      <c r="O75" s="33">
        <f t="shared" si="38"/>
        <v>7156.6146540292157</v>
      </c>
      <c r="P75" s="33">
        <f t="shared" si="38"/>
        <v>7594.1313265806093</v>
      </c>
      <c r="Q75" s="33">
        <f t="shared" si="38"/>
        <v>8052.7395929045779</v>
      </c>
      <c r="R75" s="33">
        <f t="shared" si="38"/>
        <v>8533.4322272194386</v>
      </c>
      <c r="S75" s="33">
        <f t="shared" si="38"/>
        <v>9037.2481739966734</v>
      </c>
      <c r="T75" s="33">
        <f t="shared" si="38"/>
        <v>9565.2746820779375</v>
      </c>
      <c r="U75" s="33">
        <f t="shared" si="38"/>
        <v>10118.64953713994</v>
      </c>
      <c r="V75" s="33">
        <f t="shared" si="38"/>
        <v>10698.563397033166</v>
      </c>
      <c r="W75" s="33">
        <f t="shared" si="38"/>
        <v>11306.262234728925</v>
      </c>
      <c r="X75" s="33">
        <f t="shared" si="38"/>
        <v>11943.049893826796</v>
      </c>
      <c r="Y75" s="33">
        <f t="shared" si="38"/>
        <v>12610.290761802302</v>
      </c>
      <c r="Z75" s="33">
        <f t="shared" si="38"/>
        <v>13309.412566413113</v>
      </c>
      <c r="AA75" s="33">
        <f t="shared" si="38"/>
        <v>14041.909300931376</v>
      </c>
    </row>
    <row r="76" spans="2:27" hidden="1" outlineLevel="1" x14ac:dyDescent="0.5"/>
    <row r="77" spans="2:27" collapsed="1" x14ac:dyDescent="0.5">
      <c r="B77" s="133" t="s">
        <v>125</v>
      </c>
    </row>
    <row r="78" spans="2:27" outlineLevel="1" x14ac:dyDescent="0.5"/>
    <row r="79" spans="2:27" outlineLevel="1" x14ac:dyDescent="0.5">
      <c r="E79" s="16"/>
      <c r="I79" s="147" t="s">
        <v>126</v>
      </c>
      <c r="J79" s="37"/>
      <c r="K79" s="37"/>
      <c r="L79" s="37"/>
      <c r="O79" s="147" t="s">
        <v>127</v>
      </c>
      <c r="P79" s="37"/>
      <c r="Q79" s="37"/>
      <c r="R79" s="37"/>
    </row>
    <row r="80" spans="2:27" outlineLevel="1" x14ac:dyDescent="0.5">
      <c r="I80" s="142">
        <f>+I81*INPUTS!$E$32/10^3</f>
        <v>33.151499999999999</v>
      </c>
      <c r="J80" s="142">
        <f>+J81*INPUTS!$E$32/10^3</f>
        <v>36.835000000000001</v>
      </c>
      <c r="K80" s="142">
        <f>+K81*INPUTS!$E$32/10^3</f>
        <v>39.751554252199412</v>
      </c>
      <c r="L80" s="142">
        <f>+L81*INPUTS!$E$32/10^3</f>
        <v>44.201999999999998</v>
      </c>
      <c r="O80" s="141">
        <f>+O81*$E$17/10^3</f>
        <v>7294.5000000000027</v>
      </c>
      <c r="P80" s="141">
        <f>+P81*$E$17/10^3</f>
        <v>8105.0000000000027</v>
      </c>
      <c r="Q80" s="141">
        <f>+Q81*$E$17/10^3</f>
        <v>8915.5000000000036</v>
      </c>
      <c r="R80" s="141">
        <f>+R81*$E$17/10^3</f>
        <v>9939.5155185465574</v>
      </c>
    </row>
    <row r="81" spans="4:18" outlineLevel="1" x14ac:dyDescent="0.5">
      <c r="H81" s="136">
        <f>+D63</f>
        <v>0.15111439824104311</v>
      </c>
      <c r="I81" s="138">
        <v>0.9</v>
      </c>
      <c r="J81" s="138">
        <v>1</v>
      </c>
      <c r="K81" s="138">
        <f>36.8/34.1</f>
        <v>1.0791788856304985</v>
      </c>
      <c r="L81" s="138">
        <v>1.2</v>
      </c>
      <c r="N81" s="136">
        <f>+$D$63</f>
        <v>0.15111439824104311</v>
      </c>
      <c r="O81" s="140">
        <v>0.9</v>
      </c>
      <c r="P81" s="140">
        <v>1</v>
      </c>
      <c r="Q81" s="140">
        <v>1.1000000000000001</v>
      </c>
      <c r="R81" s="140">
        <f>8.1/6.605</f>
        <v>1.2263436790310369</v>
      </c>
    </row>
    <row r="82" spans="4:18" outlineLevel="1" x14ac:dyDescent="0.5">
      <c r="D82" s="103">
        <v>1</v>
      </c>
      <c r="G82" s="13">
        <f>+H82+INPUTS!$E$17</f>
        <v>1.8900000000000001</v>
      </c>
      <c r="H82" s="137">
        <v>-0.5</v>
      </c>
      <c r="I82" s="143">
        <f t="dataTable" ref="I82:L87" dt2D="1" dtr="1" r1="D57" r2="E19"/>
        <v>0.14891646504402162</v>
      </c>
      <c r="J82" s="144">
        <v>0.12976225018501283</v>
      </c>
      <c r="K82" s="144">
        <v>0.11654599308967589</v>
      </c>
      <c r="L82" s="144">
        <v>9.8913174867630016E-2</v>
      </c>
      <c r="M82" s="13">
        <f>+N82+INPUTS!$E$17</f>
        <v>1.8900000000000001</v>
      </c>
      <c r="N82" s="137">
        <v>-0.5</v>
      </c>
      <c r="O82" s="143">
        <f t="dataTable" ref="O82:R87" dt2D="1" dtr="1" r1="E16" r2="E19" ca="1"/>
        <v>0.12154995799064636</v>
      </c>
      <c r="P82" s="144">
        <v>0.12976225018501283</v>
      </c>
      <c r="Q82" s="144">
        <v>0.13771780133247377</v>
      </c>
      <c r="R82" s="144">
        <v>0.14744803309440621</v>
      </c>
    </row>
    <row r="83" spans="4:18" outlineLevel="1" x14ac:dyDescent="0.5">
      <c r="D83" s="103">
        <f>+D82+5%</f>
        <v>1.05</v>
      </c>
      <c r="G83" s="13">
        <f>+H83+INPUTS!$E$17</f>
        <v>2.14</v>
      </c>
      <c r="H83" s="137">
        <v>-0.25</v>
      </c>
      <c r="I83" s="145">
        <v>0.16027824282646183</v>
      </c>
      <c r="J83" s="146">
        <v>0.14051072001457215</v>
      </c>
      <c r="K83" s="146">
        <v>0.12690396904945375</v>
      </c>
      <c r="L83" s="146">
        <v>0.10879722237586975</v>
      </c>
      <c r="M83" s="13">
        <f>+N83+INPUTS!$E$17</f>
        <v>2.14</v>
      </c>
      <c r="N83" s="137">
        <v>-0.25</v>
      </c>
      <c r="O83" s="145">
        <v>0.13152505755424498</v>
      </c>
      <c r="P83" s="146">
        <v>0.14051072001457215</v>
      </c>
      <c r="Q83" s="146">
        <v>0.14922050833702086</v>
      </c>
      <c r="R83" s="146">
        <v>0.1598815262317658</v>
      </c>
    </row>
    <row r="84" spans="4:18" outlineLevel="1" x14ac:dyDescent="0.5">
      <c r="D84" s="103">
        <f t="shared" ref="D84:D96" si="39">+D83+5%</f>
        <v>1.1000000000000001</v>
      </c>
      <c r="G84" s="13">
        <f>+H84+INPUTS!$E$17</f>
        <v>2.39</v>
      </c>
      <c r="H84" s="137">
        <v>0</v>
      </c>
      <c r="I84" s="145">
        <v>0.17149409651756284</v>
      </c>
      <c r="J84" s="146">
        <v>0.15111439824104311</v>
      </c>
      <c r="K84" s="146">
        <v>0.13711665272712709</v>
      </c>
      <c r="L84" s="146">
        <v>0.11853325963020325</v>
      </c>
      <c r="M84" s="13">
        <f>+N84+INPUTS!$E$17</f>
        <v>2.39</v>
      </c>
      <c r="N84" s="137">
        <v>0</v>
      </c>
      <c r="O84" s="145">
        <v>0.14136238694190978</v>
      </c>
      <c r="P84" s="146">
        <v>0.15111439824104311</v>
      </c>
      <c r="Q84" s="146">
        <v>0.16057078242301945</v>
      </c>
      <c r="R84" s="146">
        <v>0.17215240597724918</v>
      </c>
    </row>
    <row r="85" spans="4:18" outlineLevel="1" x14ac:dyDescent="0.5">
      <c r="D85" s="103">
        <f t="shared" si="39"/>
        <v>1.1500000000000001</v>
      </c>
      <c r="G85" s="13">
        <f>+H85+INPUTS!$E$17</f>
        <v>2.64</v>
      </c>
      <c r="H85" s="137">
        <v>0.25</v>
      </c>
      <c r="I85" s="145">
        <v>0.18241887688636779</v>
      </c>
      <c r="J85" s="146">
        <v>0.16141646504402163</v>
      </c>
      <c r="K85" s="146">
        <v>0.147019225358963</v>
      </c>
      <c r="L85" s="146">
        <v>0.12794594168663023</v>
      </c>
      <c r="M85" s="13">
        <f>+N85+INPUTS!$E$17</f>
        <v>2.64</v>
      </c>
      <c r="N85" s="137">
        <v>0.25</v>
      </c>
      <c r="O85" s="145">
        <v>0.15091775059700016</v>
      </c>
      <c r="P85" s="146">
        <v>0.16141646504402163</v>
      </c>
      <c r="Q85" s="146">
        <v>0.17160196900367738</v>
      </c>
      <c r="R85" s="146">
        <v>0.18408481478691102</v>
      </c>
    </row>
    <row r="86" spans="4:18" outlineLevel="1" x14ac:dyDescent="0.5">
      <c r="D86" s="103">
        <f t="shared" si="39"/>
        <v>1.2000000000000002</v>
      </c>
      <c r="G86" s="13">
        <f>+H86+INPUTS!$E$17</f>
        <v>2.89</v>
      </c>
      <c r="H86" s="137">
        <v>0.5</v>
      </c>
      <c r="I86" s="145">
        <v>0.1930892050266266</v>
      </c>
      <c r="J86" s="146">
        <v>0.17145528197288512</v>
      </c>
      <c r="K86" s="146">
        <v>0.15665146708488464</v>
      </c>
      <c r="L86" s="146">
        <v>0.13707727789878846</v>
      </c>
      <c r="M86" s="13">
        <f>+N86+INPUTS!$E$17</f>
        <v>2.81502154800389</v>
      </c>
      <c r="N86" s="137">
        <v>0.42502154800388992</v>
      </c>
      <c r="O86" s="145">
        <v>0.15745833516120911</v>
      </c>
      <c r="P86" s="146">
        <v>0.1684701383113861</v>
      </c>
      <c r="Q86" s="146">
        <v>0.17915758490562442</v>
      </c>
      <c r="R86" s="146">
        <v>0.19226196408271792</v>
      </c>
    </row>
    <row r="87" spans="4:18" outlineLevel="1" x14ac:dyDescent="0.5">
      <c r="D87" s="103">
        <f t="shared" si="39"/>
        <v>1.2500000000000002</v>
      </c>
      <c r="G87" s="13">
        <f>+H87+INPUTS!$E$17</f>
        <v>3.14</v>
      </c>
      <c r="H87" s="137">
        <v>0.75</v>
      </c>
      <c r="I87" s="145">
        <v>0.20353531241416931</v>
      </c>
      <c r="J87" s="146">
        <v>0.18126248717308044</v>
      </c>
      <c r="K87" s="146">
        <v>0.16604610085487367</v>
      </c>
      <c r="L87" s="146">
        <v>0.14596173167228704</v>
      </c>
      <c r="M87" s="13">
        <f>+N87+INPUTS!$E$17</f>
        <v>3.14</v>
      </c>
      <c r="N87" s="137">
        <v>0.75</v>
      </c>
      <c r="O87" s="145">
        <v>0.1693152964115143</v>
      </c>
      <c r="P87" s="146">
        <v>0.18126248717308044</v>
      </c>
      <c r="Q87" s="146">
        <v>0.19286674857139588</v>
      </c>
      <c r="R87" s="146">
        <v>0.20710861086845395</v>
      </c>
    </row>
    <row r="88" spans="4:18" outlineLevel="1" x14ac:dyDescent="0.5">
      <c r="D88" s="103">
        <f t="shared" si="39"/>
        <v>1.3000000000000003</v>
      </c>
    </row>
    <row r="89" spans="4:18" outlineLevel="1" x14ac:dyDescent="0.5">
      <c r="D89" s="103">
        <f t="shared" si="39"/>
        <v>1.3500000000000003</v>
      </c>
      <c r="O89" s="147" t="s">
        <v>127</v>
      </c>
      <c r="P89" s="37"/>
      <c r="Q89" s="37"/>
      <c r="R89" s="37"/>
    </row>
    <row r="90" spans="4:18" outlineLevel="1" x14ac:dyDescent="0.5">
      <c r="D90" s="103">
        <f t="shared" si="39"/>
        <v>1.4000000000000004</v>
      </c>
      <c r="O90" s="141">
        <f>+O91*$E$17/10^3</f>
        <v>7294.5000000000027</v>
      </c>
      <c r="P90" s="141">
        <f>+P91*$E$17/10^3</f>
        <v>8105.0000000000027</v>
      </c>
      <c r="Q90" s="141">
        <f>+Q91*$E$17/10^3</f>
        <v>8915.5000000000036</v>
      </c>
      <c r="R90" s="141">
        <f>+R91*$E$17/10^3</f>
        <v>9939.5155185465574</v>
      </c>
    </row>
    <row r="91" spans="4:18" outlineLevel="1" x14ac:dyDescent="0.5">
      <c r="D91" s="103">
        <f t="shared" si="39"/>
        <v>1.4500000000000004</v>
      </c>
      <c r="E91"/>
      <c r="F91"/>
      <c r="G91"/>
      <c r="H91"/>
      <c r="I91"/>
      <c r="J91"/>
      <c r="K91"/>
      <c r="L91"/>
      <c r="M91"/>
      <c r="N91" s="136">
        <f>+D52/1000</f>
        <v>125.28607691976697</v>
      </c>
      <c r="O91" s="140">
        <v>0.9</v>
      </c>
      <c r="P91" s="140">
        <v>1</v>
      </c>
      <c r="Q91" s="140">
        <v>1.1000000000000001</v>
      </c>
      <c r="R91" s="140">
        <f>8.1/6.605</f>
        <v>1.2263436790310369</v>
      </c>
    </row>
    <row r="92" spans="4:18" outlineLevel="1" x14ac:dyDescent="0.5">
      <c r="D92" s="103">
        <f t="shared" si="39"/>
        <v>1.5000000000000004</v>
      </c>
      <c r="E92"/>
      <c r="F92"/>
      <c r="G92"/>
      <c r="H92"/>
      <c r="I92"/>
      <c r="J92"/>
      <c r="K92"/>
      <c r="L92"/>
      <c r="M92"/>
      <c r="N92" s="137">
        <v>-0.5</v>
      </c>
      <c r="O92" s="148">
        <f t="dataTable" ref="O92:R97" dt2D="1" dtr="1" r1="E16" r2="E19" ca="1"/>
        <v>81.415721799309921</v>
      </c>
      <c r="P92" s="149">
        <v>98.148792019067542</v>
      </c>
      <c r="Q92" s="149">
        <v>114.88186223882512</v>
      </c>
      <c r="R92" s="149">
        <v>136.02303876931373</v>
      </c>
    </row>
    <row r="93" spans="4:18" outlineLevel="1" x14ac:dyDescent="0.5">
      <c r="D93" s="103">
        <f t="shared" si="39"/>
        <v>1.5500000000000005</v>
      </c>
      <c r="E93"/>
      <c r="F93"/>
      <c r="G93"/>
      <c r="H93"/>
      <c r="I93"/>
      <c r="J93"/>
      <c r="K93"/>
      <c r="L93"/>
      <c r="M93"/>
      <c r="N93" s="137">
        <v>-0.25</v>
      </c>
      <c r="O93" s="150">
        <v>93.703340329200529</v>
      </c>
      <c r="P93" s="151">
        <v>111.81387663298622</v>
      </c>
      <c r="Q93" s="151">
        <v>129.92441293677203</v>
      </c>
      <c r="R93" s="151">
        <v>152.80593079522646</v>
      </c>
    </row>
    <row r="94" spans="4:18" outlineLevel="1" x14ac:dyDescent="0.5">
      <c r="D94" s="103">
        <f t="shared" si="39"/>
        <v>1.6000000000000005</v>
      </c>
      <c r="E94"/>
      <c r="F94"/>
      <c r="G94"/>
      <c r="H94"/>
      <c r="I94"/>
      <c r="J94"/>
      <c r="K94"/>
      <c r="L94"/>
      <c r="M94"/>
      <c r="N94" s="137">
        <v>0</v>
      </c>
      <c r="O94" s="150">
        <v>105.82832058730318</v>
      </c>
      <c r="P94" s="151">
        <v>125.28607691976697</v>
      </c>
      <c r="Q94" s="151">
        <v>144.74383325223079</v>
      </c>
      <c r="R94" s="151">
        <v>169.32747845956007</v>
      </c>
    </row>
    <row r="95" spans="4:18" outlineLevel="1" x14ac:dyDescent="0.5">
      <c r="D95" s="103">
        <f t="shared" si="39"/>
        <v>1.6500000000000006</v>
      </c>
      <c r="E95"/>
      <c r="F95"/>
      <c r="G95"/>
      <c r="H95"/>
      <c r="I95"/>
      <c r="J95"/>
      <c r="K95"/>
      <c r="L95"/>
      <c r="M95"/>
      <c r="N95" s="137">
        <v>0.25</v>
      </c>
      <c r="O95" s="150">
        <v>117.95330084540585</v>
      </c>
      <c r="P95" s="151">
        <v>138.75827720654772</v>
      </c>
      <c r="Q95" s="151">
        <v>159.5632535676896</v>
      </c>
      <c r="R95" s="151">
        <v>185.84902612389376</v>
      </c>
    </row>
    <row r="96" spans="4:18" outlineLevel="1" x14ac:dyDescent="0.5">
      <c r="D96" s="103">
        <f t="shared" si="39"/>
        <v>1.7000000000000006</v>
      </c>
      <c r="E96"/>
      <c r="F96"/>
      <c r="G96"/>
      <c r="H96"/>
      <c r="I96"/>
      <c r="J96"/>
      <c r="K96"/>
      <c r="L96"/>
      <c r="M96"/>
      <c r="N96" s="137">
        <v>0.47035284109359626</v>
      </c>
      <c r="O96" s="150">
        <v>128.64039623771257</v>
      </c>
      <c r="P96" s="151">
        <v>150.63282764244406</v>
      </c>
      <c r="Q96" s="151">
        <v>172.62525904717558</v>
      </c>
      <c r="R96" s="151">
        <v>200.41130599229052</v>
      </c>
    </row>
    <row r="97" spans="5:18" outlineLevel="1" x14ac:dyDescent="0.5">
      <c r="E97"/>
      <c r="F97"/>
      <c r="G97"/>
      <c r="H97"/>
      <c r="I97"/>
      <c r="J97"/>
      <c r="K97"/>
      <c r="L97"/>
      <c r="M97"/>
      <c r="N97" s="137">
        <v>0.75</v>
      </c>
      <c r="O97" s="150">
        <v>142.20326136161114</v>
      </c>
      <c r="P97" s="151">
        <v>165.70267778010913</v>
      </c>
      <c r="Q97" s="151">
        <v>189.20209419860717</v>
      </c>
      <c r="R97" s="151">
        <v>218.89212145256113</v>
      </c>
    </row>
    <row r="98" spans="5:18" outlineLevel="1" x14ac:dyDescent="0.5">
      <c r="E98"/>
      <c r="F98"/>
      <c r="G98"/>
      <c r="H98"/>
      <c r="I98"/>
      <c r="J98"/>
      <c r="K98"/>
      <c r="L98"/>
      <c r="M98"/>
    </row>
    <row r="99" spans="5:18" outlineLevel="1" x14ac:dyDescent="0.5">
      <c r="E99"/>
      <c r="F99"/>
      <c r="G99"/>
      <c r="H99"/>
      <c r="I99"/>
      <c r="J99"/>
      <c r="K99"/>
      <c r="L99"/>
      <c r="M99"/>
    </row>
  </sheetData>
  <phoneticPr fontId="4" type="noConversion"/>
  <conditionalFormatting sqref="I82:L87">
    <cfRule type="cellIs" dxfId="12" priority="7" operator="equal">
      <formula>$D$63</formula>
    </cfRule>
  </conditionalFormatting>
  <conditionalFormatting sqref="O82:R87">
    <cfRule type="cellIs" dxfId="11" priority="6" operator="equal">
      <formula>$D$63</formula>
    </cfRule>
  </conditionalFormatting>
  <conditionalFormatting sqref="O92:R97">
    <cfRule type="cellIs" dxfId="10" priority="2" operator="equal">
      <formula>$D$47/1000</formula>
    </cfRule>
    <cfRule type="cellIs" dxfId="9" priority="3" operator="equal">
      <formula>#REF!/10^3</formula>
    </cfRule>
    <cfRule type="cellIs" dxfId="8" priority="4" operator="equal">
      <formula>$D$63</formula>
    </cfRule>
  </conditionalFormatting>
  <pageMargins left="0.7" right="0.7" top="0.75" bottom="0.75" header="0.3" footer="0.3"/>
  <pageSetup orientation="portrait" r:id="rId1"/>
  <cellWatches>
    <cellWatch r="D63"/>
  </cellWatches>
  <ignoredErrors>
    <ignoredError sqref="E7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187A-C230-42D7-ADD4-1A9445CD0B21}">
  <dimension ref="B1:Z35"/>
  <sheetViews>
    <sheetView showGridLines="0" zoomScale="90" zoomScaleNormal="90" workbookViewId="0">
      <selection activeCell="I6" sqref="I6"/>
    </sheetView>
  </sheetViews>
  <sheetFormatPr defaultColWidth="9" defaultRowHeight="14.35" x14ac:dyDescent="0.5"/>
  <cols>
    <col min="1" max="1" width="2.87890625" style="1" customWidth="1"/>
    <col min="2" max="2" width="2.87890625" style="55" customWidth="1"/>
    <col min="3" max="3" width="29.41015625" style="1" bestFit="1" customWidth="1"/>
    <col min="4" max="4" width="8.29296875" style="1" bestFit="1" customWidth="1"/>
    <col min="5" max="24" width="8.87890625" style="1" bestFit="1" customWidth="1"/>
    <col min="25" max="16384" width="9" style="1"/>
  </cols>
  <sheetData>
    <row r="1" spans="2:26" x14ac:dyDescent="0.5">
      <c r="D1" s="388">
        <f>+Model!G9</f>
        <v>46447</v>
      </c>
      <c r="E1" s="388">
        <f>+Model!H9</f>
        <v>46873</v>
      </c>
      <c r="F1" s="388">
        <f>+Model!I9</f>
        <v>47238</v>
      </c>
      <c r="G1" s="388">
        <f>+Model!J9</f>
        <v>47603</v>
      </c>
      <c r="H1" s="388">
        <f>+Model!K9</f>
        <v>47968</v>
      </c>
      <c r="I1" s="388">
        <f>+Model!L9</f>
        <v>48334</v>
      </c>
      <c r="J1" s="388">
        <f>+Model!M9</f>
        <v>48699</v>
      </c>
      <c r="K1" s="388">
        <f>+Model!N9</f>
        <v>49064</v>
      </c>
      <c r="L1" s="388">
        <f>+Model!O9</f>
        <v>49429</v>
      </c>
      <c r="M1" s="388">
        <f>+Model!P9</f>
        <v>49795</v>
      </c>
      <c r="N1" s="388">
        <f>+Model!Q9</f>
        <v>50160</v>
      </c>
      <c r="O1" s="388">
        <f>+Model!R9</f>
        <v>50525</v>
      </c>
      <c r="P1" s="388">
        <f>+Model!S9</f>
        <v>50890</v>
      </c>
      <c r="Q1" s="388">
        <f>+Model!T9</f>
        <v>51256</v>
      </c>
      <c r="R1" s="388">
        <f>+Model!U9</f>
        <v>51621</v>
      </c>
      <c r="S1" s="388">
        <f>+Model!V9</f>
        <v>51986</v>
      </c>
      <c r="T1" s="388">
        <f>+Model!W9</f>
        <v>52351</v>
      </c>
      <c r="U1" s="388">
        <f>+Model!X9</f>
        <v>52717</v>
      </c>
      <c r="V1" s="388">
        <f>+Model!Y9</f>
        <v>53082</v>
      </c>
      <c r="W1" s="388">
        <f>+Model!Z9</f>
        <v>53447</v>
      </c>
      <c r="X1" s="388">
        <f>+Model!AA9</f>
        <v>53812</v>
      </c>
    </row>
    <row r="2" spans="2:26" x14ac:dyDescent="0.5">
      <c r="D2" s="55">
        <v>0</v>
      </c>
      <c r="E2" s="55">
        <v>1</v>
      </c>
      <c r="F2" s="55">
        <v>2</v>
      </c>
      <c r="G2" s="55">
        <v>3</v>
      </c>
      <c r="H2" s="55">
        <v>4</v>
      </c>
      <c r="I2" s="55">
        <v>5</v>
      </c>
      <c r="J2" s="55">
        <v>6</v>
      </c>
      <c r="K2" s="55">
        <v>7</v>
      </c>
      <c r="L2" s="55">
        <v>8</v>
      </c>
      <c r="M2" s="55">
        <v>9</v>
      </c>
      <c r="N2" s="55">
        <v>10</v>
      </c>
      <c r="O2" s="55">
        <v>11</v>
      </c>
      <c r="P2" s="55">
        <v>12</v>
      </c>
      <c r="Q2" s="55">
        <v>13</v>
      </c>
      <c r="R2" s="55">
        <v>14</v>
      </c>
      <c r="S2" s="55">
        <v>15</v>
      </c>
      <c r="T2" s="55">
        <v>16</v>
      </c>
      <c r="U2" s="55">
        <v>17</v>
      </c>
      <c r="V2" s="55">
        <v>18</v>
      </c>
      <c r="W2" s="55">
        <v>19</v>
      </c>
      <c r="X2" s="55">
        <v>20</v>
      </c>
    </row>
    <row r="3" spans="2:26" x14ac:dyDescent="0.5">
      <c r="C3" s="1" t="s">
        <v>128</v>
      </c>
      <c r="E3" s="55">
        <f>+Model!H49</f>
        <v>0</v>
      </c>
      <c r="F3" s="55">
        <f>+Model!I49</f>
        <v>0</v>
      </c>
      <c r="G3" s="55">
        <f>+Model!J49</f>
        <v>0</v>
      </c>
      <c r="H3" s="55">
        <f>+Model!K49</f>
        <v>0</v>
      </c>
      <c r="I3" s="55">
        <f>+Model!L49</f>
        <v>0</v>
      </c>
      <c r="J3" s="55">
        <f>+Model!M49</f>
        <v>0</v>
      </c>
      <c r="K3" s="55">
        <f>+Model!N49</f>
        <v>0</v>
      </c>
      <c r="L3" s="55">
        <f>+Model!O49</f>
        <v>0</v>
      </c>
      <c r="M3" s="55">
        <f>+Model!P49</f>
        <v>0</v>
      </c>
      <c r="N3" s="55">
        <f>+Model!Q49</f>
        <v>0</v>
      </c>
      <c r="O3" s="55">
        <f>+Model!R49</f>
        <v>0</v>
      </c>
      <c r="P3" s="55">
        <f>+Model!S49</f>
        <v>0</v>
      </c>
      <c r="Q3" s="55">
        <f>+Model!T49</f>
        <v>1</v>
      </c>
      <c r="R3" s="55">
        <f>+Model!U49</f>
        <v>1</v>
      </c>
      <c r="S3" s="55">
        <f>+Model!V49</f>
        <v>1</v>
      </c>
      <c r="T3" s="55">
        <f>+Model!W49</f>
        <v>1</v>
      </c>
      <c r="U3" s="55">
        <f>+Model!X49</f>
        <v>1</v>
      </c>
      <c r="V3" s="55">
        <f>+Model!Y49</f>
        <v>1</v>
      </c>
      <c r="W3" s="55">
        <f>+Model!Z49</f>
        <v>1</v>
      </c>
      <c r="X3" s="55">
        <f>+Model!AA49</f>
        <v>1</v>
      </c>
    </row>
    <row r="5" spans="2:26" x14ac:dyDescent="0.5">
      <c r="C5" s="1" t="s">
        <v>129</v>
      </c>
      <c r="E5" s="9">
        <f>+Model!H11</f>
        <v>950</v>
      </c>
      <c r="F5" s="9">
        <f>+Model!I11</f>
        <v>973.12300000000005</v>
      </c>
      <c r="G5" s="9">
        <f>+Model!J11</f>
        <v>996.80881382000007</v>
      </c>
      <c r="H5" s="9">
        <f>+Model!K11</f>
        <v>1021.0711403483789</v>
      </c>
      <c r="I5" s="9">
        <f>+Model!L11</f>
        <v>1045.9240119044584</v>
      </c>
      <c r="J5" s="9">
        <f>+Model!M11</f>
        <v>1071.3818023542131</v>
      </c>
      <c r="K5" s="9">
        <f>+Model!N11</f>
        <v>1097.4592354235147</v>
      </c>
      <c r="L5" s="9">
        <f>+Model!O11</f>
        <v>1124.1713932137229</v>
      </c>
      <c r="M5" s="9">
        <f>+Model!P11</f>
        <v>1151.5337249245449</v>
      </c>
      <c r="N5" s="9">
        <f>+Model!Q11</f>
        <v>1179.5620557892084</v>
      </c>
      <c r="O5" s="9">
        <f>+Model!R11</f>
        <v>1208.2725962271179</v>
      </c>
      <c r="P5" s="9">
        <f>+Model!S11</f>
        <v>1237.681951219286</v>
      </c>
      <c r="Q5" s="9">
        <f>+Model!T11</f>
        <v>1267.8071299119636</v>
      </c>
      <c r="R5" s="9">
        <f>+Model!U11</f>
        <v>1298.6655554540207</v>
      </c>
      <c r="S5" s="9">
        <f>+Model!V11</f>
        <v>1330.2750750737716</v>
      </c>
      <c r="T5" s="9">
        <f>+Model!W11</f>
        <v>1362.6539704010672</v>
      </c>
      <c r="U5" s="9">
        <f>+Model!X11</f>
        <v>1395.8209680406292</v>
      </c>
      <c r="V5" s="9">
        <f>+Model!Y11</f>
        <v>1429.795250402738</v>
      </c>
      <c r="W5" s="9">
        <f>+Model!Z11</f>
        <v>1464.5964667975406</v>
      </c>
      <c r="X5" s="9">
        <f>+Model!AA11</f>
        <v>1500.2447447993927</v>
      </c>
    </row>
    <row r="6" spans="2:26" x14ac:dyDescent="0.5">
      <c r="C6" s="1" t="s">
        <v>130</v>
      </c>
      <c r="E6" s="9">
        <f>+Model!H17</f>
        <v>319400.93192511343</v>
      </c>
      <c r="F6" s="9">
        <f>+Model!I17</f>
        <v>327175.15060817072</v>
      </c>
      <c r="G6" s="9">
        <f>+Model!J17</f>
        <v>335138.59377397358</v>
      </c>
      <c r="H6" s="9">
        <f>+Model!K17</f>
        <v>343295.86714643217</v>
      </c>
      <c r="I6" s="9">
        <f>+Model!L17</f>
        <v>351651.68855277635</v>
      </c>
      <c r="J6" s="9">
        <f>+Model!M17</f>
        <v>360210.89065215096</v>
      </c>
      <c r="K6" s="9">
        <f>+Model!N17</f>
        <v>368978.42373062437</v>
      </c>
      <c r="L6" s="9">
        <f>+Model!O17</f>
        <v>377959.35856422764</v>
      </c>
      <c r="M6" s="9">
        <f>+Model!P17</f>
        <v>387158.88935168099</v>
      </c>
      <c r="N6" s="9">
        <f>+Model!Q17</f>
        <v>396582.33671850088</v>
      </c>
      <c r="O6" s="9">
        <f>+Model!R17</f>
        <v>406235.15079422924</v>
      </c>
      <c r="P6" s="9">
        <f>+Model!S17</f>
        <v>416122.91436456091</v>
      </c>
      <c r="Q6" s="9">
        <f>+Model!T17</f>
        <v>426251.34610019426</v>
      </c>
      <c r="R6" s="9">
        <f>+Model!U17</f>
        <v>436626.30386427295</v>
      </c>
      <c r="S6" s="9">
        <f>+Model!V17</f>
        <v>447253.78810032946</v>
      </c>
      <c r="T6" s="9">
        <f>+Model!W17</f>
        <v>458139.94530269149</v>
      </c>
      <c r="U6" s="9">
        <f>+Model!X17</f>
        <v>469291.071571359</v>
      </c>
      <c r="V6" s="9">
        <f>+Model!Y17</f>
        <v>480713.61625340581</v>
      </c>
      <c r="W6" s="9">
        <f>+Model!Z17</f>
        <v>492414.18567301374</v>
      </c>
      <c r="X6" s="9">
        <f>+Model!AA17</f>
        <v>504399.54695229488</v>
      </c>
    </row>
    <row r="8" spans="2:26" x14ac:dyDescent="0.5">
      <c r="B8" s="55" t="s">
        <v>131</v>
      </c>
      <c r="C8" s="23" t="s">
        <v>132</v>
      </c>
      <c r="D8" s="23"/>
      <c r="E8" s="41">
        <f>+Model!H31</f>
        <v>9041.4182923826083</v>
      </c>
      <c r="F8" s="41">
        <f>+Model!I31</f>
        <v>9393.2686539492879</v>
      </c>
      <c r="G8" s="41">
        <f>+Model!J31</f>
        <v>9902.687090024092</v>
      </c>
      <c r="H8" s="41">
        <f>+Model!K31</f>
        <v>10576.848835929366</v>
      </c>
      <c r="I8" s="41">
        <f>+Model!L31</f>
        <v>11072.572054366825</v>
      </c>
      <c r="J8" s="41">
        <f>+Model!M31</f>
        <v>11147.240883292483</v>
      </c>
      <c r="K8" s="41">
        <f>+Model!N31</f>
        <v>11350.826494128145</v>
      </c>
      <c r="L8" s="41">
        <f>+Model!O31</f>
        <v>11645.608376197832</v>
      </c>
      <c r="M8" s="41">
        <f>+Model!P31</f>
        <v>12186.371729221355</v>
      </c>
      <c r="N8" s="41">
        <f>+Model!Q31</f>
        <v>12752.207491775524</v>
      </c>
      <c r="O8" s="41">
        <f>+Model!R31</f>
        <v>13344.277868828007</v>
      </c>
      <c r="P8" s="41">
        <f>+Model!S31</f>
        <v>13963.798963285772</v>
      </c>
      <c r="Q8" s="41">
        <f>+Model!T31</f>
        <v>14612.043277720248</v>
      </c>
      <c r="R8" s="41">
        <f>+Model!U31</f>
        <v>15290.342332342458</v>
      </c>
      <c r="S8" s="41">
        <f>+Model!V31</f>
        <v>16000.089404636647</v>
      </c>
      <c r="T8" s="41">
        <f>+Model!W31</f>
        <v>16742.742396313472</v>
      </c>
      <c r="U8" s="41">
        <f>+Model!X31</f>
        <v>17519.82683350729</v>
      </c>
      <c r="V8" s="41">
        <f>+Model!Y31</f>
        <v>18332.939006418088</v>
      </c>
      <c r="W8" s="41">
        <f>+Model!Z31</f>
        <v>19183.749254887847</v>
      </c>
      <c r="X8" s="41">
        <f>+Model!AA31</f>
        <v>20074.005406703465</v>
      </c>
    </row>
    <row r="10" spans="2:26" x14ac:dyDescent="0.5">
      <c r="C10" s="1" t="s">
        <v>103</v>
      </c>
      <c r="E10" s="9">
        <f>-Model!H42</f>
        <v>1841.75</v>
      </c>
      <c r="F10" s="9">
        <f>-Model!I42</f>
        <v>1841.75</v>
      </c>
      <c r="G10" s="9">
        <f>-Model!J42</f>
        <v>1841.75</v>
      </c>
      <c r="H10" s="9">
        <f>-Model!K42</f>
        <v>1841.75</v>
      </c>
      <c r="I10" s="9">
        <f>-Model!L42</f>
        <v>1841.75</v>
      </c>
      <c r="J10" s="9">
        <f>-Model!M42</f>
        <v>1841.75</v>
      </c>
      <c r="K10" s="9">
        <f>-Model!N42</f>
        <v>1841.75</v>
      </c>
      <c r="L10" s="9">
        <f>-Model!O42</f>
        <v>1841.75</v>
      </c>
      <c r="M10" s="9">
        <f>-Model!P42</f>
        <v>1841.75</v>
      </c>
      <c r="N10" s="9">
        <f>-Model!Q42</f>
        <v>1841.75</v>
      </c>
      <c r="O10" s="9">
        <f>-Model!R42</f>
        <v>1841.75</v>
      </c>
      <c r="P10" s="9">
        <f>-Model!S42</f>
        <v>1841.75</v>
      </c>
      <c r="Q10" s="9">
        <f>-Model!T42</f>
        <v>1841.75</v>
      </c>
      <c r="R10" s="9">
        <f>-Model!U42</f>
        <v>1841.75</v>
      </c>
      <c r="S10" s="9">
        <f>-Model!V42</f>
        <v>1841.75</v>
      </c>
      <c r="T10" s="9">
        <f>-Model!W42</f>
        <v>1841.75</v>
      </c>
      <c r="U10" s="9">
        <f>-Model!X42</f>
        <v>1841.75</v>
      </c>
      <c r="V10" s="9">
        <f>-Model!Y42</f>
        <v>1841.75</v>
      </c>
      <c r="W10" s="9">
        <f>-Model!Z42</f>
        <v>1841.75</v>
      </c>
      <c r="X10" s="9">
        <f>-Model!AA42</f>
        <v>1841.75</v>
      </c>
    </row>
    <row r="11" spans="2:26" x14ac:dyDescent="0.5">
      <c r="C11" s="1" t="s">
        <v>104</v>
      </c>
      <c r="D11" s="38">
        <v>0.5</v>
      </c>
      <c r="E11" s="9">
        <f>+$D$11*E10</f>
        <v>920.875</v>
      </c>
      <c r="F11" s="9">
        <f t="shared" ref="F11:X11" si="0">+$D$11*F10</f>
        <v>920.875</v>
      </c>
      <c r="G11" s="9">
        <f t="shared" si="0"/>
        <v>920.875</v>
      </c>
      <c r="H11" s="9">
        <f t="shared" si="0"/>
        <v>920.875</v>
      </c>
      <c r="I11" s="9">
        <f t="shared" si="0"/>
        <v>920.875</v>
      </c>
      <c r="J11" s="9">
        <f t="shared" si="0"/>
        <v>920.875</v>
      </c>
      <c r="K11" s="9">
        <f t="shared" si="0"/>
        <v>920.875</v>
      </c>
      <c r="L11" s="9">
        <f t="shared" si="0"/>
        <v>920.875</v>
      </c>
      <c r="M11" s="9">
        <f t="shared" si="0"/>
        <v>920.875</v>
      </c>
      <c r="N11" s="9">
        <f t="shared" si="0"/>
        <v>920.875</v>
      </c>
      <c r="O11" s="9">
        <f t="shared" si="0"/>
        <v>920.875</v>
      </c>
      <c r="P11" s="9">
        <f t="shared" si="0"/>
        <v>920.875</v>
      </c>
      <c r="Q11" s="9">
        <f t="shared" si="0"/>
        <v>920.875</v>
      </c>
      <c r="R11" s="9">
        <f t="shared" si="0"/>
        <v>920.875</v>
      </c>
      <c r="S11" s="9">
        <f t="shared" si="0"/>
        <v>920.875</v>
      </c>
      <c r="T11" s="9">
        <f t="shared" si="0"/>
        <v>920.875</v>
      </c>
      <c r="U11" s="9">
        <f t="shared" si="0"/>
        <v>920.875</v>
      </c>
      <c r="V11" s="9">
        <f t="shared" si="0"/>
        <v>920.875</v>
      </c>
      <c r="W11" s="9">
        <f t="shared" si="0"/>
        <v>920.875</v>
      </c>
      <c r="X11" s="9">
        <f t="shared" si="0"/>
        <v>920.875</v>
      </c>
      <c r="Z11" s="292">
        <f>+D11/20</f>
        <v>2.5000000000000001E-2</v>
      </c>
    </row>
    <row r="12" spans="2:26" x14ac:dyDescent="0.5">
      <c r="B12" s="55">
        <v>1</v>
      </c>
      <c r="C12" s="1" t="s">
        <v>105</v>
      </c>
      <c r="D12" s="385">
        <v>2595.5625</v>
      </c>
      <c r="E12" s="9">
        <f>CHOOSE($B$12,MIN($D$12,E25),$D$12,E$25)</f>
        <v>1843.5023298127835</v>
      </c>
      <c r="F12" s="9">
        <f t="shared" ref="F12:X12" si="1">CHOOSE($B$12,MIN($D$12,F25),$D$12,F$25)</f>
        <v>1909.5113234334372</v>
      </c>
      <c r="G12" s="9">
        <f t="shared" si="1"/>
        <v>1978.1655877094522</v>
      </c>
      <c r="H12" s="9">
        <f t="shared" si="1"/>
        <v>2049.5809554530956</v>
      </c>
      <c r="I12" s="9">
        <f t="shared" si="1"/>
        <v>2123.8786377896299</v>
      </c>
      <c r="J12" s="9">
        <f t="shared" si="1"/>
        <v>2201.1854826119288</v>
      </c>
      <c r="K12" s="9">
        <f t="shared" si="1"/>
        <v>2281.6342456899001</v>
      </c>
      <c r="L12" s="9">
        <f t="shared" si="1"/>
        <v>2365.3638750604641</v>
      </c>
      <c r="M12" s="9">
        <f t="shared" si="1"/>
        <v>2452.5198093548879</v>
      </c>
      <c r="N12" s="9">
        <f t="shared" si="1"/>
        <v>2543.2542907529401</v>
      </c>
      <c r="O12" s="9">
        <f t="shared" si="1"/>
        <v>2595.5625</v>
      </c>
      <c r="P12" s="9">
        <f t="shared" si="1"/>
        <v>2595.5625</v>
      </c>
      <c r="Q12" s="9">
        <f t="shared" si="1"/>
        <v>2595.5625</v>
      </c>
      <c r="R12" s="9">
        <f t="shared" si="1"/>
        <v>2595.5625</v>
      </c>
      <c r="S12" s="9">
        <f t="shared" si="1"/>
        <v>2595.5625</v>
      </c>
      <c r="T12" s="9">
        <f t="shared" si="1"/>
        <v>2595.5625</v>
      </c>
      <c r="U12" s="9">
        <f t="shared" si="1"/>
        <v>2595.5625</v>
      </c>
      <c r="V12" s="9">
        <f t="shared" si="1"/>
        <v>2595.5625</v>
      </c>
      <c r="W12" s="9">
        <f t="shared" si="1"/>
        <v>2595.5625</v>
      </c>
      <c r="X12" s="9">
        <f t="shared" si="1"/>
        <v>2595.5625</v>
      </c>
    </row>
    <row r="13" spans="2:26" x14ac:dyDescent="0.5">
      <c r="C13" s="3" t="s">
        <v>133</v>
      </c>
      <c r="D13" s="3"/>
      <c r="E13" s="18">
        <f>SUM(E10:E12)</f>
        <v>4606.1273298127835</v>
      </c>
      <c r="F13" s="18">
        <f t="shared" ref="F13:X13" si="2">SUM(F10:F12)</f>
        <v>4672.1363234334367</v>
      </c>
      <c r="G13" s="18">
        <f t="shared" si="2"/>
        <v>4740.7905877094527</v>
      </c>
      <c r="H13" s="18">
        <f t="shared" si="2"/>
        <v>4812.2059554530952</v>
      </c>
      <c r="I13" s="18">
        <f t="shared" si="2"/>
        <v>4886.5036377896304</v>
      </c>
      <c r="J13" s="18">
        <f t="shared" si="2"/>
        <v>4963.8104826119288</v>
      </c>
      <c r="K13" s="18">
        <f t="shared" si="2"/>
        <v>5044.2592456899001</v>
      </c>
      <c r="L13" s="18">
        <f t="shared" si="2"/>
        <v>5127.9888750604641</v>
      </c>
      <c r="M13" s="18">
        <f t="shared" si="2"/>
        <v>5215.1448093548879</v>
      </c>
      <c r="N13" s="18">
        <f t="shared" si="2"/>
        <v>5305.8792907529405</v>
      </c>
      <c r="O13" s="18">
        <f t="shared" si="2"/>
        <v>5358.1875</v>
      </c>
      <c r="P13" s="18">
        <f t="shared" si="2"/>
        <v>5358.1875</v>
      </c>
      <c r="Q13" s="18">
        <f t="shared" si="2"/>
        <v>5358.1875</v>
      </c>
      <c r="R13" s="18">
        <f t="shared" si="2"/>
        <v>5358.1875</v>
      </c>
      <c r="S13" s="18">
        <f t="shared" si="2"/>
        <v>5358.1875</v>
      </c>
      <c r="T13" s="18">
        <f t="shared" si="2"/>
        <v>5358.1875</v>
      </c>
      <c r="U13" s="18">
        <f t="shared" si="2"/>
        <v>5358.1875</v>
      </c>
      <c r="V13" s="18">
        <f t="shared" si="2"/>
        <v>5358.1875</v>
      </c>
      <c r="W13" s="18">
        <f t="shared" si="2"/>
        <v>5358.1875</v>
      </c>
      <c r="X13" s="18">
        <f t="shared" si="2"/>
        <v>5358.1875</v>
      </c>
    </row>
    <row r="15" spans="2:26" x14ac:dyDescent="0.5">
      <c r="C15" s="23" t="s">
        <v>100</v>
      </c>
      <c r="E15" s="17">
        <f>+E8-E13</f>
        <v>4435.2909625698248</v>
      </c>
      <c r="F15" s="17">
        <f t="shared" ref="F15:X15" si="3">+F8-F13</f>
        <v>4721.1323305158512</v>
      </c>
      <c r="G15" s="17">
        <f t="shared" si="3"/>
        <v>5161.8965023146393</v>
      </c>
      <c r="H15" s="17">
        <f t="shared" si="3"/>
        <v>5764.6428804762709</v>
      </c>
      <c r="I15" s="17">
        <f t="shared" si="3"/>
        <v>6186.0684165771945</v>
      </c>
      <c r="J15" s="17">
        <f t="shared" si="3"/>
        <v>6183.4304006805542</v>
      </c>
      <c r="K15" s="17">
        <f t="shared" si="3"/>
        <v>6306.5672484382449</v>
      </c>
      <c r="L15" s="17">
        <f t="shared" si="3"/>
        <v>6517.6195011373675</v>
      </c>
      <c r="M15" s="17">
        <f t="shared" si="3"/>
        <v>6971.2269198664671</v>
      </c>
      <c r="N15" s="17">
        <f t="shared" si="3"/>
        <v>7446.328201022583</v>
      </c>
      <c r="O15" s="17">
        <f t="shared" si="3"/>
        <v>7986.0903688280068</v>
      </c>
      <c r="P15" s="17">
        <f t="shared" si="3"/>
        <v>8605.6114632857716</v>
      </c>
      <c r="Q15" s="17">
        <f t="shared" si="3"/>
        <v>9253.8557777202477</v>
      </c>
      <c r="R15" s="17">
        <f t="shared" si="3"/>
        <v>9932.1548323424577</v>
      </c>
      <c r="S15" s="17">
        <f t="shared" si="3"/>
        <v>10641.901904636647</v>
      </c>
      <c r="T15" s="17">
        <f t="shared" si="3"/>
        <v>11384.554896313472</v>
      </c>
      <c r="U15" s="17">
        <f t="shared" si="3"/>
        <v>12161.63933350729</v>
      </c>
      <c r="V15" s="17">
        <f t="shared" si="3"/>
        <v>12974.751506418088</v>
      </c>
      <c r="W15" s="17">
        <f t="shared" si="3"/>
        <v>13825.561754887847</v>
      </c>
      <c r="X15" s="17">
        <f t="shared" si="3"/>
        <v>14715.817906703465</v>
      </c>
    </row>
    <row r="16" spans="2:26" x14ac:dyDescent="0.5">
      <c r="C16" s="23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2:24" x14ac:dyDescent="0.5">
      <c r="C17" s="1" t="s">
        <v>134</v>
      </c>
      <c r="D17" s="292">
        <v>0.7</v>
      </c>
      <c r="E17" s="9">
        <f>$D17*E15</f>
        <v>3104.7036737988774</v>
      </c>
      <c r="F17" s="9">
        <f t="shared" ref="F17:X17" si="4">$D17*F15</f>
        <v>3304.7926313610956</v>
      </c>
      <c r="G17" s="9">
        <f t="shared" si="4"/>
        <v>3613.327551620247</v>
      </c>
      <c r="H17" s="9">
        <f t="shared" si="4"/>
        <v>4035.2500163333893</v>
      </c>
      <c r="I17" s="9">
        <f t="shared" si="4"/>
        <v>4330.2478916040354</v>
      </c>
      <c r="J17" s="9">
        <f t="shared" si="4"/>
        <v>4328.4012804763879</v>
      </c>
      <c r="K17" s="9">
        <f t="shared" si="4"/>
        <v>4414.5970739067707</v>
      </c>
      <c r="L17" s="9">
        <f t="shared" si="4"/>
        <v>4562.3336507961567</v>
      </c>
      <c r="M17" s="9">
        <f t="shared" si="4"/>
        <v>4879.858843906527</v>
      </c>
      <c r="N17" s="9">
        <f t="shared" si="4"/>
        <v>5212.4297407158074</v>
      </c>
      <c r="O17" s="9">
        <f t="shared" si="4"/>
        <v>5590.2632581796042</v>
      </c>
      <c r="P17" s="9">
        <f t="shared" si="4"/>
        <v>6023.9280243000394</v>
      </c>
      <c r="Q17" s="9">
        <f t="shared" si="4"/>
        <v>6477.699044404173</v>
      </c>
      <c r="R17" s="9">
        <f t="shared" si="4"/>
        <v>6952.5083826397204</v>
      </c>
      <c r="S17" s="9">
        <f t="shared" si="4"/>
        <v>7449.3313332456519</v>
      </c>
      <c r="T17" s="9">
        <f t="shared" si="4"/>
        <v>7969.1884274194299</v>
      </c>
      <c r="U17" s="9">
        <f t="shared" si="4"/>
        <v>8513.1475334551033</v>
      </c>
      <c r="V17" s="9">
        <f t="shared" si="4"/>
        <v>9082.3260544926616</v>
      </c>
      <c r="W17" s="9">
        <f t="shared" si="4"/>
        <v>9677.8932284214916</v>
      </c>
      <c r="X17" s="9">
        <f t="shared" si="4"/>
        <v>10301.072534692425</v>
      </c>
    </row>
    <row r="18" spans="2:24" x14ac:dyDescent="0.5">
      <c r="C18" s="1" t="s">
        <v>110</v>
      </c>
      <c r="D18" s="292">
        <f>90%-D17</f>
        <v>0.20000000000000007</v>
      </c>
      <c r="E18" s="9">
        <f>E3*E15*$D$18*((E5-1250)/E5)</f>
        <v>0</v>
      </c>
      <c r="F18" s="9">
        <f t="shared" ref="F18:X18" si="5">F3*F15*$D$18*((F5-1250)/F5)</f>
        <v>0</v>
      </c>
      <c r="G18" s="9">
        <f t="shared" si="5"/>
        <v>0</v>
      </c>
      <c r="H18" s="9">
        <f t="shared" si="5"/>
        <v>0</v>
      </c>
      <c r="I18" s="9">
        <f t="shared" si="5"/>
        <v>0</v>
      </c>
      <c r="J18" s="9">
        <f t="shared" si="5"/>
        <v>0</v>
      </c>
      <c r="K18" s="9">
        <f t="shared" si="5"/>
        <v>0</v>
      </c>
      <c r="L18" s="9">
        <f t="shared" si="5"/>
        <v>0</v>
      </c>
      <c r="M18" s="9">
        <f t="shared" si="5"/>
        <v>0</v>
      </c>
      <c r="N18" s="9">
        <f t="shared" si="5"/>
        <v>0</v>
      </c>
      <c r="O18" s="9">
        <f t="shared" si="5"/>
        <v>0</v>
      </c>
      <c r="P18" s="9">
        <f t="shared" si="5"/>
        <v>0</v>
      </c>
      <c r="Q18" s="9">
        <f t="shared" si="5"/>
        <v>25.995217747652468</v>
      </c>
      <c r="R18" s="9">
        <f t="shared" si="5"/>
        <v>74.438538812604236</v>
      </c>
      <c r="S18" s="9">
        <f t="shared" si="5"/>
        <v>128.43651517338179</v>
      </c>
      <c r="T18" s="9">
        <f t="shared" si="5"/>
        <v>188.23785615083821</v>
      </c>
      <c r="U18" s="9">
        <f t="shared" si="5"/>
        <v>254.10451070418446</v>
      </c>
      <c r="V18" s="9">
        <f t="shared" si="5"/>
        <v>326.31227378222877</v>
      </c>
      <c r="W18" s="9">
        <f t="shared" si="5"/>
        <v>405.15142175339849</v>
      </c>
      <c r="X18" s="9">
        <f t="shared" si="5"/>
        <v>490.92737826183975</v>
      </c>
    </row>
    <row r="19" spans="2:24" x14ac:dyDescent="0.5">
      <c r="B19" s="55" t="s">
        <v>131</v>
      </c>
      <c r="C19" s="22" t="s">
        <v>111</v>
      </c>
      <c r="D19" s="3"/>
      <c r="E19" s="386">
        <f>SUM(E17:E18)</f>
        <v>3104.7036737988774</v>
      </c>
      <c r="F19" s="386">
        <f t="shared" ref="F19:X19" si="6">SUM(F17:F18)</f>
        <v>3304.7926313610956</v>
      </c>
      <c r="G19" s="386">
        <f t="shared" si="6"/>
        <v>3613.327551620247</v>
      </c>
      <c r="H19" s="386">
        <f t="shared" si="6"/>
        <v>4035.2500163333893</v>
      </c>
      <c r="I19" s="386">
        <f t="shared" si="6"/>
        <v>4330.2478916040354</v>
      </c>
      <c r="J19" s="386">
        <f t="shared" si="6"/>
        <v>4328.4012804763879</v>
      </c>
      <c r="K19" s="386">
        <f t="shared" si="6"/>
        <v>4414.5970739067707</v>
      </c>
      <c r="L19" s="386">
        <f t="shared" si="6"/>
        <v>4562.3336507961567</v>
      </c>
      <c r="M19" s="386">
        <f t="shared" si="6"/>
        <v>4879.858843906527</v>
      </c>
      <c r="N19" s="386">
        <f t="shared" si="6"/>
        <v>5212.4297407158074</v>
      </c>
      <c r="O19" s="386">
        <f t="shared" si="6"/>
        <v>5590.2632581796042</v>
      </c>
      <c r="P19" s="386">
        <f t="shared" si="6"/>
        <v>6023.9280243000394</v>
      </c>
      <c r="Q19" s="386">
        <f t="shared" si="6"/>
        <v>6503.6942621518256</v>
      </c>
      <c r="R19" s="386">
        <f t="shared" si="6"/>
        <v>7026.9469214523242</v>
      </c>
      <c r="S19" s="386">
        <f t="shared" si="6"/>
        <v>7577.7678484190337</v>
      </c>
      <c r="T19" s="386">
        <f t="shared" si="6"/>
        <v>8157.4262835702684</v>
      </c>
      <c r="U19" s="386">
        <f t="shared" si="6"/>
        <v>8767.2520441592878</v>
      </c>
      <c r="V19" s="386">
        <f t="shared" si="6"/>
        <v>9408.6383282748902</v>
      </c>
      <c r="W19" s="386">
        <f t="shared" si="6"/>
        <v>10083.04465017489</v>
      </c>
      <c r="X19" s="386">
        <f t="shared" si="6"/>
        <v>10791.999912954265</v>
      </c>
    </row>
    <row r="21" spans="2:24" x14ac:dyDescent="0.5">
      <c r="C21" s="1" t="s">
        <v>46</v>
      </c>
      <c r="E21" s="9">
        <f>+Model!H34</f>
        <v>527.01153767643723</v>
      </c>
      <c r="F21" s="9">
        <f>+Model!I34</f>
        <v>553.33497346606862</v>
      </c>
      <c r="G21" s="9">
        <f>+Model!J34</f>
        <v>580.97322538823857</v>
      </c>
      <c r="H21" s="9">
        <f>+Model!K34</f>
        <v>609.99196653654315</v>
      </c>
      <c r="I21" s="9">
        <f>+Model!L34</f>
        <v>640.46015027709359</v>
      </c>
      <c r="J21" s="9">
        <f>+Model!M34</f>
        <v>672.45017409320894</v>
      </c>
      <c r="K21" s="9">
        <f>+Model!N34</f>
        <v>706.03805161390369</v>
      </c>
      <c r="L21" s="9">
        <f>+Model!O34</f>
        <v>741.30359323494042</v>
      </c>
      <c r="M21" s="9">
        <f>+Model!P34</f>
        <v>778.33059576163578</v>
      </c>
      <c r="N21" s="9">
        <f>+Model!Q34</f>
        <v>817.20704152403573</v>
      </c>
      <c r="O21" s="9">
        <f>+Model!R34</f>
        <v>858.02530743759905</v>
      </c>
      <c r="P21" s="9">
        <f>+Model!S34</f>
        <v>900.8823845061462</v>
      </c>
      <c r="Q21" s="9">
        <f>+Model!T34</f>
        <v>945.88010828865117</v>
      </c>
      <c r="R21" s="9">
        <f>+Model!U34</f>
        <v>993.12540087750688</v>
      </c>
      <c r="S21" s="9">
        <f>+Model!V34</f>
        <v>1042.730524963237</v>
      </c>
      <c r="T21" s="9">
        <f>+Model!W34</f>
        <v>1094.8133505893632</v>
      </c>
      <c r="U21" s="9">
        <f>+Model!X34</f>
        <v>1149.497635231276</v>
      </c>
      <c r="V21" s="9">
        <f>+Model!Y34</f>
        <v>1206.913317864625</v>
      </c>
      <c r="W21" s="9">
        <f>+Model!Z34</f>
        <v>1267.1968277219862</v>
      </c>
      <c r="X21" s="9">
        <f>+Model!AA34</f>
        <v>1330.4914084714578</v>
      </c>
    </row>
    <row r="22" spans="2:24" x14ac:dyDescent="0.5">
      <c r="C22" s="1" t="s">
        <v>47</v>
      </c>
      <c r="E22" s="9">
        <f>+Model!H35</f>
        <v>271.49079213634639</v>
      </c>
      <c r="F22" s="9">
        <f>+Model!I35</f>
        <v>285.05134996736871</v>
      </c>
      <c r="G22" s="9">
        <f>+Model!J35</f>
        <v>299.28923732121382</v>
      </c>
      <c r="H22" s="9">
        <f>+Model!K35</f>
        <v>314.23828579155253</v>
      </c>
      <c r="I22" s="9">
        <f>+Model!L35</f>
        <v>329.93401680941184</v>
      </c>
      <c r="J22" s="9">
        <f>+Model!M35</f>
        <v>346.41372604801683</v>
      </c>
      <c r="K22" s="9">
        <f>+Model!N35</f>
        <v>363.71657204352618</v>
      </c>
      <c r="L22" s="9">
        <f>+Model!O35</f>
        <v>381.88366924224204</v>
      </c>
      <c r="M22" s="9">
        <f>+Model!P35</f>
        <v>400.95818569538818</v>
      </c>
      <c r="N22" s="9">
        <f>+Model!Q35</f>
        <v>420.98544563359417</v>
      </c>
      <c r="O22" s="9">
        <f>+Model!R35</f>
        <v>442.01303716482374</v>
      </c>
      <c r="P22" s="9">
        <f>+Model!S35</f>
        <v>464.09092535165109</v>
      </c>
      <c r="Q22" s="9">
        <f>+Model!T35</f>
        <v>487.27157093657797</v>
      </c>
      <c r="R22" s="9">
        <f>+Model!U35</f>
        <v>511.6100549975036</v>
      </c>
      <c r="S22" s="9">
        <f>+Model!V35</f>
        <v>537.16420982954639</v>
      </c>
      <c r="T22" s="9">
        <f>+Model!W35</f>
        <v>563.99475636421744</v>
      </c>
      <c r="U22" s="9">
        <f>+Model!X35</f>
        <v>592.16544845247563</v>
      </c>
      <c r="V22" s="9">
        <f>+Model!Y35</f>
        <v>621.74322435450392</v>
      </c>
      <c r="W22" s="9">
        <f>+Model!Z35</f>
        <v>652.79836579617472</v>
      </c>
      <c r="X22" s="9">
        <f>+Model!AA35</f>
        <v>685.40466497014495</v>
      </c>
    </row>
    <row r="23" spans="2:24" x14ac:dyDescent="0.5">
      <c r="C23" s="1" t="s">
        <v>48</v>
      </c>
      <c r="D23" s="391">
        <f>SUM(E23:X24)/SUM(E25:X25)</f>
        <v>0.50287560844644308</v>
      </c>
      <c r="E23" s="9">
        <f>+Model!H36</f>
        <v>200</v>
      </c>
      <c r="F23" s="9">
        <f>+Model!I36</f>
        <v>204.99999999999997</v>
      </c>
      <c r="G23" s="9">
        <f>+Model!J36</f>
        <v>210.12499999999997</v>
      </c>
      <c r="H23" s="9">
        <f>+Model!K36</f>
        <v>215.37812499999998</v>
      </c>
      <c r="I23" s="9">
        <f>+Model!L36</f>
        <v>220.76257812499995</v>
      </c>
      <c r="J23" s="9">
        <f>+Model!M36</f>
        <v>226.28164257812494</v>
      </c>
      <c r="K23" s="9">
        <f>+Model!N36</f>
        <v>231.93868364257804</v>
      </c>
      <c r="L23" s="9">
        <f>+Model!O36</f>
        <v>237.73715073364247</v>
      </c>
      <c r="M23" s="9">
        <f>+Model!P36</f>
        <v>243.68057950198349</v>
      </c>
      <c r="N23" s="9">
        <f>+Model!Q36</f>
        <v>249.77259398953305</v>
      </c>
      <c r="O23" s="9">
        <f>+Model!R36</f>
        <v>256.01690883927131</v>
      </c>
      <c r="P23" s="9">
        <f>+Model!S36</f>
        <v>262.4173315602531</v>
      </c>
      <c r="Q23" s="9">
        <f>+Model!T36</f>
        <v>268.97776484925942</v>
      </c>
      <c r="R23" s="9">
        <f>+Model!U36</f>
        <v>275.70220897049091</v>
      </c>
      <c r="S23" s="9">
        <f>+Model!V36</f>
        <v>282.59476419475311</v>
      </c>
      <c r="T23" s="9">
        <f>+Model!W36</f>
        <v>289.65963329962193</v>
      </c>
      <c r="U23" s="9">
        <f>+Model!X36</f>
        <v>296.90112413211244</v>
      </c>
      <c r="V23" s="9">
        <f>+Model!Y36</f>
        <v>304.32365223541524</v>
      </c>
      <c r="W23" s="9">
        <f>+Model!Z36</f>
        <v>311.93174354130059</v>
      </c>
      <c r="X23" s="9">
        <f>+Model!AA36</f>
        <v>319.73003712983308</v>
      </c>
    </row>
    <row r="24" spans="2:24" x14ac:dyDescent="0.5">
      <c r="C24" s="1" t="s">
        <v>49</v>
      </c>
      <c r="E24" s="9">
        <f>+Model!H37</f>
        <v>845</v>
      </c>
      <c r="F24" s="9">
        <f>+Model!I37</f>
        <v>866.12499999999989</v>
      </c>
      <c r="G24" s="9">
        <f>+Model!J37</f>
        <v>887.77812499999993</v>
      </c>
      <c r="H24" s="9">
        <f>+Model!K37</f>
        <v>909.97257812499993</v>
      </c>
      <c r="I24" s="9">
        <f>+Model!L37</f>
        <v>932.72189257812477</v>
      </c>
      <c r="J24" s="9">
        <f>+Model!M37</f>
        <v>956.03993989257788</v>
      </c>
      <c r="K24" s="9">
        <f>+Model!N37</f>
        <v>979.94093838989215</v>
      </c>
      <c r="L24" s="9">
        <f>+Model!O37</f>
        <v>1004.4394618496394</v>
      </c>
      <c r="M24" s="9">
        <f>+Model!P37</f>
        <v>1029.5504483958803</v>
      </c>
      <c r="N24" s="9">
        <f>+Model!Q37</f>
        <v>1055.2892096057772</v>
      </c>
      <c r="O24" s="9">
        <f>+Model!R37</f>
        <v>1081.6714398459214</v>
      </c>
      <c r="P24" s="9">
        <f>+Model!S37</f>
        <v>1108.7132258420693</v>
      </c>
      <c r="Q24" s="9">
        <f>+Model!T37</f>
        <v>1136.4310564881209</v>
      </c>
      <c r="R24" s="9">
        <f>+Model!U37</f>
        <v>1164.8418329003241</v>
      </c>
      <c r="S24" s="9">
        <f>+Model!V37</f>
        <v>1193.9628787228321</v>
      </c>
      <c r="T24" s="9">
        <f>+Model!W37</f>
        <v>1223.8119506909027</v>
      </c>
      <c r="U24" s="9">
        <f>+Model!X37</f>
        <v>1254.4072494581751</v>
      </c>
      <c r="V24" s="9">
        <f>+Model!Y37</f>
        <v>1285.7674306946294</v>
      </c>
      <c r="W24" s="9">
        <f>+Model!Z37</f>
        <v>1317.911616461995</v>
      </c>
      <c r="X24" s="9">
        <f>+Model!AA37</f>
        <v>1350.8594068735447</v>
      </c>
    </row>
    <row r="25" spans="2:24" x14ac:dyDescent="0.5">
      <c r="B25" s="55" t="s">
        <v>131</v>
      </c>
      <c r="C25" s="22" t="s">
        <v>135</v>
      </c>
      <c r="D25" s="22"/>
      <c r="E25" s="21">
        <f>SUM(E21:E24)</f>
        <v>1843.5023298127835</v>
      </c>
      <c r="F25" s="21">
        <f t="shared" ref="F25:X25" si="7">SUM(F21:F24)</f>
        <v>1909.5113234334372</v>
      </c>
      <c r="G25" s="21">
        <f t="shared" si="7"/>
        <v>1978.1655877094522</v>
      </c>
      <c r="H25" s="21">
        <f t="shared" si="7"/>
        <v>2049.5809554530956</v>
      </c>
      <c r="I25" s="21">
        <f t="shared" si="7"/>
        <v>2123.8786377896299</v>
      </c>
      <c r="J25" s="21">
        <f t="shared" si="7"/>
        <v>2201.1854826119288</v>
      </c>
      <c r="K25" s="21">
        <f t="shared" si="7"/>
        <v>2281.6342456899001</v>
      </c>
      <c r="L25" s="21">
        <f t="shared" si="7"/>
        <v>2365.3638750604641</v>
      </c>
      <c r="M25" s="21">
        <f t="shared" si="7"/>
        <v>2452.5198093548879</v>
      </c>
      <c r="N25" s="21">
        <f t="shared" si="7"/>
        <v>2543.2542907529401</v>
      </c>
      <c r="O25" s="21">
        <f t="shared" si="7"/>
        <v>2637.7266932876155</v>
      </c>
      <c r="P25" s="21">
        <f t="shared" si="7"/>
        <v>2736.1038672601198</v>
      </c>
      <c r="Q25" s="21">
        <f t="shared" si="7"/>
        <v>2838.5605005626094</v>
      </c>
      <c r="R25" s="21">
        <f t="shared" si="7"/>
        <v>2945.2794977458252</v>
      </c>
      <c r="S25" s="21">
        <f t="shared" si="7"/>
        <v>3056.4523777103686</v>
      </c>
      <c r="T25" s="21">
        <f t="shared" si="7"/>
        <v>3172.2796909441049</v>
      </c>
      <c r="U25" s="21">
        <f t="shared" si="7"/>
        <v>3292.9714572740395</v>
      </c>
      <c r="V25" s="21">
        <f t="shared" si="7"/>
        <v>3418.7476251491735</v>
      </c>
      <c r="W25" s="21">
        <f t="shared" si="7"/>
        <v>3549.8385535214566</v>
      </c>
      <c r="X25" s="21">
        <f t="shared" si="7"/>
        <v>3686.4855174449804</v>
      </c>
    </row>
    <row r="27" spans="2:24" x14ac:dyDescent="0.5">
      <c r="C27" s="23" t="s">
        <v>56</v>
      </c>
      <c r="D27" s="23"/>
      <c r="E27" s="113">
        <f t="shared" ref="E27:X27" si="8">+E8-E19-E25</f>
        <v>4093.2122887709475</v>
      </c>
      <c r="F27" s="113">
        <f t="shared" si="8"/>
        <v>4178.9646991547561</v>
      </c>
      <c r="G27" s="113">
        <f t="shared" si="8"/>
        <v>4311.1939506943927</v>
      </c>
      <c r="H27" s="113">
        <f t="shared" si="8"/>
        <v>4492.0178641428811</v>
      </c>
      <c r="I27" s="113">
        <f t="shared" si="8"/>
        <v>4618.44552497316</v>
      </c>
      <c r="J27" s="113">
        <f t="shared" si="8"/>
        <v>4617.6541202041662</v>
      </c>
      <c r="K27" s="113">
        <f t="shared" si="8"/>
        <v>4654.5951745314742</v>
      </c>
      <c r="L27" s="113">
        <f t="shared" si="8"/>
        <v>4717.9108503412108</v>
      </c>
      <c r="M27" s="113">
        <f t="shared" si="8"/>
        <v>4853.9930759599401</v>
      </c>
      <c r="N27" s="113">
        <f t="shared" si="8"/>
        <v>4996.5234603067765</v>
      </c>
      <c r="O27" s="113">
        <f t="shared" si="8"/>
        <v>5116.2879173607871</v>
      </c>
      <c r="P27" s="113">
        <f t="shared" si="8"/>
        <v>5203.7670717256124</v>
      </c>
      <c r="Q27" s="113">
        <f t="shared" si="8"/>
        <v>5269.7885150058128</v>
      </c>
      <c r="R27" s="113">
        <f t="shared" si="8"/>
        <v>5318.1159131443092</v>
      </c>
      <c r="S27" s="113">
        <f t="shared" si="8"/>
        <v>5365.8691785072433</v>
      </c>
      <c r="T27" s="113">
        <f t="shared" si="8"/>
        <v>5413.0364217990982</v>
      </c>
      <c r="U27" s="113">
        <f t="shared" si="8"/>
        <v>5459.6033320739625</v>
      </c>
      <c r="V27" s="113">
        <f t="shared" si="8"/>
        <v>5505.5530529940243</v>
      </c>
      <c r="W27" s="113">
        <f t="shared" si="8"/>
        <v>5550.8660511915004</v>
      </c>
      <c r="X27" s="113">
        <f t="shared" si="8"/>
        <v>5595.5199763042201</v>
      </c>
    </row>
    <row r="28" spans="2:24" x14ac:dyDescent="0.5">
      <c r="C28" s="1" t="s">
        <v>57</v>
      </c>
      <c r="D28" s="9">
        <f>+Model!G57</f>
        <v>-31309.75</v>
      </c>
      <c r="E28" s="9">
        <f>+Model!H57</f>
        <v>-5525.25</v>
      </c>
      <c r="F28" s="9">
        <f>+Model!I57</f>
        <v>0</v>
      </c>
      <c r="G28" s="9">
        <f>+Model!J57</f>
        <v>0</v>
      </c>
      <c r="H28" s="9">
        <f>+Model!K57</f>
        <v>0</v>
      </c>
      <c r="I28" s="9">
        <f>+Model!L57</f>
        <v>0</v>
      </c>
      <c r="J28" s="9">
        <f>+Model!M57</f>
        <v>0</v>
      </c>
      <c r="K28" s="9">
        <f>+Model!N57</f>
        <v>0</v>
      </c>
      <c r="L28" s="9">
        <f>+Model!O57</f>
        <v>0</v>
      </c>
      <c r="M28" s="9">
        <f>+Model!P57</f>
        <v>0</v>
      </c>
      <c r="N28" s="9">
        <f>+Model!Q57</f>
        <v>0</v>
      </c>
      <c r="O28" s="9">
        <f>+Model!R57</f>
        <v>0</v>
      </c>
      <c r="P28" s="9">
        <f>+Model!S57</f>
        <v>0</v>
      </c>
      <c r="Q28" s="9">
        <f>+Model!T57</f>
        <v>0</v>
      </c>
      <c r="R28" s="9">
        <f>+Model!U57</f>
        <v>0</v>
      </c>
      <c r="S28" s="9">
        <f>+Model!V57</f>
        <v>0</v>
      </c>
      <c r="T28" s="9">
        <f>+Model!W57</f>
        <v>0</v>
      </c>
      <c r="U28" s="9">
        <f>+Model!X57</f>
        <v>0</v>
      </c>
      <c r="V28" s="9">
        <f>+Model!Y57</f>
        <v>0</v>
      </c>
      <c r="W28" s="9">
        <f>+Model!Z57</f>
        <v>0</v>
      </c>
      <c r="X28" s="9">
        <f>+Model!AA57</f>
        <v>0</v>
      </c>
    </row>
    <row r="29" spans="2:24" x14ac:dyDescent="0.5">
      <c r="C29" s="1" t="s">
        <v>136</v>
      </c>
      <c r="D29" s="9">
        <f>+Model!G60</f>
        <v>0</v>
      </c>
      <c r="E29" s="9">
        <f>+Model!H60</f>
        <v>12965.919999999998</v>
      </c>
      <c r="F29" s="9">
        <f>+Model!I60</f>
        <v>0</v>
      </c>
      <c r="G29" s="9">
        <f>+Model!J60</f>
        <v>0</v>
      </c>
      <c r="H29" s="9">
        <f>+Model!K60</f>
        <v>0</v>
      </c>
      <c r="I29" s="9">
        <f>+Model!L60</f>
        <v>0</v>
      </c>
      <c r="J29" s="9">
        <f>+Model!M60</f>
        <v>0</v>
      </c>
      <c r="K29" s="9">
        <f>+Model!N60</f>
        <v>0</v>
      </c>
      <c r="L29" s="9">
        <f>+Model!O60</f>
        <v>0</v>
      </c>
      <c r="M29" s="9">
        <f>+Model!P60</f>
        <v>0</v>
      </c>
      <c r="N29" s="9">
        <f>+Model!Q60</f>
        <v>0</v>
      </c>
      <c r="O29" s="9">
        <f>+Model!R60</f>
        <v>0</v>
      </c>
      <c r="P29" s="9">
        <f>+Model!S60</f>
        <v>0</v>
      </c>
      <c r="Q29" s="9">
        <f>+Model!T60</f>
        <v>0</v>
      </c>
      <c r="R29" s="9">
        <f>+Model!U60</f>
        <v>0</v>
      </c>
      <c r="S29" s="9">
        <f>+Model!V60</f>
        <v>0</v>
      </c>
      <c r="T29" s="9">
        <f>+Model!W60</f>
        <v>0</v>
      </c>
      <c r="U29" s="9">
        <f>+Model!X60</f>
        <v>0</v>
      </c>
      <c r="V29" s="9">
        <f>+Model!Y60</f>
        <v>0</v>
      </c>
      <c r="W29" s="9">
        <f>+Model!Z60</f>
        <v>0</v>
      </c>
      <c r="X29" s="9">
        <f>+Model!AA60</f>
        <v>0</v>
      </c>
    </row>
    <row r="30" spans="2:24" x14ac:dyDescent="0.5">
      <c r="C30" s="1" t="s">
        <v>137</v>
      </c>
      <c r="E30" s="9">
        <f>Model!H59</f>
        <v>0</v>
      </c>
      <c r="F30" s="9">
        <f>Model!I59</f>
        <v>0</v>
      </c>
      <c r="G30" s="9">
        <f>Model!J59</f>
        <v>-552.52499999999998</v>
      </c>
      <c r="H30" s="9">
        <f>Model!K59</f>
        <v>-566.33812499999988</v>
      </c>
      <c r="I30" s="9">
        <f>Model!L59</f>
        <v>-580.49657812499981</v>
      </c>
      <c r="J30" s="9">
        <f>Model!M59</f>
        <v>-595.00899257812478</v>
      </c>
      <c r="K30" s="9">
        <f>Model!N59</f>
        <v>-609.88421739257785</v>
      </c>
      <c r="L30" s="9">
        <f>Model!O59</f>
        <v>-625.1313228273923</v>
      </c>
      <c r="M30" s="9">
        <f>Model!P59</f>
        <v>-640.7596058980771</v>
      </c>
      <c r="N30" s="9">
        <f>Model!Q59</f>
        <v>-656.77859604552896</v>
      </c>
      <c r="O30" s="9">
        <f>Model!R59</f>
        <v>-673.19806094666717</v>
      </c>
      <c r="P30" s="9">
        <f>Model!S59</f>
        <v>-690.02801247033381</v>
      </c>
      <c r="Q30" s="9">
        <f>Model!T59</f>
        <v>-707.27871278209204</v>
      </c>
      <c r="R30" s="9">
        <f>Model!U59</f>
        <v>-724.9606806016443</v>
      </c>
      <c r="S30" s="9">
        <f>Model!V59</f>
        <v>-743.08469761668539</v>
      </c>
      <c r="T30" s="9">
        <f>Model!W59</f>
        <v>-761.66181505710244</v>
      </c>
      <c r="U30" s="9">
        <f>Model!X59</f>
        <v>-780.70336043352995</v>
      </c>
      <c r="V30" s="9">
        <f>Model!Y59</f>
        <v>-800.22094444436812</v>
      </c>
      <c r="W30" s="9">
        <f>Model!Z59</f>
        <v>-820.2264680554772</v>
      </c>
      <c r="X30" s="9">
        <f>Model!AA59</f>
        <v>-840.73212975686408</v>
      </c>
    </row>
    <row r="31" spans="2:24" x14ac:dyDescent="0.5">
      <c r="C31" s="22" t="s">
        <v>138</v>
      </c>
      <c r="D31" s="387">
        <f>SUM(D27:D30)</f>
        <v>-31309.75</v>
      </c>
      <c r="E31" s="387">
        <f t="shared" ref="E31:W31" si="9">SUM(E27:E30)</f>
        <v>11533.882288770947</v>
      </c>
      <c r="F31" s="387">
        <f t="shared" si="9"/>
        <v>4178.9646991547561</v>
      </c>
      <c r="G31" s="387">
        <f t="shared" si="9"/>
        <v>3758.6689506943926</v>
      </c>
      <c r="H31" s="387">
        <f t="shared" si="9"/>
        <v>3925.6797391428813</v>
      </c>
      <c r="I31" s="387">
        <f t="shared" si="9"/>
        <v>4037.9489468481602</v>
      </c>
      <c r="J31" s="387">
        <f t="shared" si="9"/>
        <v>4022.6451276260414</v>
      </c>
      <c r="K31" s="387">
        <f t="shared" si="9"/>
        <v>4044.7109571388964</v>
      </c>
      <c r="L31" s="387">
        <f t="shared" si="9"/>
        <v>4092.7795275138187</v>
      </c>
      <c r="M31" s="387">
        <f t="shared" si="9"/>
        <v>4213.233470061863</v>
      </c>
      <c r="N31" s="387">
        <f t="shared" si="9"/>
        <v>4339.7448642612471</v>
      </c>
      <c r="O31" s="387">
        <f t="shared" si="9"/>
        <v>4443.0898564141198</v>
      </c>
      <c r="P31" s="387">
        <f t="shared" si="9"/>
        <v>4513.7390592552783</v>
      </c>
      <c r="Q31" s="387">
        <f t="shared" si="9"/>
        <v>4562.5098022237207</v>
      </c>
      <c r="R31" s="387">
        <f t="shared" si="9"/>
        <v>4593.1552325426646</v>
      </c>
      <c r="S31" s="387">
        <f t="shared" si="9"/>
        <v>4622.7844808905575</v>
      </c>
      <c r="T31" s="387">
        <f t="shared" si="9"/>
        <v>4651.3746067419961</v>
      </c>
      <c r="U31" s="387">
        <f t="shared" si="9"/>
        <v>4678.8999716404323</v>
      </c>
      <c r="V31" s="387">
        <f t="shared" si="9"/>
        <v>4705.3321085496564</v>
      </c>
      <c r="W31" s="387">
        <f t="shared" si="9"/>
        <v>4730.6395831360232</v>
      </c>
      <c r="X31" s="387">
        <f>SUM(X27:X30)</f>
        <v>4754.7878465473559</v>
      </c>
    </row>
    <row r="33" spans="3:24" x14ac:dyDescent="0.5">
      <c r="C33" s="23" t="s">
        <v>139</v>
      </c>
      <c r="D33" s="389">
        <f>+XIRR(D31:X31,$D$1:$X$1)</f>
        <v>0.15261858105659487</v>
      </c>
    </row>
    <row r="35" spans="3:24" x14ac:dyDescent="0.5">
      <c r="E35" s="390">
        <f>+$D$12-E25</f>
        <v>752.0601701872165</v>
      </c>
      <c r="F35" s="390">
        <f t="shared" ref="F35:X35" si="10">+$D$12-F25</f>
        <v>686.05117656656284</v>
      </c>
      <c r="G35" s="390">
        <f t="shared" si="10"/>
        <v>617.39691229054779</v>
      </c>
      <c r="H35" s="390">
        <f t="shared" si="10"/>
        <v>545.98154454690439</v>
      </c>
      <c r="I35" s="390">
        <f t="shared" si="10"/>
        <v>471.68386221037008</v>
      </c>
      <c r="J35" s="390">
        <f t="shared" si="10"/>
        <v>394.37701738807118</v>
      </c>
      <c r="K35" s="390">
        <f t="shared" si="10"/>
        <v>313.92825431009987</v>
      </c>
      <c r="L35" s="390">
        <f t="shared" si="10"/>
        <v>230.19862493953588</v>
      </c>
      <c r="M35" s="390">
        <f t="shared" si="10"/>
        <v>143.04269064511209</v>
      </c>
      <c r="N35" s="390">
        <f t="shared" si="10"/>
        <v>52.308209247059949</v>
      </c>
      <c r="O35" s="390">
        <f t="shared" si="10"/>
        <v>-42.16419328761549</v>
      </c>
      <c r="P35" s="390">
        <f t="shared" si="10"/>
        <v>-140.54136726011984</v>
      </c>
      <c r="Q35" s="390">
        <f t="shared" si="10"/>
        <v>-242.99800056260938</v>
      </c>
      <c r="R35" s="390">
        <f t="shared" si="10"/>
        <v>-349.71699774582521</v>
      </c>
      <c r="S35" s="390">
        <f t="shared" si="10"/>
        <v>-460.88987771036864</v>
      </c>
      <c r="T35" s="390">
        <f t="shared" si="10"/>
        <v>-576.71719094410491</v>
      </c>
      <c r="U35" s="390">
        <f t="shared" si="10"/>
        <v>-697.40895727403949</v>
      </c>
      <c r="V35" s="390">
        <f t="shared" si="10"/>
        <v>-823.18512514917347</v>
      </c>
      <c r="W35" s="390">
        <f t="shared" si="10"/>
        <v>-954.27605352145656</v>
      </c>
      <c r="X35" s="390">
        <f t="shared" si="10"/>
        <v>-1090.9230174449804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B35B-29CF-4F4D-B9CE-BC71ED6235ED}">
  <sheetPr>
    <tabColor rgb="FF00B050"/>
  </sheetPr>
  <dimension ref="B3:AA89"/>
  <sheetViews>
    <sheetView showGridLines="0" topLeftCell="A4" zoomScale="80" zoomScaleNormal="80" workbookViewId="0">
      <pane xSplit="6" ySplit="7" topLeftCell="G45" activePane="bottomRight" state="frozen"/>
      <selection pane="topRight" activeCell="G4" sqref="G4"/>
      <selection pane="bottomLeft" activeCell="A11" sqref="A11"/>
      <selection pane="bottomRight" activeCell="E23" sqref="E23"/>
    </sheetView>
  </sheetViews>
  <sheetFormatPr defaultColWidth="9" defaultRowHeight="14.35" outlineLevelRow="1" x14ac:dyDescent="0.5"/>
  <cols>
    <col min="1" max="1" width="6" style="1" bestFit="1" customWidth="1"/>
    <col min="2" max="2" width="8.87890625" style="1" bestFit="1" customWidth="1"/>
    <col min="3" max="3" width="45.703125" style="1" bestFit="1" customWidth="1"/>
    <col min="4" max="4" width="10.703125" style="2" bestFit="1" customWidth="1"/>
    <col min="5" max="5" width="15.87890625" style="1" bestFit="1" customWidth="1"/>
    <col min="6" max="6" width="1.41015625" style="1" customWidth="1"/>
    <col min="7" max="7" width="8.5859375" style="1" bestFit="1" customWidth="1"/>
    <col min="8" max="8" width="10.41015625" style="1" bestFit="1" customWidth="1"/>
    <col min="9" max="13" width="10.29296875" style="1" customWidth="1"/>
    <col min="14" max="14" width="10.41015625" style="1" bestFit="1" customWidth="1"/>
    <col min="15" max="27" width="10.29296875" style="1" customWidth="1"/>
    <col min="28" max="16384" width="9" style="1"/>
  </cols>
  <sheetData>
    <row r="3" spans="3:27" x14ac:dyDescent="0.5">
      <c r="C3" s="1" t="s">
        <v>32</v>
      </c>
      <c r="E3" s="34">
        <v>46203</v>
      </c>
    </row>
    <row r="7" spans="3:27" x14ac:dyDescent="0.5">
      <c r="H7" s="2">
        <f>YEAR(H9)</f>
        <v>2028</v>
      </c>
      <c r="I7" s="2">
        <f t="shared" ref="I7:AA7" si="0">YEAR(I9)</f>
        <v>2029</v>
      </c>
      <c r="J7" s="2">
        <f t="shared" si="0"/>
        <v>2030</v>
      </c>
      <c r="K7" s="2">
        <f t="shared" si="0"/>
        <v>2031</v>
      </c>
      <c r="L7" s="2">
        <f t="shared" si="0"/>
        <v>2032</v>
      </c>
      <c r="M7" s="2">
        <f t="shared" si="0"/>
        <v>2033</v>
      </c>
      <c r="N7" s="2">
        <f t="shared" si="0"/>
        <v>2034</v>
      </c>
      <c r="O7" s="2">
        <f t="shared" si="0"/>
        <v>2035</v>
      </c>
      <c r="P7" s="2">
        <f t="shared" si="0"/>
        <v>2036</v>
      </c>
      <c r="Q7" s="2">
        <f t="shared" si="0"/>
        <v>2037</v>
      </c>
      <c r="R7" s="2">
        <f t="shared" si="0"/>
        <v>2038</v>
      </c>
      <c r="S7" s="2">
        <f t="shared" si="0"/>
        <v>2039</v>
      </c>
      <c r="T7" s="2">
        <f t="shared" si="0"/>
        <v>2040</v>
      </c>
      <c r="U7" s="2">
        <f t="shared" si="0"/>
        <v>2041</v>
      </c>
      <c r="V7" s="2">
        <f t="shared" si="0"/>
        <v>2042</v>
      </c>
      <c r="W7" s="2">
        <f t="shared" si="0"/>
        <v>2043</v>
      </c>
      <c r="X7" s="2">
        <f t="shared" si="0"/>
        <v>2044</v>
      </c>
      <c r="Y7" s="2">
        <f t="shared" si="0"/>
        <v>2045</v>
      </c>
      <c r="Z7" s="2">
        <f t="shared" si="0"/>
        <v>2046</v>
      </c>
      <c r="AA7" s="2">
        <f t="shared" si="0"/>
        <v>2047</v>
      </c>
    </row>
    <row r="8" spans="3:27" x14ac:dyDescent="0.5">
      <c r="H8" s="35">
        <v>1</v>
      </c>
      <c r="I8" s="35">
        <f>H8*(1+INPUTS!$E$6)</f>
        <v>1.0249999999999999</v>
      </c>
      <c r="J8" s="35">
        <f>I8*(1+INPUTS!$E$6)</f>
        <v>1.0506249999999999</v>
      </c>
      <c r="K8" s="35">
        <f>J8*(1+INPUTS!$E$6)</f>
        <v>1.0768906249999999</v>
      </c>
      <c r="L8" s="35">
        <f>K8*(1+INPUTS!$E$6)</f>
        <v>1.1038128906249998</v>
      </c>
      <c r="M8" s="35">
        <f>L8*(1+INPUTS!$E$6)</f>
        <v>1.1314082128906247</v>
      </c>
      <c r="N8" s="35">
        <f>M8*(1+INPUTS!$E$6)</f>
        <v>1.1596934182128902</v>
      </c>
      <c r="O8" s="35">
        <f>N8*(1+INPUTS!$E$6)</f>
        <v>1.1886857536682123</v>
      </c>
      <c r="P8" s="35">
        <f>O8*(1+INPUTS!$E$6)</f>
        <v>1.2184028975099175</v>
      </c>
      <c r="Q8" s="35">
        <f>P8*(1+INPUTS!$E$6)</f>
        <v>1.2488629699476652</v>
      </c>
      <c r="R8" s="35">
        <f>Q8*(1+INPUTS!$E$6)</f>
        <v>1.2800845441963566</v>
      </c>
      <c r="S8" s="35">
        <f>R8*(1+INPUTS!$E$6)</f>
        <v>1.3120866578012655</v>
      </c>
      <c r="T8" s="35">
        <f>S8*(1+INPUTS!$E$6)</f>
        <v>1.3448888242462971</v>
      </c>
      <c r="U8" s="35">
        <f>T8*(1+INPUTS!$E$6)</f>
        <v>1.3785110448524545</v>
      </c>
      <c r="V8" s="35">
        <f>U8*(1+INPUTS!$E$6)</f>
        <v>1.4129738209737657</v>
      </c>
      <c r="W8" s="35">
        <f>V8*(1+INPUTS!$E$6)</f>
        <v>1.4482981664981096</v>
      </c>
      <c r="X8" s="35">
        <f>W8*(1+INPUTS!$E$6)</f>
        <v>1.4845056206605622</v>
      </c>
      <c r="Y8" s="35">
        <f>X8*(1+INPUTS!$E$6)</f>
        <v>1.5216182611770761</v>
      </c>
      <c r="Z8" s="35">
        <f>Y8*(1+INPUTS!$E$6)</f>
        <v>1.5596587177065029</v>
      </c>
      <c r="AA8" s="35">
        <f>Z8*(1+INPUTS!$E$6)</f>
        <v>1.5986501856491653</v>
      </c>
    </row>
    <row r="9" spans="3:27" x14ac:dyDescent="0.5">
      <c r="G9" s="26">
        <f>+INPUTS!E38</f>
        <v>46447</v>
      </c>
      <c r="H9" s="26">
        <f>EOMONTH(INPUTS!E37,6)</f>
        <v>46873</v>
      </c>
      <c r="I9" s="26">
        <f>EOMONTH(H9,12)</f>
        <v>47238</v>
      </c>
      <c r="J9" s="26">
        <f t="shared" ref="J9:AA9" si="1">EOMONTH(I9,12)</f>
        <v>47603</v>
      </c>
      <c r="K9" s="26">
        <f t="shared" si="1"/>
        <v>47968</v>
      </c>
      <c r="L9" s="26">
        <f t="shared" si="1"/>
        <v>48334</v>
      </c>
      <c r="M9" s="26">
        <f t="shared" si="1"/>
        <v>48699</v>
      </c>
      <c r="N9" s="26">
        <f t="shared" si="1"/>
        <v>49064</v>
      </c>
      <c r="O9" s="26">
        <f t="shared" si="1"/>
        <v>49429</v>
      </c>
      <c r="P9" s="26">
        <f t="shared" si="1"/>
        <v>49795</v>
      </c>
      <c r="Q9" s="26">
        <f t="shared" si="1"/>
        <v>50160</v>
      </c>
      <c r="R9" s="26">
        <f t="shared" si="1"/>
        <v>50525</v>
      </c>
      <c r="S9" s="26">
        <f t="shared" si="1"/>
        <v>50890</v>
      </c>
      <c r="T9" s="26">
        <f t="shared" si="1"/>
        <v>51256</v>
      </c>
      <c r="U9" s="26">
        <f t="shared" si="1"/>
        <v>51621</v>
      </c>
      <c r="V9" s="26">
        <f t="shared" si="1"/>
        <v>51986</v>
      </c>
      <c r="W9" s="26">
        <f t="shared" si="1"/>
        <v>52351</v>
      </c>
      <c r="X9" s="26">
        <f t="shared" si="1"/>
        <v>52717</v>
      </c>
      <c r="Y9" s="26">
        <f t="shared" si="1"/>
        <v>53082</v>
      </c>
      <c r="Z9" s="26">
        <f t="shared" si="1"/>
        <v>53447</v>
      </c>
      <c r="AA9" s="26">
        <f t="shared" si="1"/>
        <v>53812</v>
      </c>
    </row>
    <row r="10" spans="3:27" x14ac:dyDescent="0.5">
      <c r="C10" s="24" t="s">
        <v>63</v>
      </c>
      <c r="G10" s="36" t="s">
        <v>64</v>
      </c>
      <c r="H10" s="36" t="s">
        <v>65</v>
      </c>
      <c r="I10" s="36" t="s">
        <v>66</v>
      </c>
      <c r="J10" s="36" t="s">
        <v>67</v>
      </c>
      <c r="K10" s="36" t="s">
        <v>68</v>
      </c>
      <c r="L10" s="36" t="s">
        <v>69</v>
      </c>
      <c r="M10" s="36" t="s">
        <v>70</v>
      </c>
      <c r="N10" s="36" t="s">
        <v>71</v>
      </c>
      <c r="O10" s="36" t="s">
        <v>72</v>
      </c>
      <c r="P10" s="36" t="s">
        <v>73</v>
      </c>
      <c r="Q10" s="36" t="s">
        <v>74</v>
      </c>
      <c r="R10" s="36" t="s">
        <v>75</v>
      </c>
      <c r="S10" s="36" t="s">
        <v>76</v>
      </c>
      <c r="T10" s="36" t="s">
        <v>77</v>
      </c>
      <c r="U10" s="36" t="s">
        <v>78</v>
      </c>
      <c r="V10" s="36" t="s">
        <v>79</v>
      </c>
      <c r="W10" s="36" t="s">
        <v>80</v>
      </c>
      <c r="X10" s="36" t="s">
        <v>81</v>
      </c>
      <c r="Y10" s="36" t="s">
        <v>82</v>
      </c>
      <c r="Z10" s="36" t="s">
        <v>83</v>
      </c>
      <c r="AA10" s="36" t="s">
        <v>84</v>
      </c>
    </row>
    <row r="11" spans="3:27" x14ac:dyDescent="0.5">
      <c r="C11" s="3" t="s">
        <v>85</v>
      </c>
      <c r="D11" s="4" t="s">
        <v>7</v>
      </c>
      <c r="E11" s="3"/>
      <c r="G11" s="3"/>
      <c r="H11" s="5">
        <f>INPUTS!E8</f>
        <v>950</v>
      </c>
      <c r="I11" s="6">
        <f>H11*(1+INPUTS!$E$9)</f>
        <v>973.12300000000005</v>
      </c>
      <c r="J11" s="6">
        <f>I11*(1+INPUTS!$E$9)</f>
        <v>996.80881382000007</v>
      </c>
      <c r="K11" s="6">
        <f>J11*(1+INPUTS!$E$9)</f>
        <v>1021.0711403483789</v>
      </c>
      <c r="L11" s="6">
        <f>K11*(1+INPUTS!$E$9)</f>
        <v>1045.9240119044584</v>
      </c>
      <c r="M11" s="6">
        <f>L11*(1+INPUTS!$E$9)</f>
        <v>1071.3818023542131</v>
      </c>
      <c r="N11" s="6">
        <f>M11*(1+INPUTS!$E$9)</f>
        <v>1097.4592354235147</v>
      </c>
      <c r="O11" s="6">
        <f>N11*(1+INPUTS!$E$9)</f>
        <v>1124.1713932137229</v>
      </c>
      <c r="P11" s="6">
        <f>O11*(1+INPUTS!$E$9)</f>
        <v>1151.5337249245449</v>
      </c>
      <c r="Q11" s="6">
        <f>P11*(1+INPUTS!$E$9)</f>
        <v>1179.5620557892084</v>
      </c>
      <c r="R11" s="6">
        <f>Q11*(1+INPUTS!$E$9)</f>
        <v>1208.2725962271179</v>
      </c>
      <c r="S11" s="6">
        <f>R11*(1+INPUTS!$E$9)</f>
        <v>1237.681951219286</v>
      </c>
      <c r="T11" s="6">
        <f>S11*(1+INPUTS!$E$9)</f>
        <v>1267.8071299119636</v>
      </c>
      <c r="U11" s="6">
        <f>T11*(1+INPUTS!$E$9)</f>
        <v>1298.6655554540207</v>
      </c>
      <c r="V11" s="6">
        <f>U11*(1+INPUTS!$E$9)</f>
        <v>1330.2750750737716</v>
      </c>
      <c r="W11" s="6">
        <f>V11*(1+INPUTS!$E$9)</f>
        <v>1362.6539704010672</v>
      </c>
      <c r="X11" s="6">
        <f>W11*(1+INPUTS!$E$9)</f>
        <v>1395.8209680406292</v>
      </c>
      <c r="Y11" s="6">
        <f>X11*(1+INPUTS!$E$9)</f>
        <v>1429.795250402738</v>
      </c>
      <c r="Z11" s="6">
        <f>Y11*(1+INPUTS!$E$9)</f>
        <v>1464.5964667975406</v>
      </c>
      <c r="AA11" s="6">
        <f>Z11*(1+INPUTS!$E$9)</f>
        <v>1500.2447447993927</v>
      </c>
    </row>
    <row r="12" spans="3:27" x14ac:dyDescent="0.5">
      <c r="C12" s="1" t="s">
        <v>85</v>
      </c>
      <c r="D12" s="2" t="s">
        <v>86</v>
      </c>
      <c r="H12" s="7">
        <f>H11*(24*60)</f>
        <v>1368000</v>
      </c>
      <c r="I12" s="7">
        <f t="shared" ref="I12:AA12" si="2">I11*(24*60)</f>
        <v>1401297.12</v>
      </c>
      <c r="J12" s="7">
        <f t="shared" si="2"/>
        <v>1435404.6919008</v>
      </c>
      <c r="K12" s="7">
        <f t="shared" si="2"/>
        <v>1470342.4421016655</v>
      </c>
      <c r="L12" s="7">
        <f t="shared" si="2"/>
        <v>1506130.5771424202</v>
      </c>
      <c r="M12" s="7">
        <f t="shared" si="2"/>
        <v>1542789.7953900667</v>
      </c>
      <c r="N12" s="7">
        <f t="shared" si="2"/>
        <v>1580341.2990098612</v>
      </c>
      <c r="O12" s="7">
        <f t="shared" si="2"/>
        <v>1618806.8062277611</v>
      </c>
      <c r="P12" s="7">
        <f t="shared" si="2"/>
        <v>1658208.5638913447</v>
      </c>
      <c r="Q12" s="7">
        <f t="shared" si="2"/>
        <v>1698569.3603364602</v>
      </c>
      <c r="R12" s="7">
        <f t="shared" si="2"/>
        <v>1739912.5385670499</v>
      </c>
      <c r="S12" s="7">
        <f t="shared" si="2"/>
        <v>1782262.0097557718</v>
      </c>
      <c r="T12" s="7">
        <f t="shared" si="2"/>
        <v>1825642.2670732276</v>
      </c>
      <c r="U12" s="7">
        <f t="shared" si="2"/>
        <v>1870078.3998537897</v>
      </c>
      <c r="V12" s="7">
        <f t="shared" si="2"/>
        <v>1915596.1081062311</v>
      </c>
      <c r="W12" s="7">
        <f t="shared" si="2"/>
        <v>1962221.7173775367</v>
      </c>
      <c r="X12" s="7">
        <f t="shared" si="2"/>
        <v>2009982.1939785059</v>
      </c>
      <c r="Y12" s="7">
        <f t="shared" si="2"/>
        <v>2058905.1605799426</v>
      </c>
      <c r="Z12" s="7">
        <f t="shared" si="2"/>
        <v>2109018.9121884587</v>
      </c>
      <c r="AA12" s="7">
        <f t="shared" si="2"/>
        <v>2160352.4325111257</v>
      </c>
    </row>
    <row r="13" spans="3:27" x14ac:dyDescent="0.5">
      <c r="C13" s="1" t="s">
        <v>87</v>
      </c>
      <c r="D13" s="8" t="s">
        <v>88</v>
      </c>
      <c r="E13" s="64">
        <f>INPUTS!$E$14</f>
        <v>666.68382082478502</v>
      </c>
      <c r="F13" s="19"/>
      <c r="G13" s="19"/>
      <c r="H13" s="7">
        <f>$E$13*H12/10^6</f>
        <v>912.02346688830585</v>
      </c>
      <c r="I13" s="7">
        <f t="shared" ref="I13:AA13" si="3">$E$13*I12/10^6</f>
        <v>934.22211807236727</v>
      </c>
      <c r="J13" s="7">
        <f t="shared" si="3"/>
        <v>956.9610844262487</v>
      </c>
      <c r="K13" s="7">
        <f t="shared" si="3"/>
        <v>980.25351722118364</v>
      </c>
      <c r="L13" s="7">
        <f t="shared" si="3"/>
        <v>1004.1128878303473</v>
      </c>
      <c r="M13" s="7">
        <f t="shared" si="3"/>
        <v>1028.552995520138</v>
      </c>
      <c r="N13" s="7">
        <f t="shared" si="3"/>
        <v>1053.5879754310984</v>
      </c>
      <c r="O13" s="7">
        <f t="shared" si="3"/>
        <v>1079.2323067530911</v>
      </c>
      <c r="P13" s="7">
        <f t="shared" si="3"/>
        <v>1105.5008210994613</v>
      </c>
      <c r="Q13" s="7">
        <f t="shared" si="3"/>
        <v>1132.4087110850221</v>
      </c>
      <c r="R13" s="7">
        <f t="shared" si="3"/>
        <v>1159.9715391128318</v>
      </c>
      <c r="S13" s="7">
        <f t="shared" si="3"/>
        <v>1188.2052463748385</v>
      </c>
      <c r="T13" s="7">
        <f t="shared" si="3"/>
        <v>1217.1261620716018</v>
      </c>
      <c r="U13" s="7">
        <f t="shared" si="3"/>
        <v>1246.7510128564245</v>
      </c>
      <c r="V13" s="7">
        <f t="shared" si="3"/>
        <v>1277.0969325093502</v>
      </c>
      <c r="W13" s="7">
        <f t="shared" si="3"/>
        <v>1308.1814718466278</v>
      </c>
      <c r="X13" s="7">
        <f t="shared" si="3"/>
        <v>1340.0226088713746</v>
      </c>
      <c r="Y13" s="7">
        <f t="shared" si="3"/>
        <v>1372.6387591713037</v>
      </c>
      <c r="Z13" s="7">
        <f t="shared" si="3"/>
        <v>1406.0487865695334</v>
      </c>
      <c r="AA13" s="7">
        <f t="shared" si="3"/>
        <v>1440.2720140346357</v>
      </c>
    </row>
    <row r="14" spans="3:27" x14ac:dyDescent="0.5">
      <c r="C14" s="1" t="s">
        <v>87</v>
      </c>
      <c r="D14" s="2" t="s">
        <v>89</v>
      </c>
      <c r="E14" s="7">
        <f>SUM(H14:AA14)</f>
        <v>8447257.2024772111</v>
      </c>
      <c r="F14" s="7"/>
      <c r="G14" s="7"/>
      <c r="H14" s="7">
        <f>H13*365</f>
        <v>332888.56541423162</v>
      </c>
      <c r="I14" s="7">
        <f t="shared" ref="I14:AA14" si="4">I13*365</f>
        <v>340991.07309641404</v>
      </c>
      <c r="J14" s="7">
        <f t="shared" si="4"/>
        <v>349290.79581558076</v>
      </c>
      <c r="K14" s="7">
        <f t="shared" si="4"/>
        <v>357792.53378573206</v>
      </c>
      <c r="L14" s="7">
        <f t="shared" si="4"/>
        <v>366501.20405807678</v>
      </c>
      <c r="M14" s="7">
        <f t="shared" si="4"/>
        <v>375421.84336485039</v>
      </c>
      <c r="N14" s="7">
        <f t="shared" si="4"/>
        <v>384559.61103235092</v>
      </c>
      <c r="O14" s="7">
        <f t="shared" si="4"/>
        <v>393919.79196487821</v>
      </c>
      <c r="P14" s="7">
        <f t="shared" si="4"/>
        <v>403507.79970130336</v>
      </c>
      <c r="Q14" s="7">
        <f t="shared" si="4"/>
        <v>413329.17954603309</v>
      </c>
      <c r="R14" s="7">
        <f t="shared" si="4"/>
        <v>423389.61177618359</v>
      </c>
      <c r="S14" s="7">
        <f t="shared" si="4"/>
        <v>433694.91492681601</v>
      </c>
      <c r="T14" s="7">
        <f t="shared" si="4"/>
        <v>444251.04915613466</v>
      </c>
      <c r="U14" s="7">
        <f t="shared" si="4"/>
        <v>455064.11969259492</v>
      </c>
      <c r="V14" s="7">
        <f t="shared" si="4"/>
        <v>466140.3803659128</v>
      </c>
      <c r="W14" s="7">
        <f t="shared" si="4"/>
        <v>477486.23722401913</v>
      </c>
      <c r="X14" s="7">
        <f t="shared" si="4"/>
        <v>489108.25223805173</v>
      </c>
      <c r="Y14" s="7">
        <f t="shared" si="4"/>
        <v>501013.14709752589</v>
      </c>
      <c r="Z14" s="7">
        <f t="shared" si="4"/>
        <v>513207.8070978797</v>
      </c>
      <c r="AA14" s="7">
        <f t="shared" si="4"/>
        <v>525699.28512264206</v>
      </c>
    </row>
    <row r="15" spans="3:27" x14ac:dyDescent="0.5">
      <c r="C15" s="1" t="s">
        <v>10</v>
      </c>
      <c r="E15" s="38"/>
      <c r="F15" s="10"/>
      <c r="G15" s="10"/>
      <c r="H15" s="10">
        <f>INPUTS!$E$12</f>
        <v>0.98</v>
      </c>
      <c r="I15" s="10">
        <f t="shared" ref="I15:AA16" si="5">H15</f>
        <v>0.98</v>
      </c>
      <c r="J15" s="10">
        <f t="shared" si="5"/>
        <v>0.98</v>
      </c>
      <c r="K15" s="10">
        <f t="shared" si="5"/>
        <v>0.98</v>
      </c>
      <c r="L15" s="10">
        <f t="shared" si="5"/>
        <v>0.98</v>
      </c>
      <c r="M15" s="10">
        <f t="shared" si="5"/>
        <v>0.98</v>
      </c>
      <c r="N15" s="10">
        <f t="shared" si="5"/>
        <v>0.98</v>
      </c>
      <c r="O15" s="10">
        <f t="shared" si="5"/>
        <v>0.98</v>
      </c>
      <c r="P15" s="10">
        <f t="shared" si="5"/>
        <v>0.98</v>
      </c>
      <c r="Q15" s="10">
        <f t="shared" si="5"/>
        <v>0.98</v>
      </c>
      <c r="R15" s="10">
        <f t="shared" si="5"/>
        <v>0.98</v>
      </c>
      <c r="S15" s="10">
        <f t="shared" si="5"/>
        <v>0.98</v>
      </c>
      <c r="T15" s="10">
        <f t="shared" si="5"/>
        <v>0.98</v>
      </c>
      <c r="U15" s="10">
        <f t="shared" si="5"/>
        <v>0.98</v>
      </c>
      <c r="V15" s="10">
        <f t="shared" si="5"/>
        <v>0.98</v>
      </c>
      <c r="W15" s="10">
        <f t="shared" si="5"/>
        <v>0.98</v>
      </c>
      <c r="X15" s="10">
        <f t="shared" si="5"/>
        <v>0.98</v>
      </c>
      <c r="Y15" s="10">
        <f t="shared" si="5"/>
        <v>0.98</v>
      </c>
      <c r="Z15" s="10">
        <f t="shared" si="5"/>
        <v>0.98</v>
      </c>
      <c r="AA15" s="10">
        <f t="shared" si="5"/>
        <v>0.98</v>
      </c>
    </row>
    <row r="16" spans="3:27" x14ac:dyDescent="0.5">
      <c r="C16" s="1" t="s">
        <v>11</v>
      </c>
      <c r="D16" s="2" t="s">
        <v>90</v>
      </c>
      <c r="E16" s="139">
        <v>1</v>
      </c>
      <c r="F16" s="10"/>
      <c r="G16" s="10"/>
      <c r="H16" s="10">
        <f>INPUTS!$E$13</f>
        <v>0.97906432407905841</v>
      </c>
      <c r="I16" s="10">
        <f t="shared" si="5"/>
        <v>0.97906432407905841</v>
      </c>
      <c r="J16" s="10">
        <f t="shared" si="5"/>
        <v>0.97906432407905841</v>
      </c>
      <c r="K16" s="10">
        <f t="shared" si="5"/>
        <v>0.97906432407905841</v>
      </c>
      <c r="L16" s="10">
        <f t="shared" si="5"/>
        <v>0.97906432407905841</v>
      </c>
      <c r="M16" s="10">
        <f t="shared" si="5"/>
        <v>0.97906432407905841</v>
      </c>
      <c r="N16" s="10">
        <f t="shared" si="5"/>
        <v>0.97906432407905841</v>
      </c>
      <c r="O16" s="10">
        <f t="shared" si="5"/>
        <v>0.97906432407905841</v>
      </c>
      <c r="P16" s="10">
        <f t="shared" si="5"/>
        <v>0.97906432407905841</v>
      </c>
      <c r="Q16" s="10">
        <f t="shared" si="5"/>
        <v>0.97906432407905841</v>
      </c>
      <c r="R16" s="10">
        <f t="shared" si="5"/>
        <v>0.97906432407905841</v>
      </c>
      <c r="S16" s="10">
        <f t="shared" si="5"/>
        <v>0.97906432407905841</v>
      </c>
      <c r="T16" s="10">
        <f t="shared" si="5"/>
        <v>0.97906432407905841</v>
      </c>
      <c r="U16" s="10">
        <f t="shared" si="5"/>
        <v>0.97906432407905841</v>
      </c>
      <c r="V16" s="10">
        <f t="shared" si="5"/>
        <v>0.97906432407905841</v>
      </c>
      <c r="W16" s="10">
        <f t="shared" si="5"/>
        <v>0.97906432407905841</v>
      </c>
      <c r="X16" s="10">
        <f t="shared" si="5"/>
        <v>0.97906432407905841</v>
      </c>
      <c r="Y16" s="10">
        <f t="shared" si="5"/>
        <v>0.97906432407905841</v>
      </c>
      <c r="Z16" s="10">
        <f t="shared" si="5"/>
        <v>0.97906432407905841</v>
      </c>
      <c r="AA16" s="10">
        <f t="shared" si="5"/>
        <v>0.97906432407905841</v>
      </c>
    </row>
    <row r="17" spans="2:27" x14ac:dyDescent="0.5">
      <c r="C17" s="1" t="s">
        <v>91</v>
      </c>
      <c r="D17" s="2" t="s">
        <v>89</v>
      </c>
      <c r="E17" s="7">
        <f>SUM(H17:AA17)</f>
        <v>8105000.0000000028</v>
      </c>
      <c r="F17" s="7"/>
      <c r="G17" s="7"/>
      <c r="H17" s="9">
        <f>PRODUCT(H14:H16)*$E$16</f>
        <v>319400.93192511343</v>
      </c>
      <c r="I17" s="9">
        <f t="shared" ref="I17:AA17" si="6">PRODUCT(I14:I16)*$E$16</f>
        <v>327175.15060817072</v>
      </c>
      <c r="J17" s="9">
        <f t="shared" si="6"/>
        <v>335138.59377397358</v>
      </c>
      <c r="K17" s="9">
        <f t="shared" si="6"/>
        <v>343295.86714643217</v>
      </c>
      <c r="L17" s="9">
        <f t="shared" si="6"/>
        <v>351651.68855277635</v>
      </c>
      <c r="M17" s="9">
        <f t="shared" si="6"/>
        <v>360210.89065215096</v>
      </c>
      <c r="N17" s="9">
        <f t="shared" si="6"/>
        <v>368978.42373062437</v>
      </c>
      <c r="O17" s="9">
        <f t="shared" si="6"/>
        <v>377959.35856422764</v>
      </c>
      <c r="P17" s="9">
        <f t="shared" si="6"/>
        <v>387158.88935168099</v>
      </c>
      <c r="Q17" s="9">
        <f t="shared" si="6"/>
        <v>396582.33671850088</v>
      </c>
      <c r="R17" s="9">
        <f t="shared" si="6"/>
        <v>406235.15079422924</v>
      </c>
      <c r="S17" s="9">
        <f t="shared" si="6"/>
        <v>416122.91436456091</v>
      </c>
      <c r="T17" s="9">
        <f t="shared" si="6"/>
        <v>426251.34610019426</v>
      </c>
      <c r="U17" s="9">
        <f t="shared" si="6"/>
        <v>436626.30386427295</v>
      </c>
      <c r="V17" s="9">
        <f t="shared" si="6"/>
        <v>447253.78810032946</v>
      </c>
      <c r="W17" s="9">
        <f t="shared" si="6"/>
        <v>458139.94530269149</v>
      </c>
      <c r="X17" s="9">
        <f t="shared" si="6"/>
        <v>469291.071571359</v>
      </c>
      <c r="Y17" s="9">
        <f t="shared" si="6"/>
        <v>480713.61625340581</v>
      </c>
      <c r="Z17" s="9">
        <f t="shared" si="6"/>
        <v>492414.18567301374</v>
      </c>
      <c r="AA17" s="9">
        <f t="shared" si="6"/>
        <v>504399.54695229488</v>
      </c>
    </row>
    <row r="19" spans="2:27" x14ac:dyDescent="0.5">
      <c r="C19" s="1" t="s">
        <v>92</v>
      </c>
      <c r="D19" s="2" t="s">
        <v>93</v>
      </c>
      <c r="E19" s="134">
        <v>0</v>
      </c>
      <c r="H19" s="13">
        <f>_xlfn.XLOOKUP(H7,'RIN Curves'!$G$18:$G$44,'RIN Curves'!$H$18:$H$44)</f>
        <v>2.6619581040516365</v>
      </c>
      <c r="I19" s="13">
        <f>_xlfn.XLOOKUP(I7,'RIN Curves'!$G$18:$G$44,'RIN Curves'!$H$18:$H$44)</f>
        <v>2.7118203928073998</v>
      </c>
      <c r="J19" s="13">
        <f>_xlfn.XLOOKUP(J7,'RIN Curves'!$G$18:$G$44,'RIN Curves'!$H$18:$H$44)</f>
        <v>2.7914812580932673</v>
      </c>
      <c r="K19" s="13">
        <f>_xlfn.XLOOKUP(K7,'RIN Curves'!$G$18:$G$44,'RIN Curves'!$H$18:$H$44)</f>
        <v>2.9160810589464075</v>
      </c>
      <c r="L19" s="13">
        <f>_xlfn.XLOOKUP(L7,'RIN Curves'!$G$18:$G$44,'RIN Curves'!$H$18:$H$44)</f>
        <v>2.9781765172612142</v>
      </c>
      <c r="M19" s="13">
        <f>_xlfn.XLOOKUP(M7,'RIN Curves'!$G$18:$G$44,'RIN Curves'!$H$18:$H$44)</f>
        <v>2.9101358522712708</v>
      </c>
      <c r="N19" s="13">
        <f>_xlfn.XLOOKUP(N7,'RIN Curves'!$G$18:$G$44,'RIN Curves'!$H$18:$H$44)</f>
        <v>2.8799223864483365</v>
      </c>
      <c r="O19" s="13">
        <f>_xlfn.XLOOKUP(O7,'RIN Curves'!$G$18:$G$44,'RIN Curves'!$H$18:$H$44)</f>
        <v>2.8742293511089954</v>
      </c>
      <c r="P19" s="13">
        <f>_xlfn.XLOOKUP(P7,'RIN Curves'!$G$18:$G$44,'RIN Curves'!$H$18:$H$44)</f>
        <v>2.9338871538336271</v>
      </c>
      <c r="Q19" s="13">
        <f>_xlfn.XLOOKUP(Q7,'RIN Curves'!$G$18:$G$44,'RIN Curves'!$H$18:$H$44)</f>
        <v>2.9947832201034275</v>
      </c>
      <c r="R19" s="13">
        <f>_xlfn.XLOOKUP(R7,'RIN Curves'!$G$18:$G$44,'RIN Curves'!$H$18:$H$44)</f>
        <v>3.0569432514450559</v>
      </c>
      <c r="S19" s="13">
        <f>_xlfn.XLOOKUP(S7,'RIN Curves'!$G$18:$G$44,'RIN Curves'!$H$18:$H$44)</f>
        <v>3.120393482848733</v>
      </c>
      <c r="T19" s="13">
        <f>_xlfn.XLOOKUP(T7,'RIN Curves'!$G$18:$G$44,'RIN Curves'!$H$18:$H$44)</f>
        <v>3.1851606938408499</v>
      </c>
      <c r="U19" s="13">
        <f>_xlfn.XLOOKUP(U7,'RIN Curves'!$G$18:$G$44,'RIN Curves'!$H$18:$H$44)</f>
        <v>3.2512722197864368</v>
      </c>
      <c r="V19" s="13">
        <f>_xlfn.XLOOKUP(V7,'RIN Curves'!$G$18:$G$44,'RIN Curves'!$H$18:$H$44)</f>
        <v>3.3187559634261912</v>
      </c>
      <c r="W19" s="13">
        <f>_xlfn.XLOOKUP(W7,'RIN Curves'!$G$18:$G$44,'RIN Curves'!$H$18:$H$44)</f>
        <v>3.387640406652991</v>
      </c>
      <c r="X19" s="13">
        <f>_xlfn.XLOOKUP(X7,'RIN Curves'!$G$18:$G$44,'RIN Curves'!$H$18:$H$44)</f>
        <v>3.4579546225328461</v>
      </c>
      <c r="Y19" s="13">
        <f>_xlfn.XLOOKUP(Y7,'RIN Curves'!$G$18:$G$44,'RIN Curves'!$H$18:$H$44)</f>
        <v>3.5297282875753377</v>
      </c>
      <c r="Z19" s="13">
        <f>_xlfn.XLOOKUP(Z7,'RIN Curves'!$G$18:$G$44,'RIN Curves'!$H$18:$H$44)</f>
        <v>3.6029916942587552</v>
      </c>
      <c r="AA19" s="13">
        <f>_xlfn.XLOOKUP(AA7,'RIN Curves'!$G$18:$G$44,'RIN Curves'!$H$18:$H$44)</f>
        <v>3.6777757638152244</v>
      </c>
    </row>
    <row r="20" spans="2:27" x14ac:dyDescent="0.5">
      <c r="B20" s="56">
        <f>INPUTS!E16</f>
        <v>1</v>
      </c>
      <c r="C20" s="1" t="s">
        <v>14</v>
      </c>
      <c r="D20" s="2" t="s">
        <v>15</v>
      </c>
      <c r="E20" s="65">
        <f>INPUTS!$E$17+$E$19</f>
        <v>2.39</v>
      </c>
      <c r="F20" s="11"/>
      <c r="G20" s="11"/>
      <c r="H20" s="12">
        <f>IF($B$20=0,E20,H19)</f>
        <v>2.6619581040516365</v>
      </c>
      <c r="I20" s="12">
        <f>IF($B$20=0,H20*(1+INPUTS!$E$18),I19)</f>
        <v>2.7118203928073998</v>
      </c>
      <c r="J20" s="12">
        <f>IF($B$20=0,I20*(1+INPUTS!$E$18),J19)</f>
        <v>2.7914812580932673</v>
      </c>
      <c r="K20" s="12">
        <f>IF($B$20=0,J20*(1+INPUTS!$E$18),K19)</f>
        <v>2.9160810589464075</v>
      </c>
      <c r="L20" s="12">
        <f>IF($B$20=0,K20*(1+INPUTS!$E$18),L19)</f>
        <v>2.9781765172612142</v>
      </c>
      <c r="M20" s="12">
        <f>IF($B$20=0,L20*(1+INPUTS!$E$18),M19)</f>
        <v>2.9101358522712708</v>
      </c>
      <c r="N20" s="12">
        <f>IF($B$20=0,M20*(1+INPUTS!$E$18),N19)</f>
        <v>2.8799223864483365</v>
      </c>
      <c r="O20" s="12">
        <f>IF($B$20=0,N20*(1+INPUTS!$E$18),O19)</f>
        <v>2.8742293511089954</v>
      </c>
      <c r="P20" s="12">
        <f>IF($B$20=0,O20*(1+INPUTS!$E$18),P19)</f>
        <v>2.9338871538336271</v>
      </c>
      <c r="Q20" s="12">
        <f>IF($B$20=0,P20*(1+INPUTS!$E$18),Q19)</f>
        <v>2.9947832201034275</v>
      </c>
      <c r="R20" s="12">
        <f>IF($B$20=0,Q20*(1+INPUTS!$E$18),R19)</f>
        <v>3.0569432514450559</v>
      </c>
      <c r="S20" s="12">
        <f>IF($B$20=0,R20*(1+INPUTS!$E$18),S19)</f>
        <v>3.120393482848733</v>
      </c>
      <c r="T20" s="12">
        <f>IF($B$20=0,S20*(1+INPUTS!$E$18),T19)</f>
        <v>3.1851606938408499</v>
      </c>
      <c r="U20" s="12">
        <f>IF($B$20=0,T20*(1+INPUTS!$E$18),U19)</f>
        <v>3.2512722197864368</v>
      </c>
      <c r="V20" s="12">
        <f>IF($B$20=0,U20*(1+INPUTS!$E$18),V19)</f>
        <v>3.3187559634261912</v>
      </c>
      <c r="W20" s="12">
        <f>IF($B$20=0,V20*(1+INPUTS!$E$18),W19)</f>
        <v>3.387640406652991</v>
      </c>
      <c r="X20" s="12">
        <f>IF($B$20=0,W20*(1+INPUTS!$E$18),X19)</f>
        <v>3.4579546225328461</v>
      </c>
      <c r="Y20" s="12">
        <f>IF($B$20=0,X20*(1+INPUTS!$E$18),Y19)</f>
        <v>3.5297282875753377</v>
      </c>
      <c r="Z20" s="12">
        <f>IF($B$20=0,Y20*(1+INPUTS!$E$18),Z19)</f>
        <v>3.6029916942587552</v>
      </c>
      <c r="AA20" s="12">
        <f>IF($B$20=0,Z20*(1+INPUTS!$E$18),AA19)</f>
        <v>3.6777757638152244</v>
      </c>
    </row>
    <row r="21" spans="2:27" x14ac:dyDescent="0.5">
      <c r="C21" s="1" t="s">
        <v>14</v>
      </c>
      <c r="D21" s="2" t="s">
        <v>20</v>
      </c>
      <c r="H21" s="13">
        <f>H20*INPUTS!$E$41</f>
        <v>31.216782686213541</v>
      </c>
      <c r="I21" s="13">
        <f>I20*INPUTS!$E$41</f>
        <v>31.801517746452379</v>
      </c>
      <c r="J21" s="13">
        <f>J20*INPUTS!$E$41</f>
        <v>32.735700713659746</v>
      </c>
      <c r="K21" s="13">
        <f>K20*INPUTS!$E$41</f>
        <v>34.196882578264521</v>
      </c>
      <c r="L21" s="13">
        <f>L20*INPUTS!$E$41</f>
        <v>34.925076017922258</v>
      </c>
      <c r="M21" s="13">
        <f>M20*INPUTS!$E$41</f>
        <v>34.127163139585193</v>
      </c>
      <c r="N21" s="13">
        <f>N20*INPUTS!$E$41</f>
        <v>33.772849825879646</v>
      </c>
      <c r="O21" s="13">
        <f>O20*INPUTS!$E$41</f>
        <v>33.706087600455191</v>
      </c>
      <c r="P21" s="13">
        <f>P20*INPUTS!$E$41</f>
        <v>34.405694653006947</v>
      </c>
      <c r="Q21" s="13">
        <f>Q20*INPUTS!$E$41</f>
        <v>35.119822822152898</v>
      </c>
      <c r="R21" s="13">
        <f>R20*INPUTS!$E$41</f>
        <v>35.848773509696173</v>
      </c>
      <c r="S21" s="13">
        <f>S20*INPUTS!$E$41</f>
        <v>36.592854373367089</v>
      </c>
      <c r="T21" s="13">
        <f>T20*INPUTS!$E$41</f>
        <v>37.352379456671649</v>
      </c>
      <c r="U21" s="13">
        <f>U20*INPUTS!$E$41</f>
        <v>38.127669321435548</v>
      </c>
      <c r="V21" s="13">
        <f>V20*INPUTS!$E$41</f>
        <v>38.919051183098944</v>
      </c>
      <c r="W21" s="13">
        <f>W20*INPUTS!$E$41</f>
        <v>39.726859048819627</v>
      </c>
      <c r="X21" s="13">
        <f>X20*INPUTS!$E$41</f>
        <v>40.551433858442685</v>
      </c>
      <c r="Y21" s="13">
        <f>Y20*INPUTS!$E$41</f>
        <v>41.393123628395983</v>
      </c>
      <c r="Z21" s="13">
        <f>Z20*INPUTS!$E$41</f>
        <v>42.252283598572426</v>
      </c>
      <c r="AA21" s="13">
        <f>AA20*INPUTS!$E$41</f>
        <v>43.129276382261139</v>
      </c>
    </row>
    <row r="23" spans="2:27" x14ac:dyDescent="0.5">
      <c r="C23" s="1" t="s">
        <v>95</v>
      </c>
      <c r="D23" s="2" t="s">
        <v>20</v>
      </c>
      <c r="E23" s="66">
        <f>INPUTS!E23</f>
        <v>0.03</v>
      </c>
      <c r="H23" s="65">
        <f>INPUTS!E22</f>
        <v>3.0390411611680341</v>
      </c>
      <c r="I23" s="13">
        <f t="shared" ref="I23:AA23" si="7">+H23*(1+$E$23)</f>
        <v>3.1302123960030754</v>
      </c>
      <c r="J23" s="13">
        <f t="shared" si="7"/>
        <v>3.224118767883168</v>
      </c>
      <c r="K23" s="13">
        <f t="shared" si="7"/>
        <v>3.3208423309196631</v>
      </c>
      <c r="L23" s="13">
        <f t="shared" si="7"/>
        <v>3.4204676008472532</v>
      </c>
      <c r="M23" s="13">
        <f t="shared" si="7"/>
        <v>3.5230816288726707</v>
      </c>
      <c r="N23" s="13">
        <f t="shared" si="7"/>
        <v>3.6287740777388509</v>
      </c>
      <c r="O23" s="13">
        <f t="shared" si="7"/>
        <v>3.7376373000710164</v>
      </c>
      <c r="P23" s="13">
        <f t="shared" si="7"/>
        <v>3.8497664190731471</v>
      </c>
      <c r="Q23" s="13">
        <f t="shared" si="7"/>
        <v>3.9652594116453415</v>
      </c>
      <c r="R23" s="13">
        <f t="shared" si="7"/>
        <v>4.0842171939947018</v>
      </c>
      <c r="S23" s="13">
        <f t="shared" si="7"/>
        <v>4.2067437098145426</v>
      </c>
      <c r="T23" s="13">
        <f t="shared" si="7"/>
        <v>4.3329460211089792</v>
      </c>
      <c r="U23" s="13">
        <f t="shared" si="7"/>
        <v>4.462934401742249</v>
      </c>
      <c r="V23" s="13">
        <f t="shared" si="7"/>
        <v>4.5968224337945163</v>
      </c>
      <c r="W23" s="13">
        <f t="shared" si="7"/>
        <v>4.7347271068083518</v>
      </c>
      <c r="X23" s="13">
        <f t="shared" si="7"/>
        <v>4.8767689200126023</v>
      </c>
      <c r="Y23" s="13">
        <f t="shared" si="7"/>
        <v>5.0230719876129806</v>
      </c>
      <c r="Z23" s="13">
        <f t="shared" si="7"/>
        <v>5.1737641472413705</v>
      </c>
      <c r="AA23" s="13">
        <f t="shared" si="7"/>
        <v>5.3289770716586116</v>
      </c>
    </row>
    <row r="24" spans="2:27" x14ac:dyDescent="0.5">
      <c r="C24" s="1" t="s">
        <v>96</v>
      </c>
      <c r="D24" s="2" t="s">
        <v>20</v>
      </c>
      <c r="H24" s="14">
        <f>-INPUTS!$E$24</f>
        <v>-1</v>
      </c>
      <c r="I24" s="14">
        <f>H24</f>
        <v>-1</v>
      </c>
      <c r="J24" s="14">
        <f t="shared" ref="J24:AA24" si="8">I24</f>
        <v>-1</v>
      </c>
      <c r="K24" s="14">
        <f t="shared" si="8"/>
        <v>-1</v>
      </c>
      <c r="L24" s="14">
        <f t="shared" si="8"/>
        <v>-1</v>
      </c>
      <c r="M24" s="14">
        <f t="shared" si="8"/>
        <v>-1</v>
      </c>
      <c r="N24" s="14">
        <f t="shared" si="8"/>
        <v>-1</v>
      </c>
      <c r="O24" s="14">
        <f t="shared" si="8"/>
        <v>-1</v>
      </c>
      <c r="P24" s="14">
        <f t="shared" si="8"/>
        <v>-1</v>
      </c>
      <c r="Q24" s="14">
        <f t="shared" si="8"/>
        <v>-1</v>
      </c>
      <c r="R24" s="14">
        <f t="shared" si="8"/>
        <v>-1</v>
      </c>
      <c r="S24" s="14">
        <f t="shared" si="8"/>
        <v>-1</v>
      </c>
      <c r="T24" s="14">
        <f t="shared" si="8"/>
        <v>-1</v>
      </c>
      <c r="U24" s="14">
        <f t="shared" si="8"/>
        <v>-1</v>
      </c>
      <c r="V24" s="14">
        <f t="shared" si="8"/>
        <v>-1</v>
      </c>
      <c r="W24" s="14">
        <f t="shared" si="8"/>
        <v>-1</v>
      </c>
      <c r="X24" s="14">
        <f t="shared" si="8"/>
        <v>-1</v>
      </c>
      <c r="Y24" s="14">
        <f t="shared" si="8"/>
        <v>-1</v>
      </c>
      <c r="Z24" s="14">
        <f t="shared" si="8"/>
        <v>-1</v>
      </c>
      <c r="AA24" s="14">
        <f t="shared" si="8"/>
        <v>-1</v>
      </c>
    </row>
    <row r="27" spans="2:27" x14ac:dyDescent="0.5">
      <c r="C27" s="23" t="s">
        <v>97</v>
      </c>
      <c r="E27" s="41">
        <f>E28+E30</f>
        <v>325330.86736038263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x14ac:dyDescent="0.5">
      <c r="C28" s="3" t="s">
        <v>98</v>
      </c>
      <c r="D28" s="4"/>
      <c r="E28" s="25">
        <f>+SUM(H28:AA28)</f>
        <v>299564.80671951699</v>
      </c>
      <c r="F28" s="20"/>
      <c r="G28" s="25"/>
      <c r="H28" s="25">
        <f t="shared" ref="H28:AA28" si="9">+H21*H$17/10^3</f>
        <v>9970.6694816803501</v>
      </c>
      <c r="I28" s="25">
        <f t="shared" si="9"/>
        <v>10404.666358263972</v>
      </c>
      <c r="J28" s="25">
        <f t="shared" si="9"/>
        <v>10970.99670338159</v>
      </c>
      <c r="K28" s="25">
        <f t="shared" si="9"/>
        <v>11739.648458410038</v>
      </c>
      <c r="L28" s="25">
        <f t="shared" si="9"/>
        <v>12281.461954536437</v>
      </c>
      <c r="M28" s="25">
        <f t="shared" si="9"/>
        <v>12292.975829941239</v>
      </c>
      <c r="N28" s="25">
        <f t="shared" si="9"/>
        <v>12461.452893644164</v>
      </c>
      <c r="O28" s="25">
        <f t="shared" si="9"/>
        <v>12739.531249177711</v>
      </c>
      <c r="P28" s="25">
        <f t="shared" si="9"/>
        <v>13320.470529231239</v>
      </c>
      <c r="Q28" s="25">
        <f t="shared" si="9"/>
        <v>13927.901399949133</v>
      </c>
      <c r="R28" s="25">
        <f t="shared" si="9"/>
        <v>14563.031912499595</v>
      </c>
      <c r="S28" s="25">
        <f t="shared" si="9"/>
        <v>15227.125206763481</v>
      </c>
      <c r="T28" s="25">
        <f t="shared" si="9"/>
        <v>15921.502023451532</v>
      </c>
      <c r="U28" s="25">
        <f t="shared" si="9"/>
        <v>16647.543330777637</v>
      </c>
      <c r="V28" s="25">
        <f t="shared" si="9"/>
        <v>17406.693070911613</v>
      </c>
      <c r="W28" s="25">
        <f t="shared" si="9"/>
        <v>18200.461031673956</v>
      </c>
      <c r="X28" s="25">
        <f t="shared" si="9"/>
        <v>19030.425849183655</v>
      </c>
      <c r="Y28" s="25">
        <f t="shared" si="9"/>
        <v>19898.238147430533</v>
      </c>
      <c r="Z28" s="25">
        <f t="shared" si="9"/>
        <v>20805.623821016274</v>
      </c>
      <c r="AA28" s="25">
        <f t="shared" si="9"/>
        <v>21754.387467592831</v>
      </c>
    </row>
    <row r="29" spans="2:27" x14ac:dyDescent="0.5">
      <c r="B29" s="66">
        <f>INPUTS!E19</f>
        <v>0.2</v>
      </c>
      <c r="C29" s="1" t="s">
        <v>42</v>
      </c>
      <c r="E29" s="9">
        <f>+SUM(H29:AA29)</f>
        <v>-59912.961343903393</v>
      </c>
      <c r="F29" s="19"/>
      <c r="G29" s="19"/>
      <c r="H29" s="9">
        <f>-$B$29*H28</f>
        <v>-1994.1338963360702</v>
      </c>
      <c r="I29" s="9">
        <f t="shared" ref="I29:AA29" si="10">-$B$29*I28</f>
        <v>-2080.9332716527947</v>
      </c>
      <c r="J29" s="9">
        <f t="shared" si="10"/>
        <v>-2194.1993406763181</v>
      </c>
      <c r="K29" s="9">
        <f t="shared" si="10"/>
        <v>-2347.9296916820076</v>
      </c>
      <c r="L29" s="9">
        <f t="shared" si="10"/>
        <v>-2456.2923909072874</v>
      </c>
      <c r="M29" s="9">
        <f t="shared" si="10"/>
        <v>-2458.595165988248</v>
      </c>
      <c r="N29" s="9">
        <f t="shared" si="10"/>
        <v>-2492.2905787288328</v>
      </c>
      <c r="O29" s="9">
        <f t="shared" si="10"/>
        <v>-2547.9062498355424</v>
      </c>
      <c r="P29" s="9">
        <f t="shared" si="10"/>
        <v>-2664.0941058462481</v>
      </c>
      <c r="Q29" s="9">
        <f t="shared" si="10"/>
        <v>-2785.5802799898265</v>
      </c>
      <c r="R29" s="9">
        <f t="shared" si="10"/>
        <v>-2912.6063824999192</v>
      </c>
      <c r="S29" s="9">
        <f t="shared" si="10"/>
        <v>-3045.4250413526966</v>
      </c>
      <c r="T29" s="9">
        <f t="shared" si="10"/>
        <v>-3184.3004046903066</v>
      </c>
      <c r="U29" s="9">
        <f t="shared" si="10"/>
        <v>-3329.5086661555274</v>
      </c>
      <c r="V29" s="9">
        <f t="shared" si="10"/>
        <v>-3481.338614182323</v>
      </c>
      <c r="W29" s="9">
        <f t="shared" si="10"/>
        <v>-3640.0922063347916</v>
      </c>
      <c r="X29" s="9">
        <f t="shared" si="10"/>
        <v>-3806.0851698367314</v>
      </c>
      <c r="Y29" s="9">
        <f t="shared" si="10"/>
        <v>-3979.6476294861068</v>
      </c>
      <c r="Z29" s="9">
        <f t="shared" si="10"/>
        <v>-4161.1247642032549</v>
      </c>
      <c r="AA29" s="9">
        <f t="shared" si="10"/>
        <v>-4350.8774935185666</v>
      </c>
    </row>
    <row r="30" spans="2:27" x14ac:dyDescent="0.5">
      <c r="C30" s="1" t="s">
        <v>99</v>
      </c>
      <c r="E30" s="9">
        <f>+SUM(H30:AA30)</f>
        <v>25766.06064086562</v>
      </c>
      <c r="F30" s="19"/>
      <c r="G30" s="19"/>
      <c r="H30" s="9">
        <f t="shared" ref="H30:AA30" si="11">SUM(H23:H24)*H17/10^3</f>
        <v>651.27164711073556</v>
      </c>
      <c r="I30" s="9">
        <f t="shared" si="11"/>
        <v>696.95256148969838</v>
      </c>
      <c r="J30" s="9">
        <f t="shared" si="11"/>
        <v>745.38803625466767</v>
      </c>
      <c r="K30" s="9">
        <f t="shared" si="11"/>
        <v>796.73558050321265</v>
      </c>
      <c r="L30" s="9">
        <f t="shared" si="11"/>
        <v>851.16151892522407</v>
      </c>
      <c r="M30" s="9">
        <f t="shared" si="11"/>
        <v>908.84148072430457</v>
      </c>
      <c r="N30" s="9">
        <f t="shared" si="11"/>
        <v>969.96091554800705</v>
      </c>
      <c r="O30" s="9">
        <f t="shared" si="11"/>
        <v>1034.7156379163455</v>
      </c>
      <c r="P30" s="9">
        <f t="shared" si="11"/>
        <v>1103.3124017200769</v>
      </c>
      <c r="Q30" s="9">
        <f t="shared" si="11"/>
        <v>1175.9695064468365</v>
      </c>
      <c r="R30" s="9">
        <f t="shared" si="11"/>
        <v>1252.9174368845922</v>
      </c>
      <c r="S30" s="9">
        <f t="shared" si="11"/>
        <v>1334.3995381482514</v>
      </c>
      <c r="T30" s="9">
        <f t="shared" si="11"/>
        <v>1420.6727279769889</v>
      </c>
      <c r="U30" s="9">
        <f t="shared" si="11"/>
        <v>1512.0082483571553</v>
      </c>
      <c r="V30" s="9">
        <f t="shared" si="11"/>
        <v>1608.6924586388438</v>
      </c>
      <c r="W30" s="9">
        <f t="shared" si="11"/>
        <v>1711.0276724336575</v>
      </c>
      <c r="X30" s="9">
        <f t="shared" si="11"/>
        <v>1819.3330407072542</v>
      </c>
      <c r="Y30" s="9">
        <f t="shared" si="11"/>
        <v>1933.9454836132129</v>
      </c>
      <c r="Z30" s="9">
        <f t="shared" si="11"/>
        <v>2055.22067375508</v>
      </c>
      <c r="AA30" s="9">
        <f t="shared" si="11"/>
        <v>2183.5340737114757</v>
      </c>
    </row>
    <row r="31" spans="2:27" x14ac:dyDescent="0.5">
      <c r="C31" s="22" t="s">
        <v>100</v>
      </c>
      <c r="D31" s="4"/>
      <c r="E31" s="21">
        <f>+SUM(H31:AA31)</f>
        <v>265417.90601647919</v>
      </c>
      <c r="F31" s="17"/>
      <c r="G31" s="18"/>
      <c r="H31" s="21">
        <f t="shared" ref="H31:AA31" si="12">SUM(H28:H30)</f>
        <v>8627.8072324550158</v>
      </c>
      <c r="I31" s="21">
        <f t="shared" si="12"/>
        <v>9020.6856481008763</v>
      </c>
      <c r="J31" s="21">
        <f t="shared" si="12"/>
        <v>9522.1853989599404</v>
      </c>
      <c r="K31" s="21">
        <f t="shared" si="12"/>
        <v>10188.454347231243</v>
      </c>
      <c r="L31" s="21">
        <f t="shared" si="12"/>
        <v>10676.331082554374</v>
      </c>
      <c r="M31" s="21">
        <f t="shared" si="12"/>
        <v>10743.222144677295</v>
      </c>
      <c r="N31" s="21">
        <f t="shared" si="12"/>
        <v>10939.123230463338</v>
      </c>
      <c r="O31" s="21">
        <f t="shared" si="12"/>
        <v>11226.340637258516</v>
      </c>
      <c r="P31" s="21">
        <f t="shared" si="12"/>
        <v>11759.688825105068</v>
      </c>
      <c r="Q31" s="21">
        <f t="shared" si="12"/>
        <v>12318.290626406142</v>
      </c>
      <c r="R31" s="21">
        <f t="shared" si="12"/>
        <v>12903.342966884269</v>
      </c>
      <c r="S31" s="21">
        <f t="shared" si="12"/>
        <v>13516.099703559035</v>
      </c>
      <c r="T31" s="21">
        <f t="shared" si="12"/>
        <v>14157.874346738216</v>
      </c>
      <c r="U31" s="21">
        <f t="shared" si="12"/>
        <v>14830.042912979265</v>
      </c>
      <c r="V31" s="21">
        <f t="shared" si="12"/>
        <v>15534.046915368133</v>
      </c>
      <c r="W31" s="21">
        <f t="shared" si="12"/>
        <v>16271.396497772823</v>
      </c>
      <c r="X31" s="21">
        <f t="shared" si="12"/>
        <v>17043.673720054179</v>
      </c>
      <c r="Y31" s="21">
        <f t="shared" si="12"/>
        <v>17852.536001557641</v>
      </c>
      <c r="Z31" s="21">
        <f t="shared" si="12"/>
        <v>18699.7197305681</v>
      </c>
      <c r="AA31" s="21">
        <f t="shared" si="12"/>
        <v>19587.044047785741</v>
      </c>
    </row>
    <row r="32" spans="2:27" x14ac:dyDescent="0.5">
      <c r="C32" s="23"/>
      <c r="E32" s="41"/>
      <c r="F32" s="17"/>
      <c r="G32" s="17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2:27" x14ac:dyDescent="0.5">
      <c r="C33" s="23" t="s">
        <v>101</v>
      </c>
      <c r="H33" s="43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x14ac:dyDescent="0.5">
      <c r="B34" s="11">
        <v>1.65</v>
      </c>
      <c r="C34" s="3" t="s">
        <v>46</v>
      </c>
      <c r="D34" s="4"/>
      <c r="E34" s="18">
        <f>SUM(H34:AA34)</f>
        <v>17416.657575523954</v>
      </c>
      <c r="G34" s="3"/>
      <c r="H34" s="25">
        <f>+$B34*H$8*H$17/10^3</f>
        <v>527.01153767643723</v>
      </c>
      <c r="I34" s="25">
        <f t="shared" ref="I34:AA34" si="13">+$B$34*I8*I17/10^3</f>
        <v>553.33497346606862</v>
      </c>
      <c r="J34" s="25">
        <f t="shared" si="13"/>
        <v>580.97322538823857</v>
      </c>
      <c r="K34" s="25">
        <f t="shared" si="13"/>
        <v>609.99196653654315</v>
      </c>
      <c r="L34" s="25">
        <f t="shared" si="13"/>
        <v>640.46015027709359</v>
      </c>
      <c r="M34" s="25">
        <f t="shared" si="13"/>
        <v>672.45017409320894</v>
      </c>
      <c r="N34" s="25">
        <f t="shared" si="13"/>
        <v>706.03805161390369</v>
      </c>
      <c r="O34" s="25">
        <f t="shared" si="13"/>
        <v>741.30359323494042</v>
      </c>
      <c r="P34" s="25">
        <f t="shared" si="13"/>
        <v>778.33059576163578</v>
      </c>
      <c r="Q34" s="25">
        <f t="shared" si="13"/>
        <v>817.20704152403573</v>
      </c>
      <c r="R34" s="25">
        <f t="shared" si="13"/>
        <v>858.02530743759905</v>
      </c>
      <c r="S34" s="25">
        <f t="shared" si="13"/>
        <v>900.8823845061462</v>
      </c>
      <c r="T34" s="25">
        <f t="shared" si="13"/>
        <v>945.88010828865117</v>
      </c>
      <c r="U34" s="25">
        <f t="shared" si="13"/>
        <v>993.12540087750688</v>
      </c>
      <c r="V34" s="25">
        <f t="shared" si="13"/>
        <v>1042.730524963237</v>
      </c>
      <c r="W34" s="25">
        <f t="shared" si="13"/>
        <v>1094.8133505893632</v>
      </c>
      <c r="X34" s="25">
        <f t="shared" si="13"/>
        <v>1149.497635231276</v>
      </c>
      <c r="Y34" s="25">
        <f t="shared" si="13"/>
        <v>1206.913317864625</v>
      </c>
      <c r="Z34" s="25">
        <f t="shared" si="13"/>
        <v>1267.1968277219862</v>
      </c>
      <c r="AA34" s="25">
        <f t="shared" si="13"/>
        <v>1330.4914084714578</v>
      </c>
    </row>
    <row r="35" spans="2:27" x14ac:dyDescent="0.5">
      <c r="B35" s="11">
        <v>0.8</v>
      </c>
      <c r="C35" s="1" t="s">
        <v>47</v>
      </c>
      <c r="E35" s="31">
        <f>SUM(H35:AA35)</f>
        <v>8444.440036617676</v>
      </c>
      <c r="H35" s="27">
        <f>+$B35*H$8*H$17/10^3</f>
        <v>255.52074554009076</v>
      </c>
      <c r="I35" s="27">
        <f t="shared" ref="I35:AA35" si="14">+$B35*I$8*I$17/10^3</f>
        <v>268.28362349869997</v>
      </c>
      <c r="J35" s="27">
        <f t="shared" si="14"/>
        <v>281.68398806702481</v>
      </c>
      <c r="K35" s="27">
        <f t="shared" si="14"/>
        <v>295.75368074499062</v>
      </c>
      <c r="L35" s="27">
        <f t="shared" si="14"/>
        <v>310.52613346768175</v>
      </c>
      <c r="M35" s="27">
        <f t="shared" si="14"/>
        <v>326.03644804519229</v>
      </c>
      <c r="N35" s="27">
        <f t="shared" si="14"/>
        <v>342.32147957037762</v>
      </c>
      <c r="O35" s="27">
        <f t="shared" si="14"/>
        <v>359.41992399269844</v>
      </c>
      <c r="P35" s="27">
        <f t="shared" si="14"/>
        <v>377.37241006624777</v>
      </c>
      <c r="Q35" s="27">
        <f t="shared" si="14"/>
        <v>396.22159589044162</v>
      </c>
      <c r="R35" s="27">
        <f t="shared" si="14"/>
        <v>416.01227027277537</v>
      </c>
      <c r="S35" s="27">
        <f t="shared" si="14"/>
        <v>436.79145915449516</v>
      </c>
      <c r="T35" s="27">
        <f t="shared" si="14"/>
        <v>458.60853735207343</v>
      </c>
      <c r="U35" s="27">
        <f t="shared" si="14"/>
        <v>481.51534588000334</v>
      </c>
      <c r="V35" s="27">
        <f t="shared" si="14"/>
        <v>505.56631513369075</v>
      </c>
      <c r="W35" s="27">
        <f t="shared" si="14"/>
        <v>530.81859422514583</v>
      </c>
      <c r="X35" s="27">
        <f t="shared" si="14"/>
        <v>557.33218677880052</v>
      </c>
      <c r="Y35" s="27">
        <f t="shared" si="14"/>
        <v>585.17009351012132</v>
      </c>
      <c r="Z35" s="27">
        <f t="shared" si="14"/>
        <v>614.3984619258116</v>
      </c>
      <c r="AA35" s="27">
        <f t="shared" si="14"/>
        <v>645.08674350131287</v>
      </c>
    </row>
    <row r="36" spans="2:27" x14ac:dyDescent="0.5">
      <c r="B36" s="29">
        <v>200</v>
      </c>
      <c r="C36" s="1" t="s">
        <v>48</v>
      </c>
      <c r="E36" s="30">
        <f>SUM(H36:AA36)</f>
        <v>5108.9315223231733</v>
      </c>
      <c r="H36" s="27">
        <f>+$B36*H$8</f>
        <v>200</v>
      </c>
      <c r="I36" s="27">
        <f t="shared" ref="I36:AA37" si="15">+$B36*I$8</f>
        <v>204.99999999999997</v>
      </c>
      <c r="J36" s="27">
        <f t="shared" si="15"/>
        <v>210.12499999999997</v>
      </c>
      <c r="K36" s="27">
        <f t="shared" si="15"/>
        <v>215.37812499999998</v>
      </c>
      <c r="L36" s="27">
        <f t="shared" si="15"/>
        <v>220.76257812499995</v>
      </c>
      <c r="M36" s="27">
        <f t="shared" si="15"/>
        <v>226.28164257812494</v>
      </c>
      <c r="N36" s="27">
        <f t="shared" si="15"/>
        <v>231.93868364257804</v>
      </c>
      <c r="O36" s="27">
        <f t="shared" si="15"/>
        <v>237.73715073364247</v>
      </c>
      <c r="P36" s="27">
        <f t="shared" si="15"/>
        <v>243.68057950198349</v>
      </c>
      <c r="Q36" s="27">
        <f t="shared" si="15"/>
        <v>249.77259398953305</v>
      </c>
      <c r="R36" s="27">
        <f t="shared" si="15"/>
        <v>256.01690883927131</v>
      </c>
      <c r="S36" s="27">
        <f t="shared" si="15"/>
        <v>262.4173315602531</v>
      </c>
      <c r="T36" s="27">
        <f t="shared" si="15"/>
        <v>268.97776484925942</v>
      </c>
      <c r="U36" s="27">
        <f t="shared" si="15"/>
        <v>275.70220897049091</v>
      </c>
      <c r="V36" s="27">
        <f t="shared" si="15"/>
        <v>282.59476419475311</v>
      </c>
      <c r="W36" s="27">
        <f t="shared" si="15"/>
        <v>289.65963329962193</v>
      </c>
      <c r="X36" s="27">
        <f t="shared" si="15"/>
        <v>296.90112413211244</v>
      </c>
      <c r="Y36" s="27">
        <f t="shared" si="15"/>
        <v>304.32365223541524</v>
      </c>
      <c r="Z36" s="27">
        <f t="shared" si="15"/>
        <v>311.93174354130059</v>
      </c>
      <c r="AA36" s="27">
        <f t="shared" si="15"/>
        <v>319.73003712983308</v>
      </c>
    </row>
    <row r="37" spans="2:27" x14ac:dyDescent="0.5">
      <c r="B37" s="29">
        <v>850</v>
      </c>
      <c r="C37" s="1" t="s">
        <v>49</v>
      </c>
      <c r="E37" s="30">
        <f>SUM(H37:AA37)</f>
        <v>21712.958969873485</v>
      </c>
      <c r="H37" s="27">
        <f>+$B37*H$8</f>
        <v>850</v>
      </c>
      <c r="I37" s="27">
        <f t="shared" si="15"/>
        <v>871.24999999999989</v>
      </c>
      <c r="J37" s="27">
        <f t="shared" si="15"/>
        <v>893.03124999999989</v>
      </c>
      <c r="K37" s="27">
        <f t="shared" si="15"/>
        <v>915.35703124999986</v>
      </c>
      <c r="L37" s="27">
        <f t="shared" si="15"/>
        <v>938.24095703124976</v>
      </c>
      <c r="M37" s="27">
        <f t="shared" si="15"/>
        <v>961.69698095703097</v>
      </c>
      <c r="N37" s="27">
        <f t="shared" si="15"/>
        <v>985.73940548095663</v>
      </c>
      <c r="O37" s="27">
        <f t="shared" si="15"/>
        <v>1010.3828906179805</v>
      </c>
      <c r="P37" s="27">
        <f t="shared" si="15"/>
        <v>1035.64246288343</v>
      </c>
      <c r="Q37" s="27">
        <f t="shared" si="15"/>
        <v>1061.5335244555154</v>
      </c>
      <c r="R37" s="27">
        <f t="shared" si="15"/>
        <v>1088.0718625669031</v>
      </c>
      <c r="S37" s="27">
        <f t="shared" si="15"/>
        <v>1115.2736591310756</v>
      </c>
      <c r="T37" s="27">
        <f t="shared" si="15"/>
        <v>1143.1555006093524</v>
      </c>
      <c r="U37" s="27">
        <f t="shared" si="15"/>
        <v>1171.7343881245863</v>
      </c>
      <c r="V37" s="27">
        <f t="shared" si="15"/>
        <v>1201.0277478277008</v>
      </c>
      <c r="W37" s="27">
        <f t="shared" si="15"/>
        <v>1231.0534415233931</v>
      </c>
      <c r="X37" s="27">
        <f t="shared" si="15"/>
        <v>1261.8297775614778</v>
      </c>
      <c r="Y37" s="27">
        <f t="shared" si="15"/>
        <v>1293.3755220005146</v>
      </c>
      <c r="Z37" s="27">
        <f t="shared" si="15"/>
        <v>1325.7099100505275</v>
      </c>
      <c r="AA37" s="27">
        <f t="shared" si="15"/>
        <v>1358.8526578017904</v>
      </c>
    </row>
    <row r="38" spans="2:27" x14ac:dyDescent="0.5">
      <c r="C38" s="22" t="s">
        <v>37</v>
      </c>
      <c r="D38" s="4"/>
      <c r="E38" s="21">
        <f>SUM(H38:AA38)</f>
        <v>52682.988104338292</v>
      </c>
      <c r="G38" s="3"/>
      <c r="H38" s="21">
        <f t="shared" ref="H38:AA38" si="16">SUM(H34:H37)</f>
        <v>1832.532283216528</v>
      </c>
      <c r="I38" s="21">
        <f t="shared" si="16"/>
        <v>1897.8685969647686</v>
      </c>
      <c r="J38" s="21">
        <f t="shared" si="16"/>
        <v>1965.8134634552634</v>
      </c>
      <c r="K38" s="21">
        <f t="shared" si="16"/>
        <v>2036.4808035315336</v>
      </c>
      <c r="L38" s="21">
        <f t="shared" si="16"/>
        <v>2109.989818901025</v>
      </c>
      <c r="M38" s="21">
        <f t="shared" si="16"/>
        <v>2186.4652456735571</v>
      </c>
      <c r="N38" s="21">
        <f t="shared" si="16"/>
        <v>2266.0376203078163</v>
      </c>
      <c r="O38" s="21">
        <f t="shared" si="16"/>
        <v>2348.8435585792618</v>
      </c>
      <c r="P38" s="21">
        <f t="shared" si="16"/>
        <v>2435.0260482132971</v>
      </c>
      <c r="Q38" s="21">
        <f t="shared" si="16"/>
        <v>2524.7347558595256</v>
      </c>
      <c r="R38" s="21">
        <f t="shared" si="16"/>
        <v>2618.1263491165491</v>
      </c>
      <c r="S38" s="21">
        <f t="shared" si="16"/>
        <v>2715.3648343519699</v>
      </c>
      <c r="T38" s="21">
        <f t="shared" si="16"/>
        <v>2816.6219110993361</v>
      </c>
      <c r="U38" s="21">
        <f t="shared" si="16"/>
        <v>2922.0773438525875</v>
      </c>
      <c r="V38" s="21">
        <f t="shared" si="16"/>
        <v>3031.9193521193815</v>
      </c>
      <c r="W38" s="21">
        <f t="shared" si="16"/>
        <v>3146.3450196375243</v>
      </c>
      <c r="X38" s="21">
        <f t="shared" si="16"/>
        <v>3265.5607237036666</v>
      </c>
      <c r="Y38" s="21">
        <f t="shared" si="16"/>
        <v>3389.7825856106761</v>
      </c>
      <c r="Z38" s="21">
        <f t="shared" si="16"/>
        <v>3519.2369432396258</v>
      </c>
      <c r="AA38" s="21">
        <f t="shared" si="16"/>
        <v>3654.160846904394</v>
      </c>
    </row>
    <row r="39" spans="2:27" x14ac:dyDescent="0.5">
      <c r="E39" s="105">
        <f>E38*1000/E17</f>
        <v>6.500060222620391</v>
      </c>
      <c r="H39" s="105">
        <f t="shared" ref="H39:AA39" si="17">H38*1000/H17</f>
        <v>5.7374043092841776</v>
      </c>
      <c r="I39" s="105">
        <f t="shared" si="17"/>
        <v>5.8007724408070374</v>
      </c>
      <c r="J39" s="105">
        <f t="shared" si="17"/>
        <v>5.865673187078718</v>
      </c>
      <c r="K39" s="105">
        <f t="shared" si="17"/>
        <v>5.9321448302285464</v>
      </c>
      <c r="L39" s="105">
        <f t="shared" si="17"/>
        <v>6.0002266094176742</v>
      </c>
      <c r="M39" s="105">
        <f t="shared" si="17"/>
        <v>6.0699587447648451</v>
      </c>
      <c r="N39" s="105">
        <f t="shared" si="17"/>
        <v>6.1413824618703314</v>
      </c>
      <c r="O39" s="105">
        <f t="shared" si="17"/>
        <v>6.2145400169529514</v>
      </c>
      <c r="P39" s="105">
        <f t="shared" si="17"/>
        <v>6.2894747226155214</v>
      </c>
      <c r="Q39" s="105">
        <f t="shared" si="17"/>
        <v>6.3662309742544441</v>
      </c>
      <c r="R39" s="105">
        <f t="shared" si="17"/>
        <v>6.4448542771295338</v>
      </c>
      <c r="S39" s="105">
        <f t="shared" si="17"/>
        <v>6.5253912741105795</v>
      </c>
      <c r="T39" s="105">
        <f t="shared" si="17"/>
        <v>6.6078897741176013</v>
      </c>
      <c r="U39" s="105">
        <f t="shared" si="17"/>
        <v>6.6923987812720673</v>
      </c>
      <c r="V39" s="105">
        <f t="shared" si="17"/>
        <v>6.778968524776924</v>
      </c>
      <c r="W39" s="105">
        <f t="shared" si="17"/>
        <v>6.867650489543637</v>
      </c>
      <c r="X39" s="105">
        <f t="shared" si="17"/>
        <v>6.958497447584862</v>
      </c>
      <c r="Y39" s="105">
        <f t="shared" si="17"/>
        <v>7.0515634901919837</v>
      </c>
      <c r="Z39" s="105">
        <f t="shared" si="17"/>
        <v>7.1469040609170538</v>
      </c>
      <c r="AA39" s="105">
        <f t="shared" si="17"/>
        <v>7.244575989379304</v>
      </c>
    </row>
    <row r="40" spans="2:27" x14ac:dyDescent="0.5">
      <c r="C40" s="23" t="s">
        <v>51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x14ac:dyDescent="0.5">
      <c r="C41" s="3" t="s">
        <v>102</v>
      </c>
      <c r="D41" s="4"/>
      <c r="E41" s="6">
        <f>SUM(H41:AA41)</f>
        <v>265417.90601647919</v>
      </c>
      <c r="H41" s="94">
        <f>+H31</f>
        <v>8627.8072324550158</v>
      </c>
      <c r="I41" s="94">
        <f t="shared" ref="I41:AA41" si="18">+I31</f>
        <v>9020.6856481008763</v>
      </c>
      <c r="J41" s="94">
        <f t="shared" si="18"/>
        <v>9522.1853989599404</v>
      </c>
      <c r="K41" s="94">
        <f t="shared" si="18"/>
        <v>10188.454347231243</v>
      </c>
      <c r="L41" s="94">
        <f t="shared" si="18"/>
        <v>10676.331082554374</v>
      </c>
      <c r="M41" s="94">
        <f t="shared" si="18"/>
        <v>10743.222144677295</v>
      </c>
      <c r="N41" s="94">
        <f t="shared" si="18"/>
        <v>10939.123230463338</v>
      </c>
      <c r="O41" s="94">
        <f t="shared" si="18"/>
        <v>11226.340637258516</v>
      </c>
      <c r="P41" s="94">
        <f t="shared" si="18"/>
        <v>11759.688825105068</v>
      </c>
      <c r="Q41" s="94">
        <f t="shared" si="18"/>
        <v>12318.290626406142</v>
      </c>
      <c r="R41" s="94">
        <f t="shared" si="18"/>
        <v>12903.342966884269</v>
      </c>
      <c r="S41" s="94">
        <f t="shared" si="18"/>
        <v>13516.099703559035</v>
      </c>
      <c r="T41" s="94">
        <f t="shared" si="18"/>
        <v>14157.874346738216</v>
      </c>
      <c r="U41" s="94">
        <f t="shared" si="18"/>
        <v>14830.042912979265</v>
      </c>
      <c r="V41" s="94">
        <f t="shared" si="18"/>
        <v>15534.046915368133</v>
      </c>
      <c r="W41" s="94">
        <f t="shared" si="18"/>
        <v>16271.396497772823</v>
      </c>
      <c r="X41" s="94">
        <f t="shared" si="18"/>
        <v>17043.673720054179</v>
      </c>
      <c r="Y41" s="94">
        <f t="shared" si="18"/>
        <v>17852.536001557641</v>
      </c>
      <c r="Z41" s="94">
        <f t="shared" si="18"/>
        <v>18699.7197305681</v>
      </c>
      <c r="AA41" s="94">
        <f t="shared" si="18"/>
        <v>19587.044047785741</v>
      </c>
    </row>
    <row r="42" spans="2:27" x14ac:dyDescent="0.5">
      <c r="C42" s="1" t="s">
        <v>103</v>
      </c>
      <c r="D42" s="101">
        <f>+INPUTS!$E$32</f>
        <v>36835</v>
      </c>
      <c r="E42" s="17"/>
      <c r="H42" s="19">
        <f>-$D$42/20</f>
        <v>-1841.75</v>
      </c>
      <c r="I42" s="19">
        <f t="shared" ref="I42:AA42" si="19">-$D$42/20</f>
        <v>-1841.75</v>
      </c>
      <c r="J42" s="19">
        <f t="shared" si="19"/>
        <v>-1841.75</v>
      </c>
      <c r="K42" s="19">
        <f t="shared" si="19"/>
        <v>-1841.75</v>
      </c>
      <c r="L42" s="19">
        <f t="shared" si="19"/>
        <v>-1841.75</v>
      </c>
      <c r="M42" s="19">
        <f t="shared" si="19"/>
        <v>-1841.75</v>
      </c>
      <c r="N42" s="19">
        <f t="shared" si="19"/>
        <v>-1841.75</v>
      </c>
      <c r="O42" s="19">
        <f t="shared" si="19"/>
        <v>-1841.75</v>
      </c>
      <c r="P42" s="19">
        <f t="shared" si="19"/>
        <v>-1841.75</v>
      </c>
      <c r="Q42" s="19">
        <f t="shared" si="19"/>
        <v>-1841.75</v>
      </c>
      <c r="R42" s="19">
        <f t="shared" si="19"/>
        <v>-1841.75</v>
      </c>
      <c r="S42" s="19">
        <f t="shared" si="19"/>
        <v>-1841.75</v>
      </c>
      <c r="T42" s="19">
        <f t="shared" si="19"/>
        <v>-1841.75</v>
      </c>
      <c r="U42" s="19">
        <f t="shared" si="19"/>
        <v>-1841.75</v>
      </c>
      <c r="V42" s="19">
        <f t="shared" si="19"/>
        <v>-1841.75</v>
      </c>
      <c r="W42" s="19">
        <f t="shared" si="19"/>
        <v>-1841.75</v>
      </c>
      <c r="X42" s="19">
        <f t="shared" si="19"/>
        <v>-1841.75</v>
      </c>
      <c r="Y42" s="19">
        <f t="shared" si="19"/>
        <v>-1841.75</v>
      </c>
      <c r="Z42" s="19">
        <f t="shared" si="19"/>
        <v>-1841.75</v>
      </c>
      <c r="AA42" s="19">
        <f t="shared" si="19"/>
        <v>-1841.75</v>
      </c>
    </row>
    <row r="43" spans="2:27" x14ac:dyDescent="0.5">
      <c r="B43" s="7"/>
      <c r="C43" s="1" t="s">
        <v>105</v>
      </c>
      <c r="D43" s="101">
        <f>+INPUTS!S25+INPUTS!S26</f>
        <v>65452.05963860028</v>
      </c>
      <c r="E43" s="110"/>
      <c r="H43" s="19">
        <f>-$D$43/20</f>
        <v>-3272.6029819300138</v>
      </c>
      <c r="I43" s="19">
        <f t="shared" ref="I43:AA43" si="20">-$D$43/20</f>
        <v>-3272.6029819300138</v>
      </c>
      <c r="J43" s="19">
        <f t="shared" si="20"/>
        <v>-3272.6029819300138</v>
      </c>
      <c r="K43" s="19">
        <f t="shared" si="20"/>
        <v>-3272.6029819300138</v>
      </c>
      <c r="L43" s="19">
        <f t="shared" si="20"/>
        <v>-3272.6029819300138</v>
      </c>
      <c r="M43" s="19">
        <f t="shared" si="20"/>
        <v>-3272.6029819300138</v>
      </c>
      <c r="N43" s="19">
        <f t="shared" si="20"/>
        <v>-3272.6029819300138</v>
      </c>
      <c r="O43" s="19">
        <f t="shared" si="20"/>
        <v>-3272.6029819300138</v>
      </c>
      <c r="P43" s="19">
        <f t="shared" si="20"/>
        <v>-3272.6029819300138</v>
      </c>
      <c r="Q43" s="19">
        <f t="shared" si="20"/>
        <v>-3272.6029819300138</v>
      </c>
      <c r="R43" s="19">
        <f t="shared" si="20"/>
        <v>-3272.6029819300138</v>
      </c>
      <c r="S43" s="19">
        <f t="shared" si="20"/>
        <v>-3272.6029819300138</v>
      </c>
      <c r="T43" s="19">
        <f t="shared" si="20"/>
        <v>-3272.6029819300138</v>
      </c>
      <c r="U43" s="19">
        <f t="shared" si="20"/>
        <v>-3272.6029819300138</v>
      </c>
      <c r="V43" s="19">
        <f t="shared" si="20"/>
        <v>-3272.6029819300138</v>
      </c>
      <c r="W43" s="19">
        <f t="shared" si="20"/>
        <v>-3272.6029819300138</v>
      </c>
      <c r="X43" s="19">
        <f t="shared" si="20"/>
        <v>-3272.6029819300138</v>
      </c>
      <c r="Y43" s="19">
        <f t="shared" si="20"/>
        <v>-3272.6029819300138</v>
      </c>
      <c r="Z43" s="19">
        <f t="shared" si="20"/>
        <v>-3272.6029819300138</v>
      </c>
      <c r="AA43" s="19">
        <f t="shared" si="20"/>
        <v>-3272.6029819300138</v>
      </c>
    </row>
    <row r="44" spans="2:27" x14ac:dyDescent="0.5">
      <c r="B44" s="7"/>
      <c r="C44" s="3" t="s">
        <v>106</v>
      </c>
      <c r="D44" s="4"/>
      <c r="E44" s="211"/>
      <c r="H44" s="94">
        <f>SUM(H41:H43)</f>
        <v>3513.454250525002</v>
      </c>
      <c r="I44" s="94">
        <f t="shared" ref="I44:AA44" si="21">SUM(I41:I43)</f>
        <v>3906.3326661708625</v>
      </c>
      <c r="J44" s="94">
        <f t="shared" si="21"/>
        <v>4407.8324170299265</v>
      </c>
      <c r="K44" s="94">
        <f t="shared" si="21"/>
        <v>5074.1013653012296</v>
      </c>
      <c r="L44" s="94">
        <f t="shared" si="21"/>
        <v>5561.9781006243602</v>
      </c>
      <c r="M44" s="94">
        <f t="shared" si="21"/>
        <v>5628.8691627472808</v>
      </c>
      <c r="N44" s="94">
        <f t="shared" si="21"/>
        <v>5824.7702485333239</v>
      </c>
      <c r="O44" s="94">
        <f t="shared" si="21"/>
        <v>6111.9876553285021</v>
      </c>
      <c r="P44" s="94">
        <f t="shared" si="21"/>
        <v>6645.3358431750539</v>
      </c>
      <c r="Q44" s="94">
        <f t="shared" si="21"/>
        <v>7203.9376444761283</v>
      </c>
      <c r="R44" s="94">
        <f t="shared" si="21"/>
        <v>7788.9899849542553</v>
      </c>
      <c r="S44" s="94">
        <f t="shared" si="21"/>
        <v>8401.7467216290206</v>
      </c>
      <c r="T44" s="94">
        <f t="shared" si="21"/>
        <v>9043.5213648082026</v>
      </c>
      <c r="U44" s="94">
        <f t="shared" si="21"/>
        <v>9715.6899310492518</v>
      </c>
      <c r="V44" s="94">
        <f t="shared" si="21"/>
        <v>10419.69393343812</v>
      </c>
      <c r="W44" s="94">
        <f t="shared" si="21"/>
        <v>11157.043515842808</v>
      </c>
      <c r="X44" s="94">
        <f t="shared" si="21"/>
        <v>11929.320738124166</v>
      </c>
      <c r="Y44" s="94">
        <f t="shared" si="21"/>
        <v>12738.183019627628</v>
      </c>
      <c r="Z44" s="94">
        <f t="shared" si="21"/>
        <v>13585.366748638087</v>
      </c>
      <c r="AA44" s="94">
        <f t="shared" si="21"/>
        <v>14472.691065855728</v>
      </c>
    </row>
    <row r="45" spans="2:27" x14ac:dyDescent="0.5">
      <c r="B45" s="7"/>
      <c r="C45" s="213" t="s">
        <v>140</v>
      </c>
      <c r="D45" s="61">
        <v>0.7</v>
      </c>
      <c r="E45" s="214">
        <v>2000</v>
      </c>
      <c r="H45" s="212">
        <f>$D$45</f>
        <v>0.7</v>
      </c>
      <c r="I45" s="212">
        <f t="shared" ref="I45:AA45" si="22">$D$45</f>
        <v>0.7</v>
      </c>
      <c r="J45" s="212">
        <f t="shared" si="22"/>
        <v>0.7</v>
      </c>
      <c r="K45" s="212">
        <f t="shared" si="22"/>
        <v>0.7</v>
      </c>
      <c r="L45" s="212">
        <f t="shared" si="22"/>
        <v>0.7</v>
      </c>
      <c r="M45" s="212">
        <f t="shared" si="22"/>
        <v>0.7</v>
      </c>
      <c r="N45" s="212">
        <f t="shared" si="22"/>
        <v>0.7</v>
      </c>
      <c r="O45" s="212">
        <f t="shared" si="22"/>
        <v>0.7</v>
      </c>
      <c r="P45" s="212">
        <f t="shared" si="22"/>
        <v>0.7</v>
      </c>
      <c r="Q45" s="212">
        <f t="shared" si="22"/>
        <v>0.7</v>
      </c>
      <c r="R45" s="212">
        <f t="shared" si="22"/>
        <v>0.7</v>
      </c>
      <c r="S45" s="212">
        <f t="shared" si="22"/>
        <v>0.7</v>
      </c>
      <c r="T45" s="212">
        <f t="shared" si="22"/>
        <v>0.7</v>
      </c>
      <c r="U45" s="212">
        <f t="shared" si="22"/>
        <v>0.7</v>
      </c>
      <c r="V45" s="212">
        <f t="shared" si="22"/>
        <v>0.7</v>
      </c>
      <c r="W45" s="212">
        <f t="shared" si="22"/>
        <v>0.7</v>
      </c>
      <c r="X45" s="212">
        <f t="shared" si="22"/>
        <v>0.7</v>
      </c>
      <c r="Y45" s="212">
        <f t="shared" si="22"/>
        <v>0.7</v>
      </c>
      <c r="Z45" s="212">
        <f t="shared" si="22"/>
        <v>0.7</v>
      </c>
      <c r="AA45" s="212">
        <f t="shared" si="22"/>
        <v>0.7</v>
      </c>
    </row>
    <row r="46" spans="2:27" x14ac:dyDescent="0.5">
      <c r="B46" s="7"/>
      <c r="C46" s="123" t="s">
        <v>141</v>
      </c>
      <c r="D46" s="215">
        <f>SUM(H46:AA46)</f>
        <v>114191.59246451526</v>
      </c>
      <c r="E46" s="211"/>
      <c r="H46" s="94">
        <f>MAX($E$45,H44*H45)</f>
        <v>2459.4179753675012</v>
      </c>
      <c r="I46" s="94">
        <f t="shared" ref="I46:AA46" si="23">MAX($E$45,I44*I45)</f>
        <v>2734.4328663196034</v>
      </c>
      <c r="J46" s="94">
        <f t="shared" si="23"/>
        <v>3085.4826919209486</v>
      </c>
      <c r="K46" s="94">
        <f t="shared" si="23"/>
        <v>3551.8709557108605</v>
      </c>
      <c r="L46" s="94">
        <f t="shared" si="23"/>
        <v>3893.3846704370517</v>
      </c>
      <c r="M46" s="94">
        <f t="shared" si="23"/>
        <v>3940.2084139230965</v>
      </c>
      <c r="N46" s="94">
        <f t="shared" si="23"/>
        <v>4077.3391739733265</v>
      </c>
      <c r="O46" s="94">
        <f t="shared" si="23"/>
        <v>4278.3913587299512</v>
      </c>
      <c r="P46" s="94">
        <f t="shared" si="23"/>
        <v>4651.7350902225371</v>
      </c>
      <c r="Q46" s="94">
        <f t="shared" si="23"/>
        <v>5042.7563511332892</v>
      </c>
      <c r="R46" s="94">
        <f t="shared" si="23"/>
        <v>5452.2929894679783</v>
      </c>
      <c r="S46" s="94">
        <f t="shared" si="23"/>
        <v>5881.2227051403142</v>
      </c>
      <c r="T46" s="94">
        <f t="shared" si="23"/>
        <v>6330.4649553657418</v>
      </c>
      <c r="U46" s="94">
        <f t="shared" si="23"/>
        <v>6800.982951734476</v>
      </c>
      <c r="V46" s="94">
        <f t="shared" si="23"/>
        <v>7293.7857534066834</v>
      </c>
      <c r="W46" s="94">
        <f t="shared" si="23"/>
        <v>7809.9304610899653</v>
      </c>
      <c r="X46" s="94">
        <f t="shared" si="23"/>
        <v>8350.5245166869154</v>
      </c>
      <c r="Y46" s="94">
        <f t="shared" si="23"/>
        <v>8916.7281137393384</v>
      </c>
      <c r="Z46" s="94">
        <f t="shared" si="23"/>
        <v>9509.7567240466597</v>
      </c>
      <c r="AA46" s="94">
        <f t="shared" si="23"/>
        <v>10130.883746099009</v>
      </c>
    </row>
    <row r="47" spans="2:27" x14ac:dyDescent="0.5">
      <c r="B47" s="7"/>
      <c r="C47" s="23"/>
      <c r="D47" s="111"/>
      <c r="E47" s="112"/>
      <c r="F47" s="23"/>
      <c r="G47" s="2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</row>
    <row r="48" spans="2:27" x14ac:dyDescent="0.5">
      <c r="B48" s="133" t="s">
        <v>113</v>
      </c>
    </row>
    <row r="49" spans="2:27" outlineLevel="1" x14ac:dyDescent="0.5">
      <c r="C49" s="23" t="s">
        <v>114</v>
      </c>
      <c r="D49" s="2" t="s">
        <v>115</v>
      </c>
    </row>
    <row r="50" spans="2:27" outlineLevel="1" x14ac:dyDescent="0.5">
      <c r="B50" s="28">
        <f>+INPUTS!E32/10^3*$D$50</f>
        <v>36.835000000000001</v>
      </c>
      <c r="C50" s="3" t="s">
        <v>57</v>
      </c>
      <c r="D50" s="135">
        <v>1</v>
      </c>
      <c r="E50" s="32">
        <f>SUM(G50:AA50)</f>
        <v>-36835</v>
      </c>
      <c r="G50" s="32">
        <f>-B50*85%*10^3</f>
        <v>-31309.75</v>
      </c>
      <c r="H50" s="32">
        <f>-B50*10^3-G50</f>
        <v>-5525.25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outlineLevel="1" x14ac:dyDescent="0.5">
      <c r="C51" s="1" t="s">
        <v>116</v>
      </c>
      <c r="E51" s="31">
        <f>SUM(G51:AA51)</f>
        <v>98543.325447625655</v>
      </c>
      <c r="H51" s="31">
        <f>+H31-SUM(H38,H46)</f>
        <v>4335.8569738709866</v>
      </c>
      <c r="I51" s="31">
        <f t="shared" ref="I51:AA51" si="24">+I31-SUM(I38,I46)</f>
        <v>4388.3841848165048</v>
      </c>
      <c r="J51" s="31">
        <f t="shared" si="24"/>
        <v>4470.8892435837279</v>
      </c>
      <c r="K51" s="31">
        <f t="shared" si="24"/>
        <v>4600.1025879888493</v>
      </c>
      <c r="L51" s="31">
        <f t="shared" si="24"/>
        <v>4672.9565932162968</v>
      </c>
      <c r="M51" s="31">
        <f t="shared" si="24"/>
        <v>4616.5484850806406</v>
      </c>
      <c r="N51" s="31">
        <f t="shared" si="24"/>
        <v>4595.7464361821949</v>
      </c>
      <c r="O51" s="31">
        <f t="shared" si="24"/>
        <v>4599.1057199493025</v>
      </c>
      <c r="P51" s="31">
        <f t="shared" si="24"/>
        <v>4672.9276866692335</v>
      </c>
      <c r="Q51" s="31">
        <f t="shared" si="24"/>
        <v>4750.7995194133273</v>
      </c>
      <c r="R51" s="31">
        <f t="shared" si="24"/>
        <v>4832.9236282997417</v>
      </c>
      <c r="S51" s="31">
        <f t="shared" si="24"/>
        <v>4919.5121640667512</v>
      </c>
      <c r="T51" s="31">
        <f t="shared" si="24"/>
        <v>5010.7874802731385</v>
      </c>
      <c r="U51" s="31">
        <f t="shared" si="24"/>
        <v>5106.9826173922011</v>
      </c>
      <c r="V51" s="31">
        <f t="shared" si="24"/>
        <v>5208.341809842068</v>
      </c>
      <c r="W51" s="31">
        <f t="shared" si="24"/>
        <v>5315.1210170453323</v>
      </c>
      <c r="X51" s="31">
        <f t="shared" si="24"/>
        <v>5427.5884796635983</v>
      </c>
      <c r="Y51" s="31">
        <f t="shared" si="24"/>
        <v>5546.0253022076267</v>
      </c>
      <c r="Z51" s="31">
        <f t="shared" si="24"/>
        <v>5670.7260632818143</v>
      </c>
      <c r="AA51" s="31">
        <f t="shared" si="24"/>
        <v>5801.9994547823371</v>
      </c>
    </row>
    <row r="52" spans="2:27" outlineLevel="1" x14ac:dyDescent="0.5">
      <c r="B52" s="16">
        <v>1.4999999999999999E-2</v>
      </c>
      <c r="C52" s="1" t="s">
        <v>117</v>
      </c>
      <c r="E52" s="31">
        <f>SUM(G52:AA52)</f>
        <v>-12369.017320031468</v>
      </c>
      <c r="J52" s="31">
        <f>+$B$52*SUM(G50:H50)</f>
        <v>-552.52499999999998</v>
      </c>
      <c r="K52" s="31">
        <f>J52*(1+INPUTS!$E$6)</f>
        <v>-566.33812499999988</v>
      </c>
      <c r="L52" s="31">
        <f>K52*(1+INPUTS!$E$6)</f>
        <v>-580.49657812499981</v>
      </c>
      <c r="M52" s="31">
        <f>L52*(1+INPUTS!$E$6)</f>
        <v>-595.00899257812478</v>
      </c>
      <c r="N52" s="31">
        <f>M52*(1+INPUTS!$E$6)</f>
        <v>-609.88421739257785</v>
      </c>
      <c r="O52" s="31">
        <f>N52*(1+INPUTS!$E$6)</f>
        <v>-625.1313228273923</v>
      </c>
      <c r="P52" s="31">
        <f>O52*(1+INPUTS!$E$6)</f>
        <v>-640.7596058980771</v>
      </c>
      <c r="Q52" s="31">
        <f>P52*(1+INPUTS!$E$6)</f>
        <v>-656.77859604552896</v>
      </c>
      <c r="R52" s="31">
        <f>Q52*(1+INPUTS!$E$6)</f>
        <v>-673.19806094666717</v>
      </c>
      <c r="S52" s="31">
        <f>R52*(1+INPUTS!$E$6)</f>
        <v>-690.02801247033381</v>
      </c>
      <c r="T52" s="31">
        <f>S52*(1+INPUTS!$E$6)</f>
        <v>-707.27871278209204</v>
      </c>
      <c r="U52" s="31">
        <f>T52*(1+INPUTS!$E$6)</f>
        <v>-724.9606806016443</v>
      </c>
      <c r="V52" s="31">
        <f>U52*(1+INPUTS!$E$6)</f>
        <v>-743.08469761668539</v>
      </c>
      <c r="W52" s="31">
        <f>V52*(1+INPUTS!$E$6)</f>
        <v>-761.66181505710244</v>
      </c>
      <c r="X52" s="31">
        <f>W52*(1+INPUTS!$E$6)</f>
        <v>-780.70336043352995</v>
      </c>
      <c r="Y52" s="31">
        <f>X52*(1+INPUTS!$E$6)</f>
        <v>-800.22094444436812</v>
      </c>
      <c r="Z52" s="31">
        <f>Y52*(1+INPUTS!$E$6)</f>
        <v>-820.2264680554772</v>
      </c>
      <c r="AA52" s="31">
        <f>Z52*(1+INPUTS!$E$6)</f>
        <v>-840.73212975686408</v>
      </c>
    </row>
    <row r="53" spans="2:27" outlineLevel="1" x14ac:dyDescent="0.5">
      <c r="B53" s="10">
        <v>0.35</v>
      </c>
      <c r="C53" s="1" t="s">
        <v>118</v>
      </c>
      <c r="E53" s="31">
        <f>SUM(G53:AA53)</f>
        <v>12892.249999999998</v>
      </c>
      <c r="H53" s="31">
        <f>$B$53*B50*10^3</f>
        <v>12892.249999999998</v>
      </c>
    </row>
    <row r="54" spans="2:27" outlineLevel="1" x14ac:dyDescent="0.5">
      <c r="C54" s="22" t="s">
        <v>37</v>
      </c>
      <c r="D54" s="4"/>
      <c r="E54" s="33">
        <f>SUM(E50:E53)</f>
        <v>62231.558127594188</v>
      </c>
      <c r="G54" s="33">
        <f t="shared" ref="G54:AA54" si="25">SUM(G50:G53)</f>
        <v>-31309.75</v>
      </c>
      <c r="H54" s="33">
        <f t="shared" si="25"/>
        <v>11702.856973870985</v>
      </c>
      <c r="I54" s="33">
        <f t="shared" si="25"/>
        <v>4388.3841848165048</v>
      </c>
      <c r="J54" s="33">
        <f t="shared" si="25"/>
        <v>3918.3642435837278</v>
      </c>
      <c r="K54" s="33">
        <f t="shared" si="25"/>
        <v>4033.7644629888496</v>
      </c>
      <c r="L54" s="33">
        <f t="shared" si="25"/>
        <v>4092.460015091297</v>
      </c>
      <c r="M54" s="33">
        <f t="shared" si="25"/>
        <v>4021.5394925025157</v>
      </c>
      <c r="N54" s="33">
        <f t="shared" si="25"/>
        <v>3985.8622187896171</v>
      </c>
      <c r="O54" s="33">
        <f t="shared" si="25"/>
        <v>3973.9743971219104</v>
      </c>
      <c r="P54" s="33">
        <f t="shared" si="25"/>
        <v>4032.1680807711564</v>
      </c>
      <c r="Q54" s="33">
        <f t="shared" si="25"/>
        <v>4094.0209233677983</v>
      </c>
      <c r="R54" s="33">
        <f t="shared" si="25"/>
        <v>4159.7255673530744</v>
      </c>
      <c r="S54" s="33">
        <f t="shared" si="25"/>
        <v>4229.4841515964172</v>
      </c>
      <c r="T54" s="33">
        <f t="shared" si="25"/>
        <v>4303.5087674910465</v>
      </c>
      <c r="U54" s="33">
        <f t="shared" si="25"/>
        <v>4382.0219367905565</v>
      </c>
      <c r="V54" s="33">
        <f t="shared" si="25"/>
        <v>4465.257112225383</v>
      </c>
      <c r="W54" s="33">
        <f t="shared" si="25"/>
        <v>4553.4592019882302</v>
      </c>
      <c r="X54" s="33">
        <f t="shared" si="25"/>
        <v>4646.8851192300681</v>
      </c>
      <c r="Y54" s="33">
        <f t="shared" si="25"/>
        <v>4745.8043577632588</v>
      </c>
      <c r="Z54" s="33">
        <f t="shared" si="25"/>
        <v>4850.4995952263371</v>
      </c>
      <c r="AA54" s="33">
        <f t="shared" si="25"/>
        <v>4961.2673250254729</v>
      </c>
    </row>
    <row r="56" spans="2:27" x14ac:dyDescent="0.5">
      <c r="C56" s="39" t="s">
        <v>60</v>
      </c>
      <c r="D56" s="40">
        <f>XIRR(G54:AA54,$G$9:$AA$9)</f>
        <v>0.15351701378822327</v>
      </c>
    </row>
    <row r="57" spans="2:27" x14ac:dyDescent="0.5">
      <c r="D57" s="1"/>
    </row>
    <row r="58" spans="2:27" x14ac:dyDescent="0.5">
      <c r="D58" s="2" t="s">
        <v>40</v>
      </c>
      <c r="E58" s="9">
        <v>6605</v>
      </c>
    </row>
    <row r="59" spans="2:27" x14ac:dyDescent="0.5">
      <c r="B59" s="133" t="s">
        <v>119</v>
      </c>
      <c r="E59" s="13"/>
    </row>
    <row r="60" spans="2:27" ht="15.7" outlineLevel="1" x14ac:dyDescent="0.55000000000000004">
      <c r="C60" s="100" t="s">
        <v>120</v>
      </c>
      <c r="E60" s="36" t="s">
        <v>37</v>
      </c>
      <c r="G60" s="36" t="str">
        <f t="shared" ref="G60:AA60" si="26">+G10</f>
        <v>Year 0</v>
      </c>
      <c r="H60" s="36" t="str">
        <f t="shared" si="26"/>
        <v>Year 1</v>
      </c>
      <c r="I60" s="36" t="str">
        <f t="shared" si="26"/>
        <v>Year 2</v>
      </c>
      <c r="J60" s="36" t="str">
        <f t="shared" si="26"/>
        <v>Year 3</v>
      </c>
      <c r="K60" s="36" t="str">
        <f t="shared" si="26"/>
        <v>Year 4</v>
      </c>
      <c r="L60" s="36" t="str">
        <f t="shared" si="26"/>
        <v>Year 5</v>
      </c>
      <c r="M60" s="36" t="str">
        <f t="shared" si="26"/>
        <v>Year 6</v>
      </c>
      <c r="N60" s="36" t="str">
        <f t="shared" si="26"/>
        <v>Year 7</v>
      </c>
      <c r="O60" s="36" t="str">
        <f t="shared" si="26"/>
        <v>Year 8</v>
      </c>
      <c r="P60" s="36" t="str">
        <f t="shared" si="26"/>
        <v>Year 9</v>
      </c>
      <c r="Q60" s="36" t="str">
        <f t="shared" si="26"/>
        <v>Year 10</v>
      </c>
      <c r="R60" s="36" t="str">
        <f t="shared" si="26"/>
        <v>Year 11</v>
      </c>
      <c r="S60" s="36" t="str">
        <f t="shared" si="26"/>
        <v>Year 12</v>
      </c>
      <c r="T60" s="36" t="str">
        <f t="shared" si="26"/>
        <v>Year 13</v>
      </c>
      <c r="U60" s="36" t="str">
        <f t="shared" si="26"/>
        <v>Year 14</v>
      </c>
      <c r="V60" s="36" t="str">
        <f t="shared" si="26"/>
        <v>Year 15</v>
      </c>
      <c r="W60" s="36" t="str">
        <f t="shared" si="26"/>
        <v>Year 16</v>
      </c>
      <c r="X60" s="36" t="str">
        <f t="shared" si="26"/>
        <v>Year 17</v>
      </c>
      <c r="Y60" s="36" t="str">
        <f t="shared" si="26"/>
        <v>Year 18</v>
      </c>
      <c r="Z60" s="36" t="str">
        <f t="shared" si="26"/>
        <v>Year 19</v>
      </c>
      <c r="AA60" s="36" t="str">
        <f t="shared" si="26"/>
        <v>Year 20</v>
      </c>
    </row>
    <row r="61" spans="2:27" outlineLevel="1" x14ac:dyDescent="0.5">
      <c r="C61" s="44" t="str">
        <f>'Bid Forms'!C5</f>
        <v>20- year Evaluative Value of the sale of RNG and EAs</v>
      </c>
      <c r="D61" s="45"/>
      <c r="E61" s="46">
        <f>SUM(G61:AA61)</f>
        <v>325330.86736038257</v>
      </c>
      <c r="G61" s="18">
        <f>+G31</f>
        <v>0</v>
      </c>
      <c r="H61" s="18">
        <f t="shared" ref="H61:AA61" si="27">+H31-H29</f>
        <v>10621.941128791086</v>
      </c>
      <c r="I61" s="18">
        <f t="shared" si="27"/>
        <v>11101.618919753671</v>
      </c>
      <c r="J61" s="18">
        <f t="shared" si="27"/>
        <v>11716.384739636258</v>
      </c>
      <c r="K61" s="18">
        <f t="shared" si="27"/>
        <v>12536.384038913251</v>
      </c>
      <c r="L61" s="18">
        <f t="shared" si="27"/>
        <v>13132.623473461661</v>
      </c>
      <c r="M61" s="18">
        <f t="shared" si="27"/>
        <v>13201.817310665543</v>
      </c>
      <c r="N61" s="18">
        <f t="shared" si="27"/>
        <v>13431.41380919217</v>
      </c>
      <c r="O61" s="18">
        <f t="shared" si="27"/>
        <v>13774.246887094057</v>
      </c>
      <c r="P61" s="18">
        <f t="shared" si="27"/>
        <v>14423.782930951316</v>
      </c>
      <c r="Q61" s="18">
        <f t="shared" si="27"/>
        <v>15103.870906395969</v>
      </c>
      <c r="R61" s="18">
        <f t="shared" si="27"/>
        <v>15815.949349384187</v>
      </c>
      <c r="S61" s="18">
        <f t="shared" si="27"/>
        <v>16561.524744911731</v>
      </c>
      <c r="T61" s="18">
        <f t="shared" si="27"/>
        <v>17342.174751428523</v>
      </c>
      <c r="U61" s="18">
        <f t="shared" si="27"/>
        <v>18159.551579134793</v>
      </c>
      <c r="V61" s="18">
        <f t="shared" si="27"/>
        <v>19015.385529550455</v>
      </c>
      <c r="W61" s="18">
        <f t="shared" si="27"/>
        <v>19911.488704107614</v>
      </c>
      <c r="X61" s="18">
        <f t="shared" si="27"/>
        <v>20849.758889890909</v>
      </c>
      <c r="Y61" s="18">
        <f t="shared" si="27"/>
        <v>21832.183631043747</v>
      </c>
      <c r="Z61" s="18">
        <f t="shared" si="27"/>
        <v>22860.844494771354</v>
      </c>
      <c r="AA61" s="18">
        <f t="shared" si="27"/>
        <v>23937.921541304306</v>
      </c>
    </row>
    <row r="62" spans="2:27" outlineLevel="1" x14ac:dyDescent="0.5">
      <c r="B62" s="10"/>
      <c r="C62" s="47" t="str">
        <f>"(-)"&amp;'Bid Forms'!C9</f>
        <v>(-)20-year Allowance for RIN Management</v>
      </c>
      <c r="D62" s="48"/>
      <c r="E62" s="49">
        <f>SUM(G62:AA62)</f>
        <v>-59912.961343903393</v>
      </c>
      <c r="H62" s="7">
        <f t="shared" ref="H62:AA62" si="28">H29</f>
        <v>-1994.1338963360702</v>
      </c>
      <c r="I62" s="7">
        <f t="shared" si="28"/>
        <v>-2080.9332716527947</v>
      </c>
      <c r="J62" s="7">
        <f t="shared" si="28"/>
        <v>-2194.1993406763181</v>
      </c>
      <c r="K62" s="7">
        <f t="shared" si="28"/>
        <v>-2347.9296916820076</v>
      </c>
      <c r="L62" s="7">
        <f t="shared" si="28"/>
        <v>-2456.2923909072874</v>
      </c>
      <c r="M62" s="7">
        <f t="shared" si="28"/>
        <v>-2458.595165988248</v>
      </c>
      <c r="N62" s="7">
        <f t="shared" si="28"/>
        <v>-2492.2905787288328</v>
      </c>
      <c r="O62" s="7">
        <f t="shared" si="28"/>
        <v>-2547.9062498355424</v>
      </c>
      <c r="P62" s="7">
        <f t="shared" si="28"/>
        <v>-2664.0941058462481</v>
      </c>
      <c r="Q62" s="7">
        <f t="shared" si="28"/>
        <v>-2785.5802799898265</v>
      </c>
      <c r="R62" s="7">
        <f t="shared" si="28"/>
        <v>-2912.6063824999192</v>
      </c>
      <c r="S62" s="7">
        <f t="shared" si="28"/>
        <v>-3045.4250413526966</v>
      </c>
      <c r="T62" s="7">
        <f t="shared" si="28"/>
        <v>-3184.3004046903066</v>
      </c>
      <c r="U62" s="7">
        <f t="shared" si="28"/>
        <v>-3329.5086661555274</v>
      </c>
      <c r="V62" s="7">
        <f t="shared" si="28"/>
        <v>-3481.338614182323</v>
      </c>
      <c r="W62" s="7">
        <f t="shared" si="28"/>
        <v>-3640.0922063347916</v>
      </c>
      <c r="X62" s="7">
        <f t="shared" si="28"/>
        <v>-3806.0851698367314</v>
      </c>
      <c r="Y62" s="7">
        <f t="shared" si="28"/>
        <v>-3979.6476294861068</v>
      </c>
      <c r="Z62" s="7">
        <f t="shared" si="28"/>
        <v>-4161.1247642032549</v>
      </c>
      <c r="AA62" s="7">
        <f t="shared" si="28"/>
        <v>-4350.8774935185666</v>
      </c>
    </row>
    <row r="63" spans="2:27" outlineLevel="1" x14ac:dyDescent="0.5">
      <c r="C63" s="47" t="str">
        <f>"(-)"&amp;'Bid Forms'!C8</f>
        <v>(-)20-year Allowance for Operations and Maintenance</v>
      </c>
      <c r="D63" s="48"/>
      <c r="E63" s="104">
        <v>-45000</v>
      </c>
      <c r="H63" s="7">
        <f t="shared" ref="H63:AA63" si="29">-H38</f>
        <v>-1832.532283216528</v>
      </c>
      <c r="I63" s="7">
        <f t="shared" si="29"/>
        <v>-1897.8685969647686</v>
      </c>
      <c r="J63" s="7">
        <f t="shared" si="29"/>
        <v>-1965.8134634552634</v>
      </c>
      <c r="K63" s="7">
        <f t="shared" si="29"/>
        <v>-2036.4808035315336</v>
      </c>
      <c r="L63" s="7">
        <f t="shared" si="29"/>
        <v>-2109.989818901025</v>
      </c>
      <c r="M63" s="7">
        <f t="shared" si="29"/>
        <v>-2186.4652456735571</v>
      </c>
      <c r="N63" s="7">
        <f t="shared" si="29"/>
        <v>-2266.0376203078163</v>
      </c>
      <c r="O63" s="7">
        <f t="shared" si="29"/>
        <v>-2348.8435585792618</v>
      </c>
      <c r="P63" s="7">
        <f t="shared" si="29"/>
        <v>-2435.0260482132971</v>
      </c>
      <c r="Q63" s="7">
        <f t="shared" si="29"/>
        <v>-2524.7347558595256</v>
      </c>
      <c r="R63" s="7">
        <f t="shared" si="29"/>
        <v>-2618.1263491165491</v>
      </c>
      <c r="S63" s="7">
        <f t="shared" si="29"/>
        <v>-2715.3648343519699</v>
      </c>
      <c r="T63" s="7">
        <f t="shared" si="29"/>
        <v>-2816.6219110993361</v>
      </c>
      <c r="U63" s="7">
        <f t="shared" si="29"/>
        <v>-2922.0773438525875</v>
      </c>
      <c r="V63" s="7">
        <f t="shared" si="29"/>
        <v>-3031.9193521193815</v>
      </c>
      <c r="W63" s="7">
        <f t="shared" si="29"/>
        <v>-3146.3450196375243</v>
      </c>
      <c r="X63" s="7">
        <f t="shared" si="29"/>
        <v>-3265.5607237036666</v>
      </c>
      <c r="Y63" s="7">
        <f t="shared" si="29"/>
        <v>-3389.7825856106761</v>
      </c>
      <c r="Z63" s="7">
        <f t="shared" si="29"/>
        <v>-3519.2369432396258</v>
      </c>
      <c r="AA63" s="7">
        <f t="shared" si="29"/>
        <v>-3654.160846904394</v>
      </c>
    </row>
    <row r="64" spans="2:27" outlineLevel="1" x14ac:dyDescent="0.5">
      <c r="C64" s="50" t="s">
        <v>121</v>
      </c>
      <c r="D64" s="51"/>
      <c r="E64" s="52">
        <f>SUM(E61:E63)</f>
        <v>220417.90601647919</v>
      </c>
      <c r="F64" s="23"/>
      <c r="G64" s="22"/>
      <c r="H64" s="21">
        <f t="shared" ref="H64:AA64" si="30">SUM(H61:H63)</f>
        <v>6795.2749492384883</v>
      </c>
      <c r="I64" s="21">
        <f t="shared" si="30"/>
        <v>7122.8170511361077</v>
      </c>
      <c r="J64" s="21">
        <f t="shared" si="30"/>
        <v>7556.3719355046769</v>
      </c>
      <c r="K64" s="21">
        <f t="shared" si="30"/>
        <v>8151.9735436997098</v>
      </c>
      <c r="L64" s="21">
        <f t="shared" si="30"/>
        <v>8566.3412636533485</v>
      </c>
      <c r="M64" s="21">
        <f t="shared" si="30"/>
        <v>8556.756899003738</v>
      </c>
      <c r="N64" s="21">
        <f t="shared" si="30"/>
        <v>8673.0856101555219</v>
      </c>
      <c r="O64" s="21">
        <f t="shared" si="30"/>
        <v>8877.4970786792546</v>
      </c>
      <c r="P64" s="21">
        <f t="shared" si="30"/>
        <v>9324.6627768917715</v>
      </c>
      <c r="Q64" s="21">
        <f t="shared" si="30"/>
        <v>9793.5558705466174</v>
      </c>
      <c r="R64" s="21">
        <f t="shared" si="30"/>
        <v>10285.216617767721</v>
      </c>
      <c r="S64" s="21">
        <f t="shared" si="30"/>
        <v>10800.734869207063</v>
      </c>
      <c r="T64" s="21">
        <f t="shared" si="30"/>
        <v>11341.252435638882</v>
      </c>
      <c r="U64" s="21">
        <f t="shared" si="30"/>
        <v>11907.965569126678</v>
      </c>
      <c r="V64" s="21">
        <f t="shared" si="30"/>
        <v>12502.12756324875</v>
      </c>
      <c r="W64" s="21">
        <f t="shared" si="30"/>
        <v>13125.051478135298</v>
      </c>
      <c r="X64" s="21">
        <f t="shared" si="30"/>
        <v>13778.112996350508</v>
      </c>
      <c r="Y64" s="21">
        <f t="shared" si="30"/>
        <v>14462.753415946965</v>
      </c>
      <c r="Z64" s="21">
        <f t="shared" si="30"/>
        <v>15180.482787328474</v>
      </c>
      <c r="AA64" s="21">
        <f t="shared" si="30"/>
        <v>15932.883200881348</v>
      </c>
    </row>
    <row r="65" spans="2:27" outlineLevel="1" x14ac:dyDescent="0.5">
      <c r="C65" s="47" t="s">
        <v>122</v>
      </c>
      <c r="D65" s="53">
        <v>37</v>
      </c>
      <c r="E65" s="49">
        <f>SUM(G65:AA65)</f>
        <v>-37000</v>
      </c>
      <c r="F65" s="23"/>
      <c r="G65" s="19">
        <f>-D65*1000</f>
        <v>-37000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2:27" outlineLevel="1" x14ac:dyDescent="0.5">
      <c r="C66" s="47" t="s">
        <v>117</v>
      </c>
      <c r="D66" s="54">
        <v>1.4999999999999999E-2</v>
      </c>
      <c r="E66" s="49">
        <f>SUM(G66:AA66)</f>
        <v>-13290.03412141152</v>
      </c>
      <c r="H66" s="15">
        <v>0</v>
      </c>
      <c r="I66" s="7">
        <f t="shared" ref="I66:AA66" si="31">+$D$66*$G$65*H8</f>
        <v>-555</v>
      </c>
      <c r="J66" s="7">
        <f t="shared" si="31"/>
        <v>-568.875</v>
      </c>
      <c r="K66" s="7">
        <f t="shared" si="31"/>
        <v>-583.09687499999995</v>
      </c>
      <c r="L66" s="7">
        <f t="shared" si="31"/>
        <v>-597.67429687499998</v>
      </c>
      <c r="M66" s="7">
        <f t="shared" si="31"/>
        <v>-612.61615429687492</v>
      </c>
      <c r="N66" s="7">
        <f t="shared" si="31"/>
        <v>-627.93155815429668</v>
      </c>
      <c r="O66" s="7">
        <f t="shared" si="31"/>
        <v>-643.62984710815408</v>
      </c>
      <c r="P66" s="7">
        <f t="shared" si="31"/>
        <v>-659.72059328585783</v>
      </c>
      <c r="Q66" s="7">
        <f t="shared" si="31"/>
        <v>-676.21360811800423</v>
      </c>
      <c r="R66" s="7">
        <f t="shared" si="31"/>
        <v>-693.11894832095425</v>
      </c>
      <c r="S66" s="7">
        <f t="shared" si="31"/>
        <v>-710.44692202897795</v>
      </c>
      <c r="T66" s="7">
        <f t="shared" si="31"/>
        <v>-728.20809507970239</v>
      </c>
      <c r="U66" s="7">
        <f t="shared" si="31"/>
        <v>-746.41329745669486</v>
      </c>
      <c r="V66" s="7">
        <f t="shared" si="31"/>
        <v>-765.07362989311218</v>
      </c>
      <c r="W66" s="7">
        <f t="shared" si="31"/>
        <v>-784.2004706404399</v>
      </c>
      <c r="X66" s="7">
        <f t="shared" si="31"/>
        <v>-803.80548240645078</v>
      </c>
      <c r="Y66" s="7">
        <f t="shared" si="31"/>
        <v>-823.90061946661206</v>
      </c>
      <c r="Z66" s="7">
        <f t="shared" si="31"/>
        <v>-844.49813495327726</v>
      </c>
      <c r="AA66" s="7">
        <f t="shared" si="31"/>
        <v>-865.6105883271091</v>
      </c>
    </row>
    <row r="67" spans="2:27" outlineLevel="1" x14ac:dyDescent="0.5">
      <c r="C67" s="47" t="s">
        <v>123</v>
      </c>
      <c r="D67" s="54">
        <v>0.04</v>
      </c>
      <c r="E67" s="49">
        <f>SUM(G67:AA67)</f>
        <v>-29600</v>
      </c>
      <c r="H67" s="31">
        <f>$D$67*$G$65</f>
        <v>-1480</v>
      </c>
      <c r="I67" s="31">
        <f t="shared" ref="I67:AA67" si="32">$D$67*$G$65</f>
        <v>-1480</v>
      </c>
      <c r="J67" s="31">
        <f t="shared" si="32"/>
        <v>-1480</v>
      </c>
      <c r="K67" s="31">
        <f t="shared" si="32"/>
        <v>-1480</v>
      </c>
      <c r="L67" s="31">
        <f t="shared" si="32"/>
        <v>-1480</v>
      </c>
      <c r="M67" s="31">
        <f t="shared" si="32"/>
        <v>-1480</v>
      </c>
      <c r="N67" s="31">
        <f t="shared" si="32"/>
        <v>-1480</v>
      </c>
      <c r="O67" s="31">
        <f t="shared" si="32"/>
        <v>-1480</v>
      </c>
      <c r="P67" s="31">
        <f t="shared" si="32"/>
        <v>-1480</v>
      </c>
      <c r="Q67" s="31">
        <f t="shared" si="32"/>
        <v>-1480</v>
      </c>
      <c r="R67" s="31">
        <f t="shared" si="32"/>
        <v>-1480</v>
      </c>
      <c r="S67" s="31">
        <f t="shared" si="32"/>
        <v>-1480</v>
      </c>
      <c r="T67" s="31">
        <f t="shared" si="32"/>
        <v>-1480</v>
      </c>
      <c r="U67" s="31">
        <f t="shared" si="32"/>
        <v>-1480</v>
      </c>
      <c r="V67" s="31">
        <f t="shared" si="32"/>
        <v>-1480</v>
      </c>
      <c r="W67" s="31">
        <f t="shared" si="32"/>
        <v>-1480</v>
      </c>
      <c r="X67" s="31">
        <f t="shared" si="32"/>
        <v>-1480</v>
      </c>
      <c r="Y67" s="31">
        <f t="shared" si="32"/>
        <v>-1480</v>
      </c>
      <c r="Z67" s="31">
        <f t="shared" si="32"/>
        <v>-1480</v>
      </c>
      <c r="AA67" s="31">
        <f t="shared" si="32"/>
        <v>-1480</v>
      </c>
    </row>
    <row r="68" spans="2:27" outlineLevel="1" x14ac:dyDescent="0.5">
      <c r="C68" s="50" t="s">
        <v>124</v>
      </c>
      <c r="D68" s="45"/>
      <c r="E68" s="52">
        <f>SUM(E64:E67)</f>
        <v>140527.87189506766</v>
      </c>
      <c r="G68" s="33">
        <f>SUM(G64:G67)</f>
        <v>-37000</v>
      </c>
      <c r="H68" s="33">
        <f>SUM(H64:H67)</f>
        <v>5315.2749492384883</v>
      </c>
      <c r="I68" s="33">
        <f t="shared" ref="I68:AA68" si="33">SUM(I64:I67)</f>
        <v>5087.8170511361077</v>
      </c>
      <c r="J68" s="33">
        <f t="shared" si="33"/>
        <v>5507.4969355046769</v>
      </c>
      <c r="K68" s="33">
        <f t="shared" si="33"/>
        <v>6088.8766686997096</v>
      </c>
      <c r="L68" s="33">
        <f t="shared" si="33"/>
        <v>6488.6669667783481</v>
      </c>
      <c r="M68" s="33">
        <f t="shared" si="33"/>
        <v>6464.1407447068632</v>
      </c>
      <c r="N68" s="33">
        <f t="shared" si="33"/>
        <v>6565.154052001225</v>
      </c>
      <c r="O68" s="33">
        <f t="shared" si="33"/>
        <v>6753.867231571101</v>
      </c>
      <c r="P68" s="33">
        <f t="shared" si="33"/>
        <v>7184.9421836059137</v>
      </c>
      <c r="Q68" s="33">
        <f t="shared" si="33"/>
        <v>7637.342262428614</v>
      </c>
      <c r="R68" s="33">
        <f t="shared" si="33"/>
        <v>8112.0976694467663</v>
      </c>
      <c r="S68" s="33">
        <f t="shared" si="33"/>
        <v>8610.2879471780852</v>
      </c>
      <c r="T68" s="33">
        <f t="shared" si="33"/>
        <v>9133.0443405591795</v>
      </c>
      <c r="U68" s="33">
        <f t="shared" si="33"/>
        <v>9681.5522716699834</v>
      </c>
      <c r="V68" s="33">
        <f t="shared" si="33"/>
        <v>10257.053933355639</v>
      </c>
      <c r="W68" s="33">
        <f t="shared" si="33"/>
        <v>10860.851007494857</v>
      </c>
      <c r="X68" s="33">
        <f t="shared" si="33"/>
        <v>11494.307513944057</v>
      </c>
      <c r="Y68" s="33">
        <f t="shared" si="33"/>
        <v>12158.852796480352</v>
      </c>
      <c r="Z68" s="33">
        <f t="shared" si="33"/>
        <v>12855.984652375197</v>
      </c>
      <c r="AA68" s="33">
        <f t="shared" si="33"/>
        <v>13587.272612554239</v>
      </c>
    </row>
    <row r="69" spans="2:27" outlineLevel="1" x14ac:dyDescent="0.5"/>
    <row r="70" spans="2:27" x14ac:dyDescent="0.5">
      <c r="E70" s="20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x14ac:dyDescent="0.5">
      <c r="D71" s="103"/>
      <c r="E71" s="16"/>
      <c r="I71" s="147" t="s">
        <v>126</v>
      </c>
      <c r="J71" s="37"/>
      <c r="K71" s="37"/>
      <c r="L71" s="37"/>
      <c r="O71" s="147" t="s">
        <v>127</v>
      </c>
      <c r="P71" s="37"/>
      <c r="Q71" s="37"/>
      <c r="R71" s="37"/>
    </row>
    <row r="72" spans="2:27" x14ac:dyDescent="0.5">
      <c r="B72" s="133" t="s">
        <v>125</v>
      </c>
      <c r="I72" s="142">
        <f>+I73*INPUTS!$E$32/10^3</f>
        <v>33.151499999999999</v>
      </c>
      <c r="J72" s="142">
        <f>+J73*INPUTS!$E$32/10^3</f>
        <v>36.835000000000001</v>
      </c>
      <c r="K72" s="142">
        <f>+K73*INPUTS!$E$32/10^3</f>
        <v>39.751554252199412</v>
      </c>
      <c r="L72" s="142">
        <f>+L73*INPUTS!$E$32/10^3</f>
        <v>44.201999999999998</v>
      </c>
      <c r="O72" s="141">
        <f>+O73*$E$17/10^3</f>
        <v>7294.5000000000027</v>
      </c>
      <c r="P72" s="141">
        <f>+P73*$E$17/10^3</f>
        <v>8105.0000000000027</v>
      </c>
      <c r="Q72" s="141">
        <f>+Q73*$E$17/10^3</f>
        <v>8915.5000000000036</v>
      </c>
      <c r="R72" s="141">
        <f>+R73*$E$17/10^3</f>
        <v>9939.5155185465574</v>
      </c>
    </row>
    <row r="73" spans="2:27" x14ac:dyDescent="0.5">
      <c r="H73" s="136">
        <f>+D56</f>
        <v>0.15351701378822327</v>
      </c>
      <c r="I73" s="138">
        <v>0.9</v>
      </c>
      <c r="J73" s="138">
        <v>1</v>
      </c>
      <c r="K73" s="138">
        <f>36.8/34.1</f>
        <v>1.0791788856304985</v>
      </c>
      <c r="L73" s="138">
        <v>1.2</v>
      </c>
      <c r="N73" s="136">
        <f>+$D$56</f>
        <v>0.15351701378822327</v>
      </c>
      <c r="O73" s="140">
        <v>0.9</v>
      </c>
      <c r="P73" s="140">
        <v>1</v>
      </c>
      <c r="Q73" s="140">
        <v>1.1000000000000001</v>
      </c>
      <c r="R73" s="140">
        <f>8.1/6.605</f>
        <v>1.2263436790310369</v>
      </c>
    </row>
    <row r="74" spans="2:27" x14ac:dyDescent="0.5">
      <c r="G74" s="13">
        <f>+H74+INPUTS!$E$17</f>
        <v>1.8900000000000001</v>
      </c>
      <c r="H74" s="137">
        <v>-0.5</v>
      </c>
      <c r="I74" s="143">
        <f t="dataTable" ref="I74:L79" dt2D="1" dtr="1" r1="D50" r2="E19"/>
        <v>0.17387990355491639</v>
      </c>
      <c r="J74" s="144">
        <v>0.15351701378822327</v>
      </c>
      <c r="K74" s="144">
        <v>0.13954481482505801</v>
      </c>
      <c r="L74" s="144">
        <v>0.12101500630378725</v>
      </c>
      <c r="M74" s="13">
        <f>+N74+INPUTS!$E$17</f>
        <v>1.8900000000000001</v>
      </c>
      <c r="N74" s="137">
        <v>-0.5</v>
      </c>
      <c r="O74" s="143">
        <f t="dataTable" ref="O74:R79" dt2D="1" dtr="1" r1="E16" r2="E19" ca="1"/>
        <v>0.1434022128582001</v>
      </c>
      <c r="P74" s="144">
        <v>0.15351701378822327</v>
      </c>
      <c r="Q74" s="144">
        <v>0.16254314780235293</v>
      </c>
      <c r="R74" s="144">
        <v>0.17359595894813537</v>
      </c>
    </row>
    <row r="75" spans="2:27" x14ac:dyDescent="0.5">
      <c r="G75" s="13">
        <f>+H75+INPUTS!$E$17</f>
        <v>2.14</v>
      </c>
      <c r="H75" s="137">
        <v>-0.25</v>
      </c>
      <c r="I75" s="145">
        <v>0.17387990355491639</v>
      </c>
      <c r="J75" s="146">
        <v>0.15351701378822327</v>
      </c>
      <c r="K75" s="146">
        <v>0.13954481482505801</v>
      </c>
      <c r="L75" s="146">
        <v>0.12101500630378725</v>
      </c>
      <c r="M75" s="13">
        <f>+N75+INPUTS!$E$17</f>
        <v>2.14</v>
      </c>
      <c r="N75" s="137">
        <v>-0.25</v>
      </c>
      <c r="O75" s="145">
        <v>0.1434022128582001</v>
      </c>
      <c r="P75" s="146">
        <v>0.15351701378822327</v>
      </c>
      <c r="Q75" s="146">
        <v>0.16254314780235293</v>
      </c>
      <c r="R75" s="146">
        <v>0.17359595894813537</v>
      </c>
    </row>
    <row r="76" spans="2:27" x14ac:dyDescent="0.5">
      <c r="G76" s="13">
        <f>+H76+INPUTS!$E$17</f>
        <v>2.39</v>
      </c>
      <c r="H76" s="137">
        <v>0</v>
      </c>
      <c r="I76" s="145">
        <v>0.17387990355491639</v>
      </c>
      <c r="J76" s="146">
        <v>0.15351701378822327</v>
      </c>
      <c r="K76" s="146">
        <v>0.13954481482505801</v>
      </c>
      <c r="L76" s="146">
        <v>0.12101500630378725</v>
      </c>
      <c r="M76" s="13">
        <f>+N76+INPUTS!$E$17</f>
        <v>2.39</v>
      </c>
      <c r="N76" s="137">
        <v>0</v>
      </c>
      <c r="O76" s="145">
        <v>0.1434022128582001</v>
      </c>
      <c r="P76" s="146">
        <v>0.15351701378822327</v>
      </c>
      <c r="Q76" s="146">
        <v>0.16254314780235293</v>
      </c>
      <c r="R76" s="146">
        <v>0.17359595894813537</v>
      </c>
    </row>
    <row r="77" spans="2:27" ht="14.7" thickBot="1" x14ac:dyDescent="0.55000000000000004">
      <c r="G77" s="13">
        <f>+H77+INPUTS!$E$17</f>
        <v>2.64</v>
      </c>
      <c r="H77" s="137">
        <v>0.25</v>
      </c>
      <c r="I77" s="145">
        <v>0.17387990355491639</v>
      </c>
      <c r="J77" s="146">
        <v>0.15351701378822327</v>
      </c>
      <c r="K77" s="146">
        <v>0.13954481482505801</v>
      </c>
      <c r="L77" s="146">
        <v>0.12101500630378725</v>
      </c>
      <c r="M77" s="13">
        <f>+N77+INPUTS!$E$17</f>
        <v>2.64</v>
      </c>
      <c r="N77" s="137">
        <v>0.25</v>
      </c>
      <c r="O77" s="145">
        <v>0.1434022128582001</v>
      </c>
      <c r="P77" s="146">
        <v>0.15351701378822327</v>
      </c>
      <c r="Q77" s="146">
        <v>0.16254314780235293</v>
      </c>
      <c r="R77" s="146">
        <v>0.17359595894813537</v>
      </c>
    </row>
    <row r="78" spans="2:27" ht="14.7" thickBot="1" x14ac:dyDescent="0.55000000000000004">
      <c r="G78" s="13">
        <f>+H78+INPUTS!$E$17</f>
        <v>2.89</v>
      </c>
      <c r="H78" s="137">
        <v>0.5</v>
      </c>
      <c r="I78" s="145">
        <v>0.17387990355491639</v>
      </c>
      <c r="J78" s="146">
        <v>0.15351701378822327</v>
      </c>
      <c r="K78" s="146">
        <v>0.13954481482505801</v>
      </c>
      <c r="L78" s="146">
        <v>0.12101500630378725</v>
      </c>
      <c r="M78" s="13">
        <f>+N78+INPUTS!$E$17</f>
        <v>2.8534800750372566</v>
      </c>
      <c r="N78" s="137">
        <v>0.4634800750372563</v>
      </c>
      <c r="O78" s="145">
        <v>0.1434022128582001</v>
      </c>
      <c r="P78" s="146">
        <v>0.15351701378822327</v>
      </c>
      <c r="Q78" s="146">
        <v>0.16254314780235293</v>
      </c>
      <c r="R78" s="200">
        <v>0.17359595894813537</v>
      </c>
    </row>
    <row r="79" spans="2:27" x14ac:dyDescent="0.5">
      <c r="G79" s="13">
        <f>+H79+INPUTS!$E$17</f>
        <v>3.14</v>
      </c>
      <c r="H79" s="137">
        <v>0.75</v>
      </c>
      <c r="I79" s="145">
        <v>0.17387990355491639</v>
      </c>
      <c r="J79" s="146">
        <v>0.15351701378822327</v>
      </c>
      <c r="K79" s="146">
        <v>0.13954481482505801</v>
      </c>
      <c r="L79" s="146">
        <v>0.12101500630378725</v>
      </c>
      <c r="M79" s="13">
        <f>+N79+INPUTS!$E$17</f>
        <v>3.14</v>
      </c>
      <c r="N79" s="137">
        <v>0.75</v>
      </c>
      <c r="O79" s="145">
        <v>0.1434022128582001</v>
      </c>
      <c r="P79" s="146">
        <v>0.15351701378822327</v>
      </c>
      <c r="Q79" s="146">
        <v>0.16254314780235293</v>
      </c>
      <c r="R79" s="146">
        <v>0.17359595894813537</v>
      </c>
    </row>
    <row r="81" spans="13:18" x14ac:dyDescent="0.5">
      <c r="O81" s="147" t="s">
        <v>127</v>
      </c>
      <c r="P81" s="37"/>
      <c r="Q81" s="37"/>
      <c r="R81" s="37"/>
    </row>
    <row r="82" spans="13:18" x14ac:dyDescent="0.5">
      <c r="O82" s="141">
        <f>+O83*$E$17/10^3</f>
        <v>7294.5000000000027</v>
      </c>
      <c r="P82" s="141">
        <f>+P83*$E$17/10^3</f>
        <v>8105.0000000000027</v>
      </c>
      <c r="Q82" s="141">
        <f>+Q83*$E$17/10^3</f>
        <v>8915.5000000000036</v>
      </c>
      <c r="R82" s="141">
        <f>+R83*$E$17/10^3</f>
        <v>9939.5155185465574</v>
      </c>
    </row>
    <row r="83" spans="13:18" x14ac:dyDescent="0.5">
      <c r="N83" s="136" t="e">
        <f>+#REF!/1000</f>
        <v>#REF!</v>
      </c>
      <c r="O83" s="140">
        <v>0.9</v>
      </c>
      <c r="P83" s="140">
        <v>1</v>
      </c>
      <c r="Q83" s="140">
        <v>1.1000000000000001</v>
      </c>
      <c r="R83" s="140">
        <f>8.1/6.605</f>
        <v>1.2263436790310369</v>
      </c>
    </row>
    <row r="84" spans="13:18" x14ac:dyDescent="0.5">
      <c r="M84" s="13">
        <f>+N84+INPUTS!$E$17</f>
        <v>1.8900000000000001</v>
      </c>
      <c r="N84" s="137">
        <v>-0.5</v>
      </c>
      <c r="O84" s="148" t="e">
        <f t="dataTable" ref="O84:R89" dt2D="1" dtr="1" r1="E16" r2="E19"/>
        <v>#REF!</v>
      </c>
      <c r="P84" s="149" t="e">
        <v>#REF!</v>
      </c>
      <c r="Q84" s="149" t="e">
        <v>#REF!</v>
      </c>
      <c r="R84" s="149" t="e">
        <v>#REF!</v>
      </c>
    </row>
    <row r="85" spans="13:18" x14ac:dyDescent="0.5">
      <c r="M85" s="13">
        <f>+N85+INPUTS!$E$17</f>
        <v>2.14</v>
      </c>
      <c r="N85" s="137">
        <v>-0.25</v>
      </c>
      <c r="O85" s="150" t="e">
        <v>#REF!</v>
      </c>
      <c r="P85" s="151" t="e">
        <v>#REF!</v>
      </c>
      <c r="Q85" s="151" t="e">
        <v>#REF!</v>
      </c>
      <c r="R85" s="151" t="e">
        <v>#REF!</v>
      </c>
    </row>
    <row r="86" spans="13:18" x14ac:dyDescent="0.5">
      <c r="M86" s="13">
        <f>+N86+INPUTS!$E$17</f>
        <v>2.39</v>
      </c>
      <c r="N86" s="137">
        <v>0</v>
      </c>
      <c r="O86" s="150" t="e">
        <v>#REF!</v>
      </c>
      <c r="P86" s="151" t="e">
        <v>#REF!</v>
      </c>
      <c r="Q86" s="151" t="e">
        <v>#REF!</v>
      </c>
      <c r="R86" s="151" t="e">
        <v>#REF!</v>
      </c>
    </row>
    <row r="87" spans="13:18" x14ac:dyDescent="0.5">
      <c r="M87" s="13">
        <f>+N87+INPUTS!$E$17</f>
        <v>2.64</v>
      </c>
      <c r="N87" s="137">
        <v>0.25</v>
      </c>
      <c r="O87" s="150" t="e">
        <v>#REF!</v>
      </c>
      <c r="P87" s="151" t="e">
        <v>#REF!</v>
      </c>
      <c r="Q87" s="151" t="e">
        <v>#REF!</v>
      </c>
      <c r="R87" s="151" t="e">
        <v>#REF!</v>
      </c>
    </row>
    <row r="88" spans="13:18" x14ac:dyDescent="0.5">
      <c r="M88" s="13">
        <f>+N88+INPUTS!$E$17</f>
        <v>2.8534800750372566</v>
      </c>
      <c r="N88" s="137">
        <v>0.4634800750372563</v>
      </c>
      <c r="O88" s="150" t="e">
        <v>#REF!</v>
      </c>
      <c r="P88" s="151" t="e">
        <v>#REF!</v>
      </c>
      <c r="Q88" s="151" t="e">
        <v>#REF!</v>
      </c>
      <c r="R88" s="151" t="e">
        <v>#REF!</v>
      </c>
    </row>
    <row r="89" spans="13:18" x14ac:dyDescent="0.5">
      <c r="M89" s="13">
        <f>+N89+INPUTS!$E$17</f>
        <v>3.14</v>
      </c>
      <c r="N89" s="137">
        <v>0.75</v>
      </c>
      <c r="O89" s="150" t="e">
        <v>#REF!</v>
      </c>
      <c r="P89" s="151" t="e">
        <v>#REF!</v>
      </c>
      <c r="Q89" s="151" t="e">
        <v>#REF!</v>
      </c>
      <c r="R89" s="151" t="e">
        <v>#REF!</v>
      </c>
    </row>
  </sheetData>
  <conditionalFormatting sqref="I74:L79">
    <cfRule type="cellIs" dxfId="7" priority="4" operator="equal">
      <formula>$D$56</formula>
    </cfRule>
  </conditionalFormatting>
  <conditionalFormatting sqref="O74:R79">
    <cfRule type="cellIs" dxfId="6" priority="3" operator="equal">
      <formula>$D$56</formula>
    </cfRule>
  </conditionalFormatting>
  <conditionalFormatting sqref="O84:R89">
    <cfRule type="cellIs" dxfId="5" priority="1" operator="equal">
      <formula>#REF!/10^3</formula>
    </cfRule>
    <cfRule type="cellIs" dxfId="4" priority="2" operator="equal">
      <formula>$D$56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FEE1-AC50-4FAB-9661-A4E4220FA143}">
  <sheetPr>
    <tabColor rgb="FFC00000"/>
  </sheetPr>
  <dimension ref="C2:AC125"/>
  <sheetViews>
    <sheetView showGridLines="0" zoomScale="90" zoomScaleNormal="90" workbookViewId="0">
      <selection activeCell="H9" sqref="H9:V9"/>
    </sheetView>
  </sheetViews>
  <sheetFormatPr defaultColWidth="9" defaultRowHeight="14.35" x14ac:dyDescent="0.5"/>
  <cols>
    <col min="1" max="5" width="9" style="1"/>
    <col min="6" max="6" width="13" style="1" bestFit="1" customWidth="1"/>
    <col min="7" max="8" width="9" style="1"/>
    <col min="9" max="17" width="8.87890625" style="1" bestFit="1" customWidth="1"/>
    <col min="18" max="18" width="9.703125" style="1" bestFit="1" customWidth="1"/>
    <col min="19" max="21" width="8.87890625" style="1" bestFit="1" customWidth="1"/>
    <col min="22" max="16384" width="9" style="1"/>
  </cols>
  <sheetData>
    <row r="2" spans="3:29" x14ac:dyDescent="0.5">
      <c r="E2" s="1" t="s">
        <v>142</v>
      </c>
      <c r="F2" s="1" t="s">
        <v>143</v>
      </c>
      <c r="G2" s="1" t="s">
        <v>144</v>
      </c>
    </row>
    <row r="3" spans="3:29" x14ac:dyDescent="0.5">
      <c r="C3" s="1" t="s">
        <v>39</v>
      </c>
      <c r="E3" s="239">
        <v>300</v>
      </c>
      <c r="F3" s="239">
        <v>330</v>
      </c>
      <c r="G3" s="1">
        <v>405.4</v>
      </c>
      <c r="P3" s="36" t="s">
        <v>145</v>
      </c>
      <c r="Q3" s="36" t="s">
        <v>146</v>
      </c>
      <c r="R3" s="36" t="s">
        <v>147</v>
      </c>
      <c r="S3" s="36" t="s">
        <v>148</v>
      </c>
    </row>
    <row r="4" spans="3:29" x14ac:dyDescent="0.5">
      <c r="C4" s="1" t="s">
        <v>149</v>
      </c>
      <c r="E4" s="67">
        <v>2.29</v>
      </c>
      <c r="F4" s="13">
        <f>+F5/11.727</f>
        <v>2.5181205764475143</v>
      </c>
      <c r="G4" s="1">
        <v>2.82</v>
      </c>
      <c r="L4" s="3"/>
      <c r="M4" s="3"/>
      <c r="N4" s="167"/>
      <c r="O4" s="234" t="s">
        <v>150</v>
      </c>
      <c r="P4" s="163" t="e">
        <f>+Q5+1</f>
        <v>#REF!</v>
      </c>
      <c r="Q4" s="162"/>
      <c r="R4" s="235">
        <v>0.9</v>
      </c>
      <c r="S4" s="168">
        <f>1-R4</f>
        <v>9.9999999999999978E-2</v>
      </c>
    </row>
    <row r="5" spans="3:29" x14ac:dyDescent="0.5">
      <c r="C5" s="1" t="s">
        <v>151</v>
      </c>
      <c r="E5" s="60">
        <f>E4*11.727</f>
        <v>26.85483</v>
      </c>
      <c r="F5" s="13">
        <v>29.53</v>
      </c>
      <c r="G5" s="60">
        <f>G4*11.727</f>
        <v>33.070140000000002</v>
      </c>
      <c r="M5" s="166"/>
      <c r="N5" s="166"/>
      <c r="O5" s="233" t="s">
        <v>152</v>
      </c>
      <c r="P5" s="101">
        <f>Q6+1</f>
        <v>5899.75</v>
      </c>
      <c r="Q5" s="101" t="e">
        <f>+Model!#REF!</f>
        <v>#REF!</v>
      </c>
      <c r="R5" s="236">
        <v>0.7</v>
      </c>
      <c r="S5" s="58">
        <f>1-R5</f>
        <v>0.30000000000000004</v>
      </c>
    </row>
    <row r="6" spans="3:29" x14ac:dyDescent="0.5">
      <c r="C6" s="1" t="s">
        <v>153</v>
      </c>
      <c r="E6" s="60">
        <v>3.3</v>
      </c>
      <c r="F6" s="13">
        <v>3.3</v>
      </c>
      <c r="G6" s="1">
        <v>5.13</v>
      </c>
      <c r="L6" s="165"/>
      <c r="M6" s="165"/>
      <c r="N6" s="165"/>
      <c r="O6" s="232" t="s">
        <v>154</v>
      </c>
      <c r="P6" s="101">
        <f>Q7+1</f>
        <v>4898.75</v>
      </c>
      <c r="Q6" s="101">
        <f>+P6+INPUTS!$E$26</f>
        <v>5898.75</v>
      </c>
      <c r="R6" s="236">
        <v>1</v>
      </c>
      <c r="S6" s="58">
        <f>1-R6</f>
        <v>0</v>
      </c>
    </row>
    <row r="7" spans="3:29" x14ac:dyDescent="0.5">
      <c r="C7" s="1" t="s">
        <v>17</v>
      </c>
      <c r="E7" s="154">
        <f>-20%*E5</f>
        <v>-5.3709660000000001</v>
      </c>
      <c r="F7" s="154">
        <f>-20%*F5</f>
        <v>-5.9060000000000006</v>
      </c>
      <c r="G7" s="154">
        <f>-20%*G5</f>
        <v>-6.6140280000000011</v>
      </c>
      <c r="K7" s="164"/>
      <c r="L7" s="164"/>
      <c r="M7" s="164"/>
      <c r="N7" s="164"/>
      <c r="O7" s="231" t="s">
        <v>155</v>
      </c>
      <c r="P7" s="101">
        <v>0</v>
      </c>
      <c r="Q7" s="101">
        <f>-SUM(Model!H42:H44)</f>
        <v>4897.75</v>
      </c>
      <c r="R7" s="236">
        <v>0</v>
      </c>
      <c r="S7" s="58">
        <f>1-R7</f>
        <v>1</v>
      </c>
    </row>
    <row r="8" spans="3:29" x14ac:dyDescent="0.5">
      <c r="C8" s="1" t="s">
        <v>97</v>
      </c>
      <c r="E8" s="17">
        <f>SUM(E5:E7)*E3</f>
        <v>7435.1592000000001</v>
      </c>
      <c r="F8" s="17">
        <f>SUM(F5:F7)*F3</f>
        <v>8884.92</v>
      </c>
      <c r="G8" s="17">
        <f>SUM(G5:G7)*G3</f>
        <v>12805.0098048</v>
      </c>
    </row>
    <row r="9" spans="3:29" ht="18.350000000000001" x14ac:dyDescent="0.5">
      <c r="H9" s="238" t="s">
        <v>156</v>
      </c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Z9" s="147" t="s">
        <v>157</v>
      </c>
      <c r="AA9" s="147"/>
      <c r="AB9" s="147"/>
      <c r="AC9" s="147"/>
    </row>
    <row r="10" spans="3:29" x14ac:dyDescent="0.5">
      <c r="Z10" s="202">
        <f>+Model!O90</f>
        <v>7294.5000000000027</v>
      </c>
      <c r="AA10" s="202">
        <f>+Model!P90</f>
        <v>8105.0000000000027</v>
      </c>
      <c r="AB10" s="202">
        <f>+Model!Q90</f>
        <v>8915.5000000000036</v>
      </c>
      <c r="AC10" s="202">
        <f>+Model!R90</f>
        <v>9939.5155185465574</v>
      </c>
    </row>
    <row r="11" spans="3:29" x14ac:dyDescent="0.5">
      <c r="I11" s="170" t="s">
        <v>158</v>
      </c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Y11" s="201">
        <f>+Model!M92</f>
        <v>0</v>
      </c>
      <c r="Z11" s="203">
        <f>+Model!O92</f>
        <v>81.415721799309921</v>
      </c>
      <c r="AA11" s="204">
        <f>+Model!P92</f>
        <v>98.148792019067542</v>
      </c>
      <c r="AB11" s="204">
        <f>+Model!Q92</f>
        <v>114.88186223882512</v>
      </c>
      <c r="AC11" s="204">
        <f>+Model!R92</f>
        <v>136.02303876931373</v>
      </c>
    </row>
    <row r="12" spans="3:29" x14ac:dyDescent="0.5">
      <c r="D12" s="17"/>
      <c r="E12" s="17"/>
      <c r="H12" s="155">
        <f>MAX(2000,E8)</f>
        <v>7435.1592000000001</v>
      </c>
      <c r="I12" s="157">
        <v>175</v>
      </c>
      <c r="J12" s="157">
        <f>I12+25</f>
        <v>200</v>
      </c>
      <c r="K12" s="157">
        <f t="shared" ref="K12:V12" si="0">J12+25</f>
        <v>225</v>
      </c>
      <c r="L12" s="157">
        <f t="shared" si="0"/>
        <v>250</v>
      </c>
      <c r="M12" s="157">
        <f t="shared" si="0"/>
        <v>275</v>
      </c>
      <c r="N12" s="157">
        <f t="shared" si="0"/>
        <v>300</v>
      </c>
      <c r="O12" s="157">
        <f t="shared" si="0"/>
        <v>325</v>
      </c>
      <c r="P12" s="157">
        <f t="shared" si="0"/>
        <v>350</v>
      </c>
      <c r="Q12" s="157">
        <f t="shared" si="0"/>
        <v>375</v>
      </c>
      <c r="R12" s="157">
        <f t="shared" si="0"/>
        <v>400</v>
      </c>
      <c r="S12" s="157">
        <f t="shared" si="0"/>
        <v>425</v>
      </c>
      <c r="T12" s="157">
        <f t="shared" si="0"/>
        <v>450</v>
      </c>
      <c r="U12" s="157">
        <f t="shared" si="0"/>
        <v>475</v>
      </c>
      <c r="V12" s="157">
        <f t="shared" si="0"/>
        <v>500</v>
      </c>
      <c r="Y12" s="201">
        <f>+Model!M93</f>
        <v>0</v>
      </c>
      <c r="Z12" s="205">
        <f>+Model!O93</f>
        <v>93.703340329200529</v>
      </c>
      <c r="AA12" s="206">
        <f>+Model!P93</f>
        <v>111.81387663298622</v>
      </c>
      <c r="AB12" s="206">
        <f>+Model!Q93</f>
        <v>129.92441293677203</v>
      </c>
      <c r="AC12" s="206">
        <f>+Model!R93</f>
        <v>152.80593079522646</v>
      </c>
    </row>
    <row r="13" spans="3:29" x14ac:dyDescent="0.5">
      <c r="D13" s="17"/>
      <c r="E13" s="17"/>
      <c r="G13" s="169" t="s">
        <v>159</v>
      </c>
      <c r="H13" s="156">
        <v>1.6</v>
      </c>
      <c r="I13" s="158">
        <f t="dataTable" ref="I13:V33" dt2D="1" dtr="1" r1="E3" r2="E4"/>
        <v>3204.3480000000004</v>
      </c>
      <c r="J13" s="159">
        <v>3662.1120000000005</v>
      </c>
      <c r="K13" s="159">
        <v>4119.8760000000002</v>
      </c>
      <c r="L13" s="159">
        <v>4577.6400000000003</v>
      </c>
      <c r="M13" s="159">
        <v>5035.4040000000005</v>
      </c>
      <c r="N13" s="159">
        <v>5493.1680000000006</v>
      </c>
      <c r="O13" s="159">
        <v>5950.9320000000007</v>
      </c>
      <c r="P13" s="159">
        <v>6408.6960000000008</v>
      </c>
      <c r="Q13" s="159">
        <v>6866.4600000000009</v>
      </c>
      <c r="R13" s="159">
        <v>7324.2240000000011</v>
      </c>
      <c r="S13" s="159">
        <v>7781.9880000000012</v>
      </c>
      <c r="T13" s="159">
        <v>8239.7520000000004</v>
      </c>
      <c r="U13" s="159">
        <v>8697.5160000000014</v>
      </c>
      <c r="V13" s="159">
        <v>9155.2800000000007</v>
      </c>
      <c r="Y13" s="201">
        <f>+Model!M94</f>
        <v>0</v>
      </c>
      <c r="Z13" s="205">
        <f>+Model!O94</f>
        <v>105.82832058730318</v>
      </c>
      <c r="AA13" s="207">
        <f>+Model!P94</f>
        <v>125.28607691976697</v>
      </c>
      <c r="AB13" s="206">
        <f>+Model!Q94</f>
        <v>144.74383325223079</v>
      </c>
      <c r="AC13" s="206">
        <f>+Model!R94</f>
        <v>169.32747845956007</v>
      </c>
    </row>
    <row r="14" spans="3:29" x14ac:dyDescent="0.5">
      <c r="D14" s="17"/>
      <c r="E14" s="17"/>
      <c r="H14" s="156">
        <f>H13+0.1</f>
        <v>1.7000000000000002</v>
      </c>
      <c r="I14" s="160">
        <v>3368.5260000000003</v>
      </c>
      <c r="J14" s="161">
        <v>3849.7440000000006</v>
      </c>
      <c r="K14" s="161">
        <v>4330.9620000000004</v>
      </c>
      <c r="L14" s="161">
        <v>4812.18</v>
      </c>
      <c r="M14" s="161">
        <v>5293.398000000001</v>
      </c>
      <c r="N14" s="161">
        <v>5774.6160000000009</v>
      </c>
      <c r="O14" s="161">
        <v>6255.8340000000007</v>
      </c>
      <c r="P14" s="161">
        <v>6737.0520000000006</v>
      </c>
      <c r="Q14" s="161">
        <v>7218.27</v>
      </c>
      <c r="R14" s="161">
        <v>7699.4880000000012</v>
      </c>
      <c r="S14" s="161">
        <v>8180.706000000001</v>
      </c>
      <c r="T14" s="161">
        <v>8661.9240000000009</v>
      </c>
      <c r="U14" s="161">
        <v>9143.1420000000016</v>
      </c>
      <c r="V14" s="161">
        <v>9624.36</v>
      </c>
      <c r="Y14" s="201">
        <f>+Model!M95</f>
        <v>0</v>
      </c>
      <c r="Z14" s="205">
        <f>+Model!O95</f>
        <v>117.95330084540585</v>
      </c>
      <c r="AA14" s="206">
        <f>+Model!P95</f>
        <v>138.75827720654772</v>
      </c>
      <c r="AB14" s="206">
        <f>+Model!Q95</f>
        <v>159.5632535676896</v>
      </c>
      <c r="AC14" s="206">
        <f>+Model!R95</f>
        <v>185.84902612389376</v>
      </c>
    </row>
    <row r="15" spans="3:29" x14ac:dyDescent="0.5">
      <c r="H15" s="156">
        <f t="shared" ref="H15:H33" si="1">H14+0.1</f>
        <v>1.8000000000000003</v>
      </c>
      <c r="I15" s="160">
        <v>3532.7040000000002</v>
      </c>
      <c r="J15" s="161">
        <v>4037.3760000000002</v>
      </c>
      <c r="K15" s="161">
        <v>4542.0480000000007</v>
      </c>
      <c r="L15" s="161">
        <v>5046.72</v>
      </c>
      <c r="M15" s="161">
        <v>5551.3920000000007</v>
      </c>
      <c r="N15" s="161">
        <v>6056.0640000000003</v>
      </c>
      <c r="O15" s="161">
        <v>6560.7360000000008</v>
      </c>
      <c r="P15" s="161">
        <v>7065.4080000000004</v>
      </c>
      <c r="Q15" s="161">
        <v>7570.0800000000008</v>
      </c>
      <c r="R15" s="161">
        <v>8074.7520000000004</v>
      </c>
      <c r="S15" s="161">
        <v>8579.4240000000009</v>
      </c>
      <c r="T15" s="161">
        <v>9084.0960000000014</v>
      </c>
      <c r="U15" s="161">
        <v>9588.7680000000018</v>
      </c>
      <c r="V15" s="161">
        <v>10093.44</v>
      </c>
      <c r="Y15" s="201">
        <f>+Model!M96</f>
        <v>0</v>
      </c>
      <c r="Z15" s="205">
        <f>+Model!O96</f>
        <v>128.64039623771257</v>
      </c>
      <c r="AA15" s="206">
        <f>+Model!P96</f>
        <v>150.63282764244406</v>
      </c>
      <c r="AB15" s="206">
        <f>+Model!Q96</f>
        <v>172.62525904717558</v>
      </c>
      <c r="AC15" s="206">
        <f>+Model!R96</f>
        <v>200.41130599229052</v>
      </c>
    </row>
    <row r="16" spans="3:29" x14ac:dyDescent="0.5">
      <c r="H16" s="156">
        <f t="shared" si="1"/>
        <v>1.9000000000000004</v>
      </c>
      <c r="I16" s="160">
        <v>3696.882000000001</v>
      </c>
      <c r="J16" s="161">
        <v>4225.0080000000007</v>
      </c>
      <c r="K16" s="161">
        <v>4753.1340000000009</v>
      </c>
      <c r="L16" s="161">
        <v>5281.2600000000011</v>
      </c>
      <c r="M16" s="161">
        <v>5809.3860000000013</v>
      </c>
      <c r="N16" s="161">
        <v>6337.5120000000015</v>
      </c>
      <c r="O16" s="161">
        <v>6865.6380000000017</v>
      </c>
      <c r="P16" s="161">
        <v>7393.7640000000019</v>
      </c>
      <c r="Q16" s="161">
        <v>7921.8900000000021</v>
      </c>
      <c r="R16" s="161">
        <v>8450.0160000000014</v>
      </c>
      <c r="S16" s="161">
        <v>8978.1420000000016</v>
      </c>
      <c r="T16" s="161">
        <v>9506.2680000000018</v>
      </c>
      <c r="U16" s="161">
        <v>10034.394000000002</v>
      </c>
      <c r="V16" s="161">
        <v>10562.520000000002</v>
      </c>
      <c r="Y16" s="201">
        <f>+Model!M97</f>
        <v>0</v>
      </c>
      <c r="Z16" s="205">
        <f>+Model!O97</f>
        <v>142.20326136161114</v>
      </c>
      <c r="AA16" s="206">
        <f>+Model!P97</f>
        <v>165.70267778010913</v>
      </c>
      <c r="AB16" s="206">
        <f>+Model!Q97</f>
        <v>189.20209419860717</v>
      </c>
      <c r="AC16" s="206">
        <f>+Model!R97</f>
        <v>218.89212145256113</v>
      </c>
    </row>
    <row r="17" spans="5:27" x14ac:dyDescent="0.5">
      <c r="H17" s="156">
        <f t="shared" si="1"/>
        <v>2.0000000000000004</v>
      </c>
      <c r="I17" s="160">
        <v>3861.0600000000004</v>
      </c>
      <c r="J17" s="161">
        <v>4412.6400000000003</v>
      </c>
      <c r="K17" s="161">
        <v>4964.22</v>
      </c>
      <c r="L17" s="161">
        <v>5515.8</v>
      </c>
      <c r="M17" s="161">
        <v>6067.38</v>
      </c>
      <c r="N17" s="161">
        <v>6618.9600000000009</v>
      </c>
      <c r="O17" s="161">
        <v>7170.5400000000009</v>
      </c>
      <c r="P17" s="161">
        <v>7722.1200000000008</v>
      </c>
      <c r="Q17" s="161">
        <v>8273.7000000000007</v>
      </c>
      <c r="R17" s="161">
        <v>8825.2800000000007</v>
      </c>
      <c r="S17" s="161">
        <v>9376.86</v>
      </c>
      <c r="T17" s="161">
        <v>9928.44</v>
      </c>
      <c r="U17" s="161">
        <v>10480.02</v>
      </c>
      <c r="V17" s="161">
        <v>11031.6</v>
      </c>
    </row>
    <row r="18" spans="5:27" x14ac:dyDescent="0.5">
      <c r="H18" s="156">
        <f t="shared" si="1"/>
        <v>2.1000000000000005</v>
      </c>
      <c r="I18" s="160">
        <v>4025.2380000000007</v>
      </c>
      <c r="J18" s="161">
        <v>4600.2720000000008</v>
      </c>
      <c r="K18" s="161">
        <v>5175.3060000000014</v>
      </c>
      <c r="L18" s="161">
        <v>5750.3400000000011</v>
      </c>
      <c r="M18" s="161">
        <v>6325.3740000000016</v>
      </c>
      <c r="N18" s="161">
        <v>6900.4080000000013</v>
      </c>
      <c r="O18" s="161">
        <v>7475.4420000000018</v>
      </c>
      <c r="P18" s="161">
        <v>8050.4760000000015</v>
      </c>
      <c r="Q18" s="161">
        <v>8625.510000000002</v>
      </c>
      <c r="R18" s="161">
        <v>9200.5440000000017</v>
      </c>
      <c r="S18" s="161">
        <v>9775.5780000000032</v>
      </c>
      <c r="T18" s="161">
        <v>10350.612000000003</v>
      </c>
      <c r="U18" s="161">
        <v>10925.646000000002</v>
      </c>
      <c r="V18" s="161">
        <v>11500.680000000002</v>
      </c>
    </row>
    <row r="19" spans="5:27" x14ac:dyDescent="0.5">
      <c r="H19" s="156">
        <f t="shared" si="1"/>
        <v>2.2000000000000006</v>
      </c>
      <c r="I19" s="160">
        <v>4189.416000000002</v>
      </c>
      <c r="J19" s="161">
        <v>4787.9040000000014</v>
      </c>
      <c r="K19" s="161">
        <v>5386.3920000000016</v>
      </c>
      <c r="L19" s="161">
        <v>5984.8800000000019</v>
      </c>
      <c r="M19" s="161">
        <v>6583.3680000000022</v>
      </c>
      <c r="N19" s="161">
        <v>7181.8560000000025</v>
      </c>
      <c r="O19" s="161">
        <v>7780.3440000000028</v>
      </c>
      <c r="P19" s="161">
        <v>8378.832000000004</v>
      </c>
      <c r="Q19" s="161">
        <v>8977.3200000000033</v>
      </c>
      <c r="R19" s="161">
        <v>9575.8080000000027</v>
      </c>
      <c r="S19" s="161">
        <v>10174.296000000004</v>
      </c>
      <c r="T19" s="161">
        <v>10772.784000000003</v>
      </c>
      <c r="U19" s="161">
        <v>11371.272000000004</v>
      </c>
      <c r="V19" s="161">
        <v>11969.760000000004</v>
      </c>
      <c r="AA19" s="1">
        <f>+AA13/20</f>
        <v>6.2643038459883487</v>
      </c>
    </row>
    <row r="20" spans="5:27" x14ac:dyDescent="0.5">
      <c r="E20" s="164"/>
      <c r="H20" s="156">
        <f t="shared" si="1"/>
        <v>2.3000000000000007</v>
      </c>
      <c r="I20" s="160">
        <v>4353.594000000001</v>
      </c>
      <c r="J20" s="161">
        <v>4975.536000000001</v>
      </c>
      <c r="K20" s="161">
        <v>5597.478000000001</v>
      </c>
      <c r="L20" s="161">
        <v>6219.420000000001</v>
      </c>
      <c r="M20" s="161">
        <v>6841.362000000001</v>
      </c>
      <c r="N20" s="161">
        <v>7463.3040000000019</v>
      </c>
      <c r="O20" s="161">
        <v>8085.2460000000019</v>
      </c>
      <c r="P20" s="161">
        <v>8707.1880000000019</v>
      </c>
      <c r="Q20" s="161">
        <v>9329.130000000001</v>
      </c>
      <c r="R20" s="161">
        <v>9951.0720000000019</v>
      </c>
      <c r="S20" s="161">
        <v>10573.014000000003</v>
      </c>
      <c r="T20" s="161">
        <v>11194.956000000002</v>
      </c>
      <c r="U20" s="161">
        <v>11816.898000000003</v>
      </c>
      <c r="V20" s="161">
        <v>12438.840000000002</v>
      </c>
    </row>
    <row r="21" spans="5:27" x14ac:dyDescent="0.5">
      <c r="E21" s="165"/>
      <c r="H21" s="156">
        <f t="shared" si="1"/>
        <v>2.4000000000000008</v>
      </c>
      <c r="I21" s="160">
        <v>4517.7720000000018</v>
      </c>
      <c r="J21" s="161">
        <v>5163.1680000000015</v>
      </c>
      <c r="K21" s="161">
        <v>5808.5640000000021</v>
      </c>
      <c r="L21" s="161">
        <v>6453.9600000000019</v>
      </c>
      <c r="M21" s="161">
        <v>7099.3560000000025</v>
      </c>
      <c r="N21" s="161">
        <v>7744.7520000000022</v>
      </c>
      <c r="O21" s="240">
        <v>8390.1480000000029</v>
      </c>
      <c r="P21" s="241">
        <v>9035.5440000000035</v>
      </c>
      <c r="Q21" s="161">
        <v>9680.9400000000023</v>
      </c>
      <c r="R21" s="161">
        <v>10326.336000000003</v>
      </c>
      <c r="S21" s="161">
        <v>10971.732000000004</v>
      </c>
      <c r="T21" s="161">
        <v>11617.128000000004</v>
      </c>
      <c r="U21" s="161">
        <v>12262.524000000005</v>
      </c>
      <c r="V21" s="161">
        <v>12907.920000000004</v>
      </c>
    </row>
    <row r="22" spans="5:27" x14ac:dyDescent="0.5">
      <c r="E22" s="166"/>
      <c r="H22" s="156">
        <f t="shared" si="1"/>
        <v>2.5000000000000009</v>
      </c>
      <c r="I22" s="160">
        <v>4681.9500000000007</v>
      </c>
      <c r="J22" s="161">
        <v>5350.8000000000011</v>
      </c>
      <c r="K22" s="161">
        <v>6019.6500000000015</v>
      </c>
      <c r="L22" s="161">
        <v>6688.5000000000009</v>
      </c>
      <c r="M22" s="161">
        <v>7357.3500000000013</v>
      </c>
      <c r="N22" s="161">
        <v>8026.2000000000016</v>
      </c>
      <c r="O22" s="242">
        <v>8695.0500000000011</v>
      </c>
      <c r="P22" s="243">
        <v>9363.9000000000015</v>
      </c>
      <c r="Q22" s="161">
        <v>10032.750000000002</v>
      </c>
      <c r="R22" s="161">
        <v>10701.600000000002</v>
      </c>
      <c r="S22" s="161">
        <v>11370.450000000003</v>
      </c>
      <c r="T22" s="161">
        <v>12039.300000000003</v>
      </c>
      <c r="U22" s="161">
        <v>12708.150000000001</v>
      </c>
      <c r="V22" s="161">
        <v>13377.000000000002</v>
      </c>
    </row>
    <row r="23" spans="5:27" x14ac:dyDescent="0.5">
      <c r="E23" s="167"/>
      <c r="H23" s="156">
        <f t="shared" si="1"/>
        <v>2.600000000000001</v>
      </c>
      <c r="I23" s="160">
        <v>4846.1280000000015</v>
      </c>
      <c r="J23" s="161">
        <v>5538.4320000000016</v>
      </c>
      <c r="K23" s="161">
        <v>6230.7360000000017</v>
      </c>
      <c r="L23" s="161">
        <v>6923.0400000000018</v>
      </c>
      <c r="M23" s="161">
        <v>7615.3440000000019</v>
      </c>
      <c r="N23" s="161">
        <v>8307.6480000000029</v>
      </c>
      <c r="O23" s="161">
        <v>8999.952000000003</v>
      </c>
      <c r="P23" s="161">
        <v>9692.256000000003</v>
      </c>
      <c r="Q23" s="161">
        <v>10384.560000000003</v>
      </c>
      <c r="R23" s="161">
        <v>11076.864000000003</v>
      </c>
      <c r="S23" s="161">
        <v>11769.168000000003</v>
      </c>
      <c r="T23" s="161">
        <v>12461.472000000003</v>
      </c>
      <c r="U23" s="161">
        <v>13153.776000000003</v>
      </c>
      <c r="V23" s="161">
        <v>13846.080000000004</v>
      </c>
    </row>
    <row r="24" spans="5:27" x14ac:dyDescent="0.5">
      <c r="E24" s="55"/>
      <c r="H24" s="156">
        <f t="shared" si="1"/>
        <v>2.7000000000000011</v>
      </c>
      <c r="I24" s="160">
        <v>5010.3060000000014</v>
      </c>
      <c r="J24" s="161">
        <v>5726.0640000000012</v>
      </c>
      <c r="K24" s="161">
        <v>6441.8220000000019</v>
      </c>
      <c r="L24" s="161">
        <v>7157.5800000000017</v>
      </c>
      <c r="M24" s="161">
        <v>7873.3380000000025</v>
      </c>
      <c r="N24" s="161">
        <v>8589.0960000000032</v>
      </c>
      <c r="O24" s="161">
        <v>9304.854000000003</v>
      </c>
      <c r="P24" s="161">
        <v>10020.612000000003</v>
      </c>
      <c r="Q24" s="161">
        <v>10736.370000000003</v>
      </c>
      <c r="R24" s="161">
        <v>11452.128000000002</v>
      </c>
      <c r="S24" s="161">
        <v>12167.886000000004</v>
      </c>
      <c r="T24" s="161">
        <v>12883.644000000004</v>
      </c>
      <c r="U24" s="161">
        <v>13599.402000000004</v>
      </c>
      <c r="V24" s="161">
        <v>14315.160000000003</v>
      </c>
    </row>
    <row r="25" spans="5:27" x14ac:dyDescent="0.5">
      <c r="E25" s="55"/>
      <c r="H25" s="156">
        <f t="shared" si="1"/>
        <v>2.8000000000000012</v>
      </c>
      <c r="I25" s="160">
        <v>5174.4840000000013</v>
      </c>
      <c r="J25" s="161">
        <v>5913.6960000000017</v>
      </c>
      <c r="K25" s="161">
        <v>6652.9080000000022</v>
      </c>
      <c r="L25" s="161">
        <v>7392.1200000000017</v>
      </c>
      <c r="M25" s="161">
        <v>8131.3320000000022</v>
      </c>
      <c r="N25" s="161">
        <v>8870.5440000000017</v>
      </c>
      <c r="O25" s="161">
        <v>9609.756000000003</v>
      </c>
      <c r="P25" s="161">
        <v>10348.968000000003</v>
      </c>
      <c r="Q25" s="161">
        <v>11088.180000000004</v>
      </c>
      <c r="R25" s="161">
        <v>11827.392000000003</v>
      </c>
      <c r="S25" s="161">
        <v>12566.604000000003</v>
      </c>
      <c r="T25" s="161">
        <v>13305.816000000004</v>
      </c>
      <c r="U25" s="161">
        <v>14045.028000000004</v>
      </c>
      <c r="V25" s="161">
        <v>14784.240000000003</v>
      </c>
    </row>
    <row r="26" spans="5:27" x14ac:dyDescent="0.5">
      <c r="E26" s="55"/>
      <c r="H26" s="156">
        <f t="shared" si="1"/>
        <v>2.9000000000000012</v>
      </c>
      <c r="I26" s="160">
        <v>5338.6620000000012</v>
      </c>
      <c r="J26" s="161">
        <v>6101.3280000000013</v>
      </c>
      <c r="K26" s="161">
        <v>6863.9940000000015</v>
      </c>
      <c r="L26" s="161">
        <v>7626.6600000000017</v>
      </c>
      <c r="M26" s="161">
        <v>8389.3260000000028</v>
      </c>
      <c r="N26" s="161">
        <v>9151.992000000002</v>
      </c>
      <c r="O26" s="161">
        <v>9914.6580000000031</v>
      </c>
      <c r="P26" s="161">
        <v>10677.324000000002</v>
      </c>
      <c r="Q26" s="161">
        <v>11439.990000000003</v>
      </c>
      <c r="R26" s="161">
        <v>12202.656000000003</v>
      </c>
      <c r="S26" s="161">
        <v>12965.322000000004</v>
      </c>
      <c r="T26" s="161">
        <v>13727.988000000003</v>
      </c>
      <c r="U26" s="161">
        <v>14490.654000000004</v>
      </c>
      <c r="V26" s="161">
        <v>15253.320000000003</v>
      </c>
    </row>
    <row r="27" spans="5:27" x14ac:dyDescent="0.5">
      <c r="H27" s="156">
        <f t="shared" si="1"/>
        <v>3.0000000000000013</v>
      </c>
      <c r="I27" s="160">
        <v>5502.840000000002</v>
      </c>
      <c r="J27" s="161">
        <v>6288.9600000000019</v>
      </c>
      <c r="K27" s="161">
        <v>7075.0800000000027</v>
      </c>
      <c r="L27" s="161">
        <v>7861.2000000000025</v>
      </c>
      <c r="M27" s="161">
        <v>8647.3200000000033</v>
      </c>
      <c r="N27" s="161">
        <v>9433.4400000000041</v>
      </c>
      <c r="O27" s="161">
        <v>10219.560000000003</v>
      </c>
      <c r="P27" s="161">
        <v>11005.680000000004</v>
      </c>
      <c r="Q27" s="161">
        <v>11791.800000000005</v>
      </c>
      <c r="R27" s="161">
        <v>12577.920000000004</v>
      </c>
      <c r="S27" s="161">
        <v>13364.040000000005</v>
      </c>
      <c r="T27" s="161">
        <v>14150.160000000005</v>
      </c>
      <c r="U27" s="161">
        <v>14936.280000000006</v>
      </c>
      <c r="V27" s="161">
        <v>15722.400000000005</v>
      </c>
    </row>
    <row r="28" spans="5:27" x14ac:dyDescent="0.5">
      <c r="H28" s="156">
        <f t="shared" si="1"/>
        <v>3.1000000000000014</v>
      </c>
      <c r="I28" s="160">
        <v>5667.0180000000018</v>
      </c>
      <c r="J28" s="161">
        <v>6476.5920000000024</v>
      </c>
      <c r="K28" s="161">
        <v>7286.1660000000029</v>
      </c>
      <c r="L28" s="161">
        <v>8095.7400000000025</v>
      </c>
      <c r="M28" s="161">
        <v>8905.3140000000039</v>
      </c>
      <c r="N28" s="161">
        <v>9714.8880000000026</v>
      </c>
      <c r="O28" s="161">
        <v>10524.462000000003</v>
      </c>
      <c r="P28" s="161">
        <v>11334.036000000004</v>
      </c>
      <c r="Q28" s="161">
        <v>12143.610000000004</v>
      </c>
      <c r="R28" s="161">
        <v>12953.184000000005</v>
      </c>
      <c r="S28" s="161">
        <v>13762.758000000005</v>
      </c>
      <c r="T28" s="161">
        <v>14572.332000000006</v>
      </c>
      <c r="U28" s="161">
        <v>15381.906000000004</v>
      </c>
      <c r="V28" s="161">
        <v>16191.480000000005</v>
      </c>
    </row>
    <row r="29" spans="5:27" x14ac:dyDescent="0.5">
      <c r="H29" s="156">
        <f t="shared" si="1"/>
        <v>3.2000000000000015</v>
      </c>
      <c r="I29" s="160">
        <v>5831.1960000000017</v>
      </c>
      <c r="J29" s="161">
        <v>6664.224000000002</v>
      </c>
      <c r="K29" s="161">
        <v>7497.2520000000013</v>
      </c>
      <c r="L29" s="161">
        <v>8330.2800000000025</v>
      </c>
      <c r="M29" s="161">
        <v>9163.3080000000027</v>
      </c>
      <c r="N29" s="161">
        <v>9996.336000000003</v>
      </c>
      <c r="O29" s="161">
        <v>10829.364000000003</v>
      </c>
      <c r="P29" s="161">
        <v>11662.392000000003</v>
      </c>
      <c r="Q29" s="161">
        <v>12495.420000000004</v>
      </c>
      <c r="R29" s="161">
        <v>13328.448000000004</v>
      </c>
      <c r="S29" s="161">
        <v>14161.476000000002</v>
      </c>
      <c r="T29" s="161">
        <v>14994.504000000003</v>
      </c>
      <c r="U29" s="161">
        <v>15827.532000000003</v>
      </c>
      <c r="V29" s="161">
        <v>16660.560000000005</v>
      </c>
    </row>
    <row r="30" spans="5:27" x14ac:dyDescent="0.5">
      <c r="H30" s="156">
        <f t="shared" si="1"/>
        <v>3.3000000000000016</v>
      </c>
      <c r="I30" s="160">
        <v>5995.3740000000034</v>
      </c>
      <c r="J30" s="161">
        <v>6851.8560000000034</v>
      </c>
      <c r="K30" s="161">
        <v>7708.3380000000043</v>
      </c>
      <c r="L30" s="161">
        <v>8564.8200000000052</v>
      </c>
      <c r="M30" s="161">
        <v>9421.3020000000051</v>
      </c>
      <c r="N30" s="161">
        <v>10277.784000000005</v>
      </c>
      <c r="O30" s="161">
        <v>11134.266000000005</v>
      </c>
      <c r="P30" s="161">
        <v>11990.748000000007</v>
      </c>
      <c r="Q30" s="161">
        <v>12847.230000000007</v>
      </c>
      <c r="R30" s="161">
        <v>13703.712000000007</v>
      </c>
      <c r="S30" s="161">
        <v>14560.194000000009</v>
      </c>
      <c r="T30" s="161">
        <v>15416.676000000009</v>
      </c>
      <c r="U30" s="161">
        <v>16273.158000000009</v>
      </c>
      <c r="V30" s="161">
        <v>17129.64000000001</v>
      </c>
    </row>
    <row r="31" spans="5:27" x14ac:dyDescent="0.5">
      <c r="H31" s="156">
        <f t="shared" si="1"/>
        <v>3.4000000000000017</v>
      </c>
      <c r="I31" s="160">
        <v>6159.5520000000024</v>
      </c>
      <c r="J31" s="161">
        <v>7039.488000000003</v>
      </c>
      <c r="K31" s="161">
        <v>7919.4240000000036</v>
      </c>
      <c r="L31" s="161">
        <v>8799.3600000000042</v>
      </c>
      <c r="M31" s="161">
        <v>9679.2960000000039</v>
      </c>
      <c r="N31" s="161">
        <v>10559.232000000004</v>
      </c>
      <c r="O31" s="161">
        <v>11439.168000000005</v>
      </c>
      <c r="P31" s="161">
        <v>12319.104000000005</v>
      </c>
      <c r="Q31" s="161">
        <v>13199.040000000006</v>
      </c>
      <c r="R31" s="161">
        <v>14078.976000000006</v>
      </c>
      <c r="S31" s="161">
        <v>14958.912000000006</v>
      </c>
      <c r="T31" s="161">
        <v>15838.848000000007</v>
      </c>
      <c r="U31" s="161">
        <v>16718.784000000007</v>
      </c>
      <c r="V31" s="161">
        <v>17598.720000000008</v>
      </c>
    </row>
    <row r="32" spans="5:27" x14ac:dyDescent="0.5">
      <c r="H32" s="156">
        <f t="shared" si="1"/>
        <v>3.5000000000000018</v>
      </c>
      <c r="I32" s="160">
        <v>6323.7300000000023</v>
      </c>
      <c r="J32" s="161">
        <v>7227.1200000000026</v>
      </c>
      <c r="K32" s="161">
        <v>8130.510000000002</v>
      </c>
      <c r="L32" s="161">
        <v>9033.9000000000033</v>
      </c>
      <c r="M32" s="161">
        <v>9937.2900000000027</v>
      </c>
      <c r="N32" s="161">
        <v>10840.680000000004</v>
      </c>
      <c r="O32" s="161">
        <v>11744.070000000003</v>
      </c>
      <c r="P32" s="161">
        <v>12647.460000000005</v>
      </c>
      <c r="Q32" s="161">
        <v>13550.850000000004</v>
      </c>
      <c r="R32" s="161">
        <v>14454.240000000005</v>
      </c>
      <c r="S32" s="161">
        <v>15357.630000000005</v>
      </c>
      <c r="T32" s="161">
        <v>16261.020000000004</v>
      </c>
      <c r="U32" s="161">
        <v>17164.410000000003</v>
      </c>
      <c r="V32" s="161">
        <v>18067.800000000007</v>
      </c>
    </row>
    <row r="33" spans="5:28" x14ac:dyDescent="0.5">
      <c r="H33" s="156">
        <f t="shared" si="1"/>
        <v>3.6000000000000019</v>
      </c>
      <c r="I33" s="160">
        <v>6487.9080000000022</v>
      </c>
      <c r="J33" s="161">
        <v>7414.7520000000031</v>
      </c>
      <c r="K33" s="161">
        <v>8341.5960000000032</v>
      </c>
      <c r="L33" s="161">
        <v>9268.4400000000041</v>
      </c>
      <c r="M33" s="161">
        <v>10195.284000000003</v>
      </c>
      <c r="N33" s="161">
        <v>11122.128000000004</v>
      </c>
      <c r="O33" s="161">
        <v>12048.972000000005</v>
      </c>
      <c r="P33" s="161">
        <v>12975.816000000004</v>
      </c>
      <c r="Q33" s="161">
        <v>13902.660000000005</v>
      </c>
      <c r="R33" s="161">
        <v>14829.504000000006</v>
      </c>
      <c r="S33" s="161">
        <v>15756.348000000005</v>
      </c>
      <c r="T33" s="161">
        <v>16683.192000000006</v>
      </c>
      <c r="U33" s="161">
        <v>17610.036000000007</v>
      </c>
      <c r="V33" s="161">
        <v>18536.880000000008</v>
      </c>
    </row>
    <row r="42" spans="5:28" x14ac:dyDescent="0.5">
      <c r="E42" s="246" t="s">
        <v>160</v>
      </c>
      <c r="F42" s="246"/>
      <c r="G42" s="246"/>
      <c r="H42" s="247" cm="1">
        <f t="array" ref="H42:AA42">_xlfn.SEQUENCE(1,20,1,1)</f>
        <v>1</v>
      </c>
      <c r="I42" s="247">
        <v>2</v>
      </c>
      <c r="J42" s="247">
        <v>3</v>
      </c>
      <c r="K42" s="247">
        <v>4</v>
      </c>
      <c r="L42" s="247">
        <v>5</v>
      </c>
      <c r="M42" s="247">
        <v>6</v>
      </c>
      <c r="N42" s="247">
        <v>7</v>
      </c>
      <c r="O42" s="247">
        <v>8</v>
      </c>
      <c r="P42" s="247">
        <v>9</v>
      </c>
      <c r="Q42" s="247">
        <v>10</v>
      </c>
      <c r="R42" s="247">
        <v>11</v>
      </c>
      <c r="S42" s="247">
        <v>12</v>
      </c>
      <c r="T42" s="247">
        <v>13</v>
      </c>
      <c r="U42" s="247">
        <v>14</v>
      </c>
      <c r="V42" s="247">
        <v>15</v>
      </c>
      <c r="W42" s="247">
        <v>16</v>
      </c>
      <c r="X42" s="247">
        <v>17</v>
      </c>
      <c r="Y42" s="247">
        <v>18</v>
      </c>
      <c r="Z42" s="247">
        <v>19</v>
      </c>
      <c r="AA42" s="247">
        <v>20</v>
      </c>
      <c r="AB42" s="247" t="s">
        <v>37</v>
      </c>
    </row>
    <row r="43" spans="5:28" x14ac:dyDescent="0.5">
      <c r="F43" s="248"/>
      <c r="G43" s="248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</row>
    <row r="44" spans="5:28" x14ac:dyDescent="0.5">
      <c r="E44" s="1" t="s">
        <v>129</v>
      </c>
      <c r="F44" s="248"/>
      <c r="G44" s="248"/>
      <c r="H44" s="250">
        <f>+Model!H11</f>
        <v>950</v>
      </c>
      <c r="I44" s="250">
        <f>+Model!I11</f>
        <v>973.12300000000005</v>
      </c>
      <c r="J44" s="250">
        <f>+Model!J11</f>
        <v>996.80881382000007</v>
      </c>
      <c r="K44" s="250">
        <f>+Model!K11</f>
        <v>1021.0711403483789</v>
      </c>
      <c r="L44" s="250">
        <f>+Model!L11</f>
        <v>1045.9240119044584</v>
      </c>
      <c r="M44" s="250">
        <f>+Model!M11</f>
        <v>1071.3818023542131</v>
      </c>
      <c r="N44" s="250">
        <f>+Model!N11</f>
        <v>1097.4592354235147</v>
      </c>
      <c r="O44" s="250">
        <f>+Model!O11</f>
        <v>1124.1713932137229</v>
      </c>
      <c r="P44" s="250">
        <f>+Model!P11</f>
        <v>1151.5337249245449</v>
      </c>
      <c r="Q44" s="250">
        <f>+Model!Q11</f>
        <v>1179.5620557892084</v>
      </c>
      <c r="R44" s="250">
        <f>+Model!R11</f>
        <v>1208.2725962271179</v>
      </c>
      <c r="S44" s="250">
        <f>+Model!S11</f>
        <v>1237.681951219286</v>
      </c>
      <c r="T44" s="250">
        <f>+Model!T11</f>
        <v>1267.8071299119636</v>
      </c>
      <c r="U44" s="250">
        <f>+Model!U11</f>
        <v>1298.6655554540207</v>
      </c>
      <c r="V44" s="250">
        <f>+Model!V11</f>
        <v>1330.2750750737716</v>
      </c>
      <c r="W44" s="250">
        <f>+Model!W11</f>
        <v>1362.6539704010672</v>
      </c>
      <c r="X44" s="250">
        <f>+Model!X11</f>
        <v>1395.8209680406292</v>
      </c>
      <c r="Y44" s="250">
        <f>+Model!Y11</f>
        <v>1429.795250402738</v>
      </c>
      <c r="Z44" s="250">
        <f>+Model!Z11</f>
        <v>1464.5964667975406</v>
      </c>
      <c r="AA44" s="250">
        <f>+Model!AA11</f>
        <v>1500.2447447993927</v>
      </c>
      <c r="AB44" s="7">
        <f>AVERAGE(H44:AA44)</f>
        <v>1205.3424443052786</v>
      </c>
    </row>
    <row r="45" spans="5:28" x14ac:dyDescent="0.5">
      <c r="E45" s="1" t="s">
        <v>161</v>
      </c>
      <c r="F45" s="248"/>
      <c r="G45" s="248"/>
      <c r="H45" s="250">
        <f>+Model!H17/1000</f>
        <v>319.40093192511341</v>
      </c>
      <c r="I45" s="250">
        <f>+Model!I17/1000</f>
        <v>327.17515060817072</v>
      </c>
      <c r="J45" s="250">
        <f>+Model!J17/1000</f>
        <v>335.13859377397358</v>
      </c>
      <c r="K45" s="250">
        <f>+Model!K17/1000</f>
        <v>343.29586714643216</v>
      </c>
      <c r="L45" s="250">
        <f>+Model!L17/1000</f>
        <v>351.65168855277636</v>
      </c>
      <c r="M45" s="250">
        <f>+Model!M17/1000</f>
        <v>360.21089065215097</v>
      </c>
      <c r="N45" s="250">
        <f>+Model!N17/1000</f>
        <v>368.9784237306244</v>
      </c>
      <c r="O45" s="250">
        <f>+Model!O17/1000</f>
        <v>377.95935856422767</v>
      </c>
      <c r="P45" s="250">
        <f>+Model!P17/1000</f>
        <v>387.15888935168101</v>
      </c>
      <c r="Q45" s="250">
        <f>+Model!Q17/1000</f>
        <v>396.58233671850087</v>
      </c>
      <c r="R45" s="250">
        <f>+Model!R17/1000</f>
        <v>406.23515079422924</v>
      </c>
      <c r="S45" s="250">
        <f>+Model!S17/1000</f>
        <v>416.12291436456093</v>
      </c>
      <c r="T45" s="250">
        <f>+Model!T17/1000</f>
        <v>426.25134610019427</v>
      </c>
      <c r="U45" s="250">
        <f>+Model!U17/1000</f>
        <v>436.62630386427293</v>
      </c>
      <c r="V45" s="250">
        <f>+Model!V17/1000</f>
        <v>447.25378810032947</v>
      </c>
      <c r="W45" s="250">
        <f>+Model!W17/1000</f>
        <v>458.1399453026915</v>
      </c>
      <c r="X45" s="250">
        <f>+Model!X17/1000</f>
        <v>469.291071571359</v>
      </c>
      <c r="Y45" s="250">
        <f>+Model!Y17/1000</f>
        <v>480.7136162534058</v>
      </c>
      <c r="Z45" s="250">
        <f>+Model!Z17/1000</f>
        <v>492.41418567301372</v>
      </c>
      <c r="AA45" s="250">
        <f>+Model!AA17/1000</f>
        <v>504.39954695229488</v>
      </c>
      <c r="AB45" s="7">
        <f>SUM(H45:AA45)</f>
        <v>8105.0000000000036</v>
      </c>
    </row>
    <row r="46" spans="5:28" x14ac:dyDescent="0.5">
      <c r="E46" s="1" t="s">
        <v>162</v>
      </c>
      <c r="F46" s="248"/>
      <c r="G46" s="248"/>
      <c r="H46" s="251">
        <f>+Model!H20</f>
        <v>2.6619581040516365</v>
      </c>
      <c r="I46" s="251">
        <f>+Model!I20</f>
        <v>2.7118203928073998</v>
      </c>
      <c r="J46" s="251">
        <f>+Model!J20</f>
        <v>2.7914812580932673</v>
      </c>
      <c r="K46" s="251">
        <f>+Model!K20</f>
        <v>2.9160810589464075</v>
      </c>
      <c r="L46" s="251">
        <f>+Model!L20</f>
        <v>2.9781765172612142</v>
      </c>
      <c r="M46" s="251">
        <f>+Model!M20</f>
        <v>2.9101358522712708</v>
      </c>
      <c r="N46" s="251">
        <f>+Model!N20</f>
        <v>2.8799223864483365</v>
      </c>
      <c r="O46" s="251">
        <f>+Model!O20</f>
        <v>2.8742293511089954</v>
      </c>
      <c r="P46" s="251">
        <f>+Model!P20</f>
        <v>2.9338871538336271</v>
      </c>
      <c r="Q46" s="251">
        <f>+Model!Q20</f>
        <v>2.9947832201034275</v>
      </c>
      <c r="R46" s="251">
        <f>+Model!R20</f>
        <v>3.0569432514450559</v>
      </c>
      <c r="S46" s="251">
        <f>+Model!S20</f>
        <v>3.120393482848733</v>
      </c>
      <c r="T46" s="251">
        <f>+Model!T20</f>
        <v>3.1851606938408499</v>
      </c>
      <c r="U46" s="251">
        <f>+Model!U20</f>
        <v>3.2512722197864368</v>
      </c>
      <c r="V46" s="251">
        <f>+Model!V20</f>
        <v>3.3187559634261912</v>
      </c>
      <c r="W46" s="251">
        <f>+Model!W20</f>
        <v>3.387640406652991</v>
      </c>
      <c r="X46" s="251">
        <f>+Model!X20</f>
        <v>3.4579546225328461</v>
      </c>
      <c r="Y46" s="251">
        <f>+Model!Y20</f>
        <v>3.5297282875753377</v>
      </c>
      <c r="Z46" s="251">
        <f>+Model!Z20</f>
        <v>3.6029916942587552</v>
      </c>
      <c r="AA46" s="251">
        <f>+Model!AA20</f>
        <v>3.6777757638152244</v>
      </c>
      <c r="AB46" s="13">
        <f>AVERAGE(H46:AA46)</f>
        <v>3.1120545840554001</v>
      </c>
    </row>
    <row r="47" spans="5:28" x14ac:dyDescent="0.5">
      <c r="E47" s="248"/>
      <c r="F47" s="248"/>
      <c r="G47" s="248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</row>
    <row r="48" spans="5:28" x14ac:dyDescent="0.5">
      <c r="E48" s="1" t="s">
        <v>163</v>
      </c>
      <c r="H48" s="244">
        <f>+Model!H28/1000</f>
        <v>9.9706694816803498</v>
      </c>
      <c r="I48" s="244">
        <f>+Model!I28/1000</f>
        <v>10.404666358263972</v>
      </c>
      <c r="J48" s="244">
        <f>+Model!J28/1000</f>
        <v>10.970996703381591</v>
      </c>
      <c r="K48" s="244">
        <f>+Model!K28/1000</f>
        <v>11.739648458410038</v>
      </c>
      <c r="L48" s="244">
        <f>+Model!L28/1000</f>
        <v>12.281461954536436</v>
      </c>
      <c r="M48" s="244">
        <f>+Model!M28/1000</f>
        <v>12.292975829941239</v>
      </c>
      <c r="N48" s="244">
        <f>+Model!N28/1000</f>
        <v>12.461452893644164</v>
      </c>
      <c r="O48" s="244">
        <f>+Model!O28/1000</f>
        <v>12.739531249177711</v>
      </c>
      <c r="P48" s="244">
        <f>+Model!P28/1000</f>
        <v>13.320470529231239</v>
      </c>
      <c r="Q48" s="244">
        <f>+Model!Q28/1000</f>
        <v>13.927901399949132</v>
      </c>
      <c r="R48" s="244">
        <f>+Model!R28/1000</f>
        <v>14.563031912499595</v>
      </c>
      <c r="S48" s="244">
        <f>+Model!S28/1000</f>
        <v>15.227125206763482</v>
      </c>
      <c r="T48" s="244">
        <f>+Model!T28/1000</f>
        <v>15.921502023451533</v>
      </c>
      <c r="U48" s="244">
        <f>+Model!U28/1000</f>
        <v>16.647543330777637</v>
      </c>
      <c r="V48" s="244">
        <f>+Model!V28/1000</f>
        <v>17.406693070911611</v>
      </c>
      <c r="W48" s="244">
        <f>+Model!W28/1000</f>
        <v>18.200461031673957</v>
      </c>
      <c r="X48" s="244">
        <f>+Model!X28/1000</f>
        <v>19.030425849183654</v>
      </c>
      <c r="Y48" s="244">
        <f>+Model!Y28/1000</f>
        <v>19.898238147430533</v>
      </c>
      <c r="Z48" s="244">
        <f>+Model!Z28/1000</f>
        <v>20.805623821016273</v>
      </c>
      <c r="AA48" s="244">
        <f>+Model!AA28/1000</f>
        <v>21.754387467592831</v>
      </c>
      <c r="AB48" s="244">
        <f>SUM(H48:AA48)</f>
        <v>299.56480671951698</v>
      </c>
    </row>
    <row r="49" spans="5:28" x14ac:dyDescent="0.5">
      <c r="E49" s="1" t="s">
        <v>164</v>
      </c>
      <c r="H49" s="115">
        <f>+Model!H29/1000</f>
        <v>-1.9941338963360702</v>
      </c>
      <c r="I49" s="115">
        <f>+Model!I29/1000</f>
        <v>-2.0809332716527948</v>
      </c>
      <c r="J49" s="115">
        <f>+Model!J29/1000</f>
        <v>-2.1941993406763181</v>
      </c>
      <c r="K49" s="115">
        <f>+Model!K29/1000</f>
        <v>-2.3479296916820078</v>
      </c>
      <c r="L49" s="115">
        <f>+Model!L29/1000</f>
        <v>-2.4562923909072873</v>
      </c>
      <c r="M49" s="115">
        <f>+Model!M29/1000</f>
        <v>-2.4585951659882479</v>
      </c>
      <c r="N49" s="115">
        <f>+Model!N29/1000</f>
        <v>-2.492290578728833</v>
      </c>
      <c r="O49" s="115">
        <f>+Model!O29/1000</f>
        <v>-2.5479062498355423</v>
      </c>
      <c r="P49" s="115">
        <f>+Model!P29/1000</f>
        <v>-2.6640941058462482</v>
      </c>
      <c r="Q49" s="115">
        <f>+Model!Q29/1000</f>
        <v>-2.7855802799898264</v>
      </c>
      <c r="R49" s="115">
        <f>+Model!R29/1000</f>
        <v>-2.9126063824999191</v>
      </c>
      <c r="S49" s="115">
        <f>+Model!S29/1000</f>
        <v>-3.0454250413526966</v>
      </c>
      <c r="T49" s="115">
        <f>+Model!T29/1000</f>
        <v>-3.1843004046903065</v>
      </c>
      <c r="U49" s="115">
        <f>+Model!U29/1000</f>
        <v>-3.3295086661555273</v>
      </c>
      <c r="V49" s="115">
        <f>+Model!V29/1000</f>
        <v>-3.4813386141823228</v>
      </c>
      <c r="W49" s="115">
        <f>+Model!W29/1000</f>
        <v>-3.6400922063347916</v>
      </c>
      <c r="X49" s="115">
        <f>+Model!X29/1000</f>
        <v>-3.8060851698367313</v>
      </c>
      <c r="Y49" s="115">
        <f>+Model!Y29/1000</f>
        <v>-3.9796476294861067</v>
      </c>
      <c r="Z49" s="115">
        <f>+Model!Z29/1000</f>
        <v>-4.1611247642032545</v>
      </c>
      <c r="AA49" s="115">
        <f>+Model!AA29/1000</f>
        <v>-4.3508774935185661</v>
      </c>
      <c r="AB49" s="115">
        <f>SUM(H49:AA49)</f>
        <v>-59.912961343903405</v>
      </c>
    </row>
    <row r="50" spans="5:28" x14ac:dyDescent="0.5">
      <c r="E50" s="1" t="s">
        <v>165</v>
      </c>
      <c r="H50" s="115">
        <f>+Model!H30/1000</f>
        <v>1.0648827070383284</v>
      </c>
      <c r="I50" s="115">
        <f>+Model!I30/1000</f>
        <v>1.0695355673381102</v>
      </c>
      <c r="J50" s="115">
        <f>+Model!J30/1000</f>
        <v>1.12588972731882</v>
      </c>
      <c r="K50" s="115">
        <f>+Model!K30/1000</f>
        <v>1.1851300692013353</v>
      </c>
      <c r="L50" s="115">
        <f>+Model!L30/1000</f>
        <v>1.2474024907376751</v>
      </c>
      <c r="M50" s="115">
        <f>+Model!M30/1000</f>
        <v>1.312860219339492</v>
      </c>
      <c r="N50" s="115">
        <f>+Model!N30/1000</f>
        <v>1.3816641792128137</v>
      </c>
      <c r="O50" s="115">
        <f>+Model!O30/1000</f>
        <v>1.4539833768556616</v>
      </c>
      <c r="P50" s="115">
        <f>+Model!P30/1000</f>
        <v>1.529995305836364</v>
      </c>
      <c r="Q50" s="115">
        <f>+Model!Q30/1000</f>
        <v>1.609886371816218</v>
      </c>
      <c r="R50" s="115">
        <f>+Model!R30/1000</f>
        <v>1.69385233882833</v>
      </c>
      <c r="S50" s="115">
        <f>+Model!S30/1000</f>
        <v>1.7820987978749869</v>
      </c>
      <c r="T50" s="115">
        <f>+Model!T30/1000</f>
        <v>1.874841658959022</v>
      </c>
      <c r="U50" s="115">
        <f>+Model!U30/1000</f>
        <v>1.9723076677203486</v>
      </c>
      <c r="V50" s="115">
        <f>+Model!V30/1000</f>
        <v>2.0747349479073565</v>
      </c>
      <c r="W50" s="115">
        <f>+Model!W30/1000</f>
        <v>2.1823735709743057</v>
      </c>
      <c r="X50" s="115">
        <f>+Model!X30/1000</f>
        <v>2.2954861541603648</v>
      </c>
      <c r="Y50" s="115">
        <f>+Model!Y30/1000</f>
        <v>2.414348488473661</v>
      </c>
      <c r="Z50" s="115">
        <f>+Model!Z30/1000</f>
        <v>2.5392501980748263</v>
      </c>
      <c r="AA50" s="115">
        <f>+Model!AA30/1000</f>
        <v>2.670495432629199</v>
      </c>
      <c r="AB50" s="115">
        <f>SUM(H50:AA50)</f>
        <v>34.48101927029721</v>
      </c>
    </row>
    <row r="51" spans="5:28" x14ac:dyDescent="0.5">
      <c r="E51" s="3" t="str">
        <f>+Model!C41</f>
        <v>Offtake Revenue, net of brokerage</v>
      </c>
      <c r="F51" s="3"/>
      <c r="G51" s="3"/>
      <c r="H51" s="255">
        <f>+Model!H41/10^3</f>
        <v>9.041418292382609</v>
      </c>
      <c r="I51" s="255">
        <f>+Model!I41/10^3</f>
        <v>9.3932686539492884</v>
      </c>
      <c r="J51" s="255">
        <f>+Model!J41/10^3</f>
        <v>9.9026870900240915</v>
      </c>
      <c r="K51" s="255">
        <f>+Model!K41/10^3</f>
        <v>10.576848835929367</v>
      </c>
      <c r="L51" s="255">
        <f>+Model!L41/10^3</f>
        <v>11.072572054366825</v>
      </c>
      <c r="M51" s="255">
        <f>+Model!M41/10^3</f>
        <v>11.147240883292483</v>
      </c>
      <c r="N51" s="255">
        <f>+Model!N41/10^3</f>
        <v>11.350826494128144</v>
      </c>
      <c r="O51" s="255">
        <f>+Model!O41/10^3</f>
        <v>11.645608376197831</v>
      </c>
      <c r="P51" s="255">
        <f>+Model!P41/10^3</f>
        <v>12.186371729221355</v>
      </c>
      <c r="Q51" s="255">
        <f>+Model!Q41/10^3</f>
        <v>12.752207491775524</v>
      </c>
      <c r="R51" s="255">
        <f>+Model!R41/10^3</f>
        <v>13.344277868828007</v>
      </c>
      <c r="S51" s="255">
        <f>+Model!S41/10^3</f>
        <v>13.963798963285772</v>
      </c>
      <c r="T51" s="255">
        <f>+Model!T41/10^3</f>
        <v>14.612043277720248</v>
      </c>
      <c r="U51" s="255">
        <f>+Model!U41/10^3</f>
        <v>15.290342332342458</v>
      </c>
      <c r="V51" s="255">
        <f>+Model!V41/10^3</f>
        <v>16.000089404636647</v>
      </c>
      <c r="W51" s="255">
        <f>+Model!W41/10^3</f>
        <v>16.742742396313471</v>
      </c>
      <c r="X51" s="255">
        <f>+Model!X41/10^3</f>
        <v>17.519826833507288</v>
      </c>
      <c r="Y51" s="255">
        <f>+Model!Y41/10^3</f>
        <v>18.332939006418087</v>
      </c>
      <c r="Z51" s="255">
        <f>+Model!Z41/10^3</f>
        <v>19.183749254887847</v>
      </c>
      <c r="AA51" s="255">
        <f>+Model!AA41/10^3</f>
        <v>20.074005406703467</v>
      </c>
      <c r="AB51" s="255">
        <f>SUM(H51:AA51)</f>
        <v>274.13286464591084</v>
      </c>
    </row>
    <row r="52" spans="5:28" x14ac:dyDescent="0.5">
      <c r="E52" s="1" t="str">
        <f>+Model!C42</f>
        <v>(-) Capex Allowance</v>
      </c>
      <c r="H52" s="115">
        <f>+Model!H42/10^3</f>
        <v>-1.84175</v>
      </c>
      <c r="I52" s="115">
        <f>+Model!I42/10^3</f>
        <v>-1.84175</v>
      </c>
      <c r="J52" s="115">
        <f>+Model!J42/10^3</f>
        <v>-1.84175</v>
      </c>
      <c r="K52" s="115">
        <f>+Model!K42/10^3</f>
        <v>-1.84175</v>
      </c>
      <c r="L52" s="115">
        <f>+Model!L42/10^3</f>
        <v>-1.84175</v>
      </c>
      <c r="M52" s="115">
        <f>+Model!M42/10^3</f>
        <v>-1.84175</v>
      </c>
      <c r="N52" s="115">
        <f>+Model!N42/10^3</f>
        <v>-1.84175</v>
      </c>
      <c r="O52" s="115">
        <f>+Model!O42/10^3</f>
        <v>-1.84175</v>
      </c>
      <c r="P52" s="115">
        <f>+Model!P42/10^3</f>
        <v>-1.84175</v>
      </c>
      <c r="Q52" s="115">
        <f>+Model!Q42/10^3</f>
        <v>-1.84175</v>
      </c>
      <c r="R52" s="115">
        <f>+Model!R42/10^3</f>
        <v>-1.84175</v>
      </c>
      <c r="S52" s="115">
        <f>+Model!S42/10^3</f>
        <v>-1.84175</v>
      </c>
      <c r="T52" s="115">
        <f>+Model!T42/10^3</f>
        <v>-1.84175</v>
      </c>
      <c r="U52" s="115">
        <f>+Model!U42/10^3</f>
        <v>-1.84175</v>
      </c>
      <c r="V52" s="115">
        <f>+Model!V42/10^3</f>
        <v>-1.84175</v>
      </c>
      <c r="W52" s="115">
        <f>+Model!W42/10^3</f>
        <v>-1.84175</v>
      </c>
      <c r="X52" s="115">
        <f>+Model!X42/10^3</f>
        <v>-1.84175</v>
      </c>
      <c r="Y52" s="115">
        <f>+Model!Y42/10^3</f>
        <v>-1.84175</v>
      </c>
      <c r="Z52" s="115">
        <f>+Model!Z42/10^3</f>
        <v>-1.84175</v>
      </c>
      <c r="AA52" s="115">
        <f>+Model!AA42/10^3</f>
        <v>-1.84175</v>
      </c>
      <c r="AB52" s="115">
        <f t="shared" ref="AB52:AB53" si="2">SUM(H52:AA52)</f>
        <v>-36.835000000000001</v>
      </c>
    </row>
    <row r="53" spans="5:28" x14ac:dyDescent="0.5">
      <c r="E53" s="1" t="str">
        <f>+Model!C44</f>
        <v>(-) Opex and Maintenance Allowance</v>
      </c>
      <c r="H53" s="115">
        <f>+Model!H44/10^3</f>
        <v>-2.5955625000000002</v>
      </c>
      <c r="I53" s="115">
        <f>+Model!I44/10^3</f>
        <v>-2.5955625000000002</v>
      </c>
      <c r="J53" s="115">
        <f>+Model!J44/10^3</f>
        <v>-2.5955625000000002</v>
      </c>
      <c r="K53" s="115">
        <f>+Model!K44/10^3</f>
        <v>-2.5955625000000002</v>
      </c>
      <c r="L53" s="115">
        <f>+Model!L44/10^3</f>
        <v>-2.5955625000000002</v>
      </c>
      <c r="M53" s="115">
        <f>+Model!M44/10^3</f>
        <v>-2.5955625000000002</v>
      </c>
      <c r="N53" s="115">
        <f>+Model!N44/10^3</f>
        <v>-2.5955625000000002</v>
      </c>
      <c r="O53" s="115">
        <f>+Model!O44/10^3</f>
        <v>-2.5955625000000002</v>
      </c>
      <c r="P53" s="115">
        <f>+Model!P44/10^3</f>
        <v>-2.5955625000000002</v>
      </c>
      <c r="Q53" s="115">
        <f>+Model!Q44/10^3</f>
        <v>-2.5955625000000002</v>
      </c>
      <c r="R53" s="115">
        <f>+Model!R44/10^3</f>
        <v>-2.5955625000000002</v>
      </c>
      <c r="S53" s="115">
        <f>+Model!S44/10^3</f>
        <v>-2.5955625000000002</v>
      </c>
      <c r="T53" s="115">
        <f>+Model!T44/10^3</f>
        <v>-2.5955625000000002</v>
      </c>
      <c r="U53" s="115">
        <f>+Model!U44/10^3</f>
        <v>-2.5955625000000002</v>
      </c>
      <c r="V53" s="115">
        <f>+Model!V44/10^3</f>
        <v>-2.5955625000000002</v>
      </c>
      <c r="W53" s="115">
        <f>+Model!W44/10^3</f>
        <v>-2.5955625000000002</v>
      </c>
      <c r="X53" s="115">
        <f>+Model!X44/10^3</f>
        <v>-2.5955625000000002</v>
      </c>
      <c r="Y53" s="115">
        <f>+Model!Y44/10^3</f>
        <v>-2.5955625000000002</v>
      </c>
      <c r="Z53" s="115">
        <f>+Model!Z44/10^3</f>
        <v>-2.5955625000000002</v>
      </c>
      <c r="AA53" s="115">
        <f>+Model!AA44/10^3</f>
        <v>-2.5955625000000002</v>
      </c>
      <c r="AB53" s="115">
        <f t="shared" si="2"/>
        <v>-51.911250000000003</v>
      </c>
    </row>
    <row r="54" spans="5:28" x14ac:dyDescent="0.5">
      <c r="E54" s="22" t="s">
        <v>166</v>
      </c>
      <c r="F54" s="22"/>
      <c r="G54" s="22"/>
      <c r="H54" s="245">
        <f>SUM(H51:H53)</f>
        <v>4.6041057923826081</v>
      </c>
      <c r="I54" s="245">
        <f t="shared" ref="I54:AA54" si="3">SUM(I51:I53)</f>
        <v>4.9559561539492876</v>
      </c>
      <c r="J54" s="245">
        <f t="shared" si="3"/>
        <v>5.4653745900240924</v>
      </c>
      <c r="K54" s="245">
        <f t="shared" si="3"/>
        <v>6.1395363359293675</v>
      </c>
      <c r="L54" s="245">
        <f t="shared" si="3"/>
        <v>6.6352595543668258</v>
      </c>
      <c r="M54" s="245">
        <f t="shared" si="3"/>
        <v>6.7099283832924836</v>
      </c>
      <c r="N54" s="245">
        <f t="shared" si="3"/>
        <v>6.9135139941281452</v>
      </c>
      <c r="O54" s="245">
        <f t="shared" si="3"/>
        <v>7.2082958761978322</v>
      </c>
      <c r="P54" s="245">
        <f t="shared" si="3"/>
        <v>7.7490592292213556</v>
      </c>
      <c r="Q54" s="245">
        <f t="shared" si="3"/>
        <v>8.3148949917755246</v>
      </c>
      <c r="R54" s="245">
        <f t="shared" si="3"/>
        <v>8.9069653688280077</v>
      </c>
      <c r="S54" s="245">
        <f t="shared" si="3"/>
        <v>9.5264864632857726</v>
      </c>
      <c r="T54" s="245">
        <f t="shared" si="3"/>
        <v>10.174730777720249</v>
      </c>
      <c r="U54" s="245">
        <f t="shared" si="3"/>
        <v>10.853029832342459</v>
      </c>
      <c r="V54" s="245">
        <f t="shared" si="3"/>
        <v>11.562776904636648</v>
      </c>
      <c r="W54" s="245">
        <f t="shared" si="3"/>
        <v>12.305429896313472</v>
      </c>
      <c r="X54" s="245">
        <f t="shared" si="3"/>
        <v>13.082514333507289</v>
      </c>
      <c r="Y54" s="245">
        <f t="shared" si="3"/>
        <v>13.895626506418086</v>
      </c>
      <c r="Z54" s="245">
        <f t="shared" si="3"/>
        <v>14.746436754887846</v>
      </c>
      <c r="AA54" s="245">
        <f t="shared" si="3"/>
        <v>15.636692906703466</v>
      </c>
      <c r="AB54" s="245">
        <f>SUM(AB51:AB53)</f>
        <v>185.38661464591084</v>
      </c>
    </row>
    <row r="55" spans="5:28" x14ac:dyDescent="0.5">
      <c r="E55" s="1" t="s">
        <v>167</v>
      </c>
      <c r="H55" s="10">
        <f>+H56/H54</f>
        <v>0.7</v>
      </c>
      <c r="I55" s="10">
        <f t="shared" ref="I55:AA55" si="4">+I56/I54</f>
        <v>0.7</v>
      </c>
      <c r="J55" s="10">
        <f t="shared" si="4"/>
        <v>0.7</v>
      </c>
      <c r="K55" s="10">
        <f t="shared" si="4"/>
        <v>0.7</v>
      </c>
      <c r="L55" s="10">
        <f t="shared" si="4"/>
        <v>0.7</v>
      </c>
      <c r="M55" s="10">
        <f t="shared" si="4"/>
        <v>0.7</v>
      </c>
      <c r="N55" s="10">
        <f t="shared" si="4"/>
        <v>0.7</v>
      </c>
      <c r="O55" s="10">
        <f t="shared" si="4"/>
        <v>0.7</v>
      </c>
      <c r="P55" s="10">
        <f t="shared" si="4"/>
        <v>0.7</v>
      </c>
      <c r="Q55" s="10">
        <f t="shared" si="4"/>
        <v>0.7</v>
      </c>
      <c r="R55" s="10">
        <f t="shared" si="4"/>
        <v>0.7</v>
      </c>
      <c r="S55" s="10">
        <f t="shared" si="4"/>
        <v>0.7</v>
      </c>
      <c r="T55" s="10">
        <f t="shared" si="4"/>
        <v>0.7</v>
      </c>
      <c r="U55" s="10">
        <f t="shared" si="4"/>
        <v>0.7</v>
      </c>
      <c r="V55" s="10">
        <f t="shared" si="4"/>
        <v>0.7</v>
      </c>
      <c r="W55" s="10">
        <f t="shared" si="4"/>
        <v>0.7</v>
      </c>
      <c r="X55" s="10">
        <f t="shared" si="4"/>
        <v>0.7</v>
      </c>
      <c r="Y55" s="10">
        <f t="shared" si="4"/>
        <v>0.7</v>
      </c>
      <c r="Z55" s="10">
        <f t="shared" si="4"/>
        <v>0.7</v>
      </c>
      <c r="AA55" s="10">
        <f t="shared" si="4"/>
        <v>0.7</v>
      </c>
      <c r="AB55" s="253">
        <f>+AB56/AB54</f>
        <v>0.7</v>
      </c>
    </row>
    <row r="56" spans="5:28" x14ac:dyDescent="0.5">
      <c r="E56" s="23" t="s">
        <v>168</v>
      </c>
      <c r="F56" s="23"/>
      <c r="G56" s="23"/>
      <c r="H56" s="252">
        <f>MAX(2,70%*H54)</f>
        <v>3.2228740546678254</v>
      </c>
      <c r="I56" s="252">
        <f t="shared" ref="I56:AA56" si="5">MAX(2,70%*I54)</f>
        <v>3.4691693077645009</v>
      </c>
      <c r="J56" s="252">
        <f t="shared" si="5"/>
        <v>3.8257622130168643</v>
      </c>
      <c r="K56" s="252">
        <f t="shared" si="5"/>
        <v>4.2976754351505573</v>
      </c>
      <c r="L56" s="252">
        <f t="shared" si="5"/>
        <v>4.6446816880567781</v>
      </c>
      <c r="M56" s="252">
        <f t="shared" si="5"/>
        <v>4.6969498683047384</v>
      </c>
      <c r="N56" s="252">
        <f t="shared" si="5"/>
        <v>4.8394597958897014</v>
      </c>
      <c r="O56" s="252">
        <f t="shared" si="5"/>
        <v>5.0458071133384825</v>
      </c>
      <c r="P56" s="252">
        <f t="shared" si="5"/>
        <v>5.4243414604549489</v>
      </c>
      <c r="Q56" s="252">
        <f t="shared" si="5"/>
        <v>5.8204264942428665</v>
      </c>
      <c r="R56" s="252">
        <f t="shared" si="5"/>
        <v>6.234875758179605</v>
      </c>
      <c r="S56" s="252">
        <f t="shared" si="5"/>
        <v>6.6685405243000409</v>
      </c>
      <c r="T56" s="252">
        <f t="shared" si="5"/>
        <v>7.122311544404174</v>
      </c>
      <c r="U56" s="252">
        <f t="shared" si="5"/>
        <v>7.5971208826397207</v>
      </c>
      <c r="V56" s="252">
        <f t="shared" si="5"/>
        <v>8.0939438332456533</v>
      </c>
      <c r="W56" s="252">
        <f t="shared" si="5"/>
        <v>8.6138009274194296</v>
      </c>
      <c r="X56" s="252">
        <f t="shared" si="5"/>
        <v>9.1577600334551015</v>
      </c>
      <c r="Y56" s="252">
        <f t="shared" si="5"/>
        <v>9.7269385544926603</v>
      </c>
      <c r="Z56" s="252">
        <f t="shared" si="5"/>
        <v>10.322505728421492</v>
      </c>
      <c r="AA56" s="252">
        <f t="shared" si="5"/>
        <v>10.945685034692426</v>
      </c>
      <c r="AB56" s="252">
        <f>SUM(H56:AA56)</f>
        <v>129.77063025213758</v>
      </c>
    </row>
    <row r="57" spans="5:28" x14ac:dyDescent="0.5">
      <c r="E57" s="42" t="s">
        <v>169</v>
      </c>
      <c r="H57" s="115">
        <v>2</v>
      </c>
      <c r="I57" s="115">
        <v>2</v>
      </c>
      <c r="J57" s="115">
        <v>2</v>
      </c>
      <c r="K57" s="115">
        <v>2</v>
      </c>
      <c r="L57" s="115">
        <v>2</v>
      </c>
      <c r="M57" s="115">
        <v>2</v>
      </c>
      <c r="N57" s="115">
        <v>2</v>
      </c>
      <c r="O57" s="115">
        <v>2</v>
      </c>
      <c r="P57" s="115">
        <v>2</v>
      </c>
      <c r="Q57" s="115">
        <v>2</v>
      </c>
      <c r="R57" s="115">
        <v>2</v>
      </c>
      <c r="S57" s="115">
        <v>2</v>
      </c>
      <c r="T57" s="115">
        <v>2</v>
      </c>
      <c r="U57" s="115">
        <v>2</v>
      </c>
      <c r="V57" s="115">
        <v>2</v>
      </c>
      <c r="W57" s="115">
        <v>2</v>
      </c>
      <c r="X57" s="115">
        <v>2</v>
      </c>
      <c r="Y57" s="115">
        <v>2</v>
      </c>
      <c r="Z57" s="115">
        <v>2</v>
      </c>
      <c r="AA57" s="115">
        <v>2</v>
      </c>
      <c r="AB57" s="237">
        <f>SUM(H57:AA57)</f>
        <v>40</v>
      </c>
    </row>
    <row r="58" spans="5:28" x14ac:dyDescent="0.5">
      <c r="E58" s="42" t="s">
        <v>170</v>
      </c>
      <c r="H58" s="115">
        <f>H56-H57</f>
        <v>1.2228740546678254</v>
      </c>
      <c r="I58" s="115">
        <f t="shared" ref="I58:AA58" si="6">I56-I57</f>
        <v>1.4691693077645009</v>
      </c>
      <c r="J58" s="115">
        <f t="shared" si="6"/>
        <v>1.8257622130168643</v>
      </c>
      <c r="K58" s="115">
        <f t="shared" si="6"/>
        <v>2.2976754351505573</v>
      </c>
      <c r="L58" s="115">
        <f t="shared" si="6"/>
        <v>2.6446816880567781</v>
      </c>
      <c r="M58" s="115">
        <f t="shared" si="6"/>
        <v>2.6969498683047384</v>
      </c>
      <c r="N58" s="115">
        <f t="shared" si="6"/>
        <v>2.8394597958897014</v>
      </c>
      <c r="O58" s="115">
        <f t="shared" si="6"/>
        <v>3.0458071133384825</v>
      </c>
      <c r="P58" s="115">
        <f t="shared" si="6"/>
        <v>3.4243414604549489</v>
      </c>
      <c r="Q58" s="115">
        <f t="shared" si="6"/>
        <v>3.8204264942428665</v>
      </c>
      <c r="R58" s="115">
        <f t="shared" si="6"/>
        <v>4.234875758179605</v>
      </c>
      <c r="S58" s="115">
        <f t="shared" si="6"/>
        <v>4.6685405243000409</v>
      </c>
      <c r="T58" s="115">
        <f t="shared" si="6"/>
        <v>5.122311544404174</v>
      </c>
      <c r="U58" s="115">
        <f t="shared" si="6"/>
        <v>5.5971208826397207</v>
      </c>
      <c r="V58" s="115">
        <f t="shared" si="6"/>
        <v>6.0939438332456533</v>
      </c>
      <c r="W58" s="115">
        <f t="shared" si="6"/>
        <v>6.6138009274194296</v>
      </c>
      <c r="X58" s="115">
        <f t="shared" si="6"/>
        <v>7.1577600334551015</v>
      </c>
      <c r="Y58" s="115">
        <f t="shared" si="6"/>
        <v>7.7269385544926603</v>
      </c>
      <c r="Z58" s="115">
        <f t="shared" si="6"/>
        <v>8.3225057284214916</v>
      </c>
      <c r="AA58" s="115">
        <f t="shared" si="6"/>
        <v>8.9456850346924259</v>
      </c>
      <c r="AB58" s="237">
        <f>SUM(H58:AA58)</f>
        <v>89.770630252137579</v>
      </c>
    </row>
    <row r="61" spans="5:28" ht="15.7" x14ac:dyDescent="0.55000000000000004">
      <c r="E61" s="271" t="s">
        <v>160</v>
      </c>
      <c r="F61" s="271"/>
      <c r="G61" s="271"/>
      <c r="H61" s="272">
        <v>1</v>
      </c>
      <c r="I61" s="274">
        <v>5</v>
      </c>
      <c r="J61" s="273">
        <v>10</v>
      </c>
      <c r="K61" s="274">
        <v>15</v>
      </c>
      <c r="L61" s="273">
        <v>20</v>
      </c>
      <c r="M61" s="272" t="s">
        <v>37</v>
      </c>
    </row>
    <row r="62" spans="5:28" ht="5.0999999999999996" customHeight="1" x14ac:dyDescent="0.5">
      <c r="F62" s="248"/>
      <c r="G62" s="248"/>
      <c r="H62" s="260"/>
      <c r="I62" s="275"/>
      <c r="K62" s="275"/>
      <c r="M62" s="260"/>
    </row>
    <row r="63" spans="5:28" x14ac:dyDescent="0.5">
      <c r="E63" s="1" t="s">
        <v>129</v>
      </c>
      <c r="F63" s="248"/>
      <c r="G63" s="248"/>
      <c r="H63" s="261">
        <f>_xlfn.XLOOKUP(H$61,$H$42:$AB$42,$H44:$AB44)</f>
        <v>950</v>
      </c>
      <c r="I63" s="276">
        <f t="shared" ref="I63:M63" si="7">_xlfn.XLOOKUP(I$61,$H$42:$AB$42,$H44:$AB44)</f>
        <v>1045.9240119044584</v>
      </c>
      <c r="J63" s="250">
        <f t="shared" si="7"/>
        <v>1179.5620557892084</v>
      </c>
      <c r="K63" s="276">
        <f t="shared" si="7"/>
        <v>1330.2750750737716</v>
      </c>
      <c r="L63" s="250">
        <f t="shared" si="7"/>
        <v>1500.2447447993927</v>
      </c>
      <c r="M63" s="261">
        <f t="shared" si="7"/>
        <v>1205.3424443052786</v>
      </c>
    </row>
    <row r="64" spans="5:28" x14ac:dyDescent="0.5">
      <c r="E64" s="1" t="s">
        <v>161</v>
      </c>
      <c r="F64" s="248"/>
      <c r="G64" s="248"/>
      <c r="H64" s="261">
        <f t="shared" ref="H64:M64" si="8">_xlfn.XLOOKUP(H$61,$H$42:$AB$42,$H45:$AB45)</f>
        <v>319.40093192511341</v>
      </c>
      <c r="I64" s="276">
        <f t="shared" si="8"/>
        <v>351.65168855277636</v>
      </c>
      <c r="J64" s="250">
        <f t="shared" si="8"/>
        <v>396.58233671850087</v>
      </c>
      <c r="K64" s="276">
        <f t="shared" si="8"/>
        <v>447.25378810032947</v>
      </c>
      <c r="L64" s="250">
        <f t="shared" si="8"/>
        <v>504.39954695229488</v>
      </c>
      <c r="M64" s="261">
        <f t="shared" si="8"/>
        <v>8105.0000000000036</v>
      </c>
    </row>
    <row r="65" spans="5:28" x14ac:dyDescent="0.5">
      <c r="E65" s="1" t="s">
        <v>162</v>
      </c>
      <c r="F65" s="248"/>
      <c r="G65" s="248"/>
      <c r="H65" s="262">
        <f t="shared" ref="H65:M65" si="9">_xlfn.XLOOKUP(H$61,$H$42:$AB$42,$H46:$AB46)</f>
        <v>2.6619581040516365</v>
      </c>
      <c r="I65" s="277">
        <f t="shared" si="9"/>
        <v>2.9781765172612142</v>
      </c>
      <c r="J65" s="251">
        <f t="shared" si="9"/>
        <v>2.9947832201034275</v>
      </c>
      <c r="K65" s="277">
        <f t="shared" si="9"/>
        <v>3.3187559634261912</v>
      </c>
      <c r="L65" s="251">
        <f t="shared" si="9"/>
        <v>3.6777757638152244</v>
      </c>
      <c r="M65" s="262">
        <f t="shared" si="9"/>
        <v>3.1120545840554001</v>
      </c>
    </row>
    <row r="66" spans="5:28" x14ac:dyDescent="0.5">
      <c r="E66" s="248"/>
      <c r="F66" s="248"/>
      <c r="G66" s="248"/>
      <c r="H66" s="260"/>
      <c r="I66" s="275"/>
      <c r="K66" s="275"/>
      <c r="M66" s="260"/>
    </row>
    <row r="67" spans="5:28" x14ac:dyDescent="0.5">
      <c r="E67" s="1" t="s">
        <v>163</v>
      </c>
      <c r="H67" s="263">
        <f t="shared" ref="H67:H72" si="10">_xlfn.XLOOKUP(H$61,$H$42:$AB$42,$H48:$AB48)</f>
        <v>9.9706694816803498</v>
      </c>
      <c r="I67" s="278">
        <f t="shared" ref="I67:M67" si="11">_xlfn.XLOOKUP(I$61,$H$42:$AB$42,$H48:$AB48)</f>
        <v>12.281461954536436</v>
      </c>
      <c r="J67" s="244">
        <f t="shared" si="11"/>
        <v>13.927901399949132</v>
      </c>
      <c r="K67" s="278">
        <f t="shared" si="11"/>
        <v>17.406693070911611</v>
      </c>
      <c r="L67" s="244">
        <f t="shared" si="11"/>
        <v>21.754387467592831</v>
      </c>
      <c r="M67" s="263">
        <f t="shared" si="11"/>
        <v>299.56480671951698</v>
      </c>
    </row>
    <row r="68" spans="5:28" x14ac:dyDescent="0.5">
      <c r="E68" s="1" t="s">
        <v>164</v>
      </c>
      <c r="H68" s="264">
        <f t="shared" si="10"/>
        <v>-1.9941338963360702</v>
      </c>
      <c r="I68" s="279">
        <f t="shared" ref="I68:M69" si="12">_xlfn.XLOOKUP(I$61,$H$42:$AB$42,$H49:$AB49)</f>
        <v>-2.4562923909072873</v>
      </c>
      <c r="J68" s="115">
        <f t="shared" si="12"/>
        <v>-2.7855802799898264</v>
      </c>
      <c r="K68" s="279">
        <f t="shared" si="12"/>
        <v>-3.4813386141823228</v>
      </c>
      <c r="L68" s="115">
        <f t="shared" si="12"/>
        <v>-4.3508774935185661</v>
      </c>
      <c r="M68" s="264">
        <f t="shared" si="12"/>
        <v>-59.912961343903405</v>
      </c>
    </row>
    <row r="69" spans="5:28" x14ac:dyDescent="0.5">
      <c r="E69" s="1" t="s">
        <v>165</v>
      </c>
      <c r="H69" s="264">
        <f t="shared" si="10"/>
        <v>1.0648827070383284</v>
      </c>
      <c r="I69" s="279">
        <f t="shared" si="12"/>
        <v>1.2474024907376751</v>
      </c>
      <c r="J69" s="115">
        <f t="shared" si="12"/>
        <v>1.609886371816218</v>
      </c>
      <c r="K69" s="279">
        <f t="shared" si="12"/>
        <v>2.0747349479073565</v>
      </c>
      <c r="L69" s="115">
        <f t="shared" si="12"/>
        <v>2.670495432629199</v>
      </c>
      <c r="M69" s="264">
        <f t="shared" si="12"/>
        <v>34.48101927029721</v>
      </c>
    </row>
    <row r="70" spans="5:28" x14ac:dyDescent="0.5">
      <c r="E70" s="22" t="s">
        <v>100</v>
      </c>
      <c r="F70" s="3"/>
      <c r="G70" s="3"/>
      <c r="H70" s="265">
        <f t="shared" si="10"/>
        <v>9.041418292382609</v>
      </c>
      <c r="I70" s="280">
        <f t="shared" ref="I70:M70" si="13">_xlfn.XLOOKUP(I$61,$H$42:$AB$42,$H51:$AB51)</f>
        <v>11.072572054366825</v>
      </c>
      <c r="J70" s="255">
        <f t="shared" si="13"/>
        <v>12.752207491775524</v>
      </c>
      <c r="K70" s="280">
        <f t="shared" si="13"/>
        <v>16.000089404636647</v>
      </c>
      <c r="L70" s="255">
        <f t="shared" si="13"/>
        <v>20.074005406703467</v>
      </c>
      <c r="M70" s="265">
        <f t="shared" si="13"/>
        <v>274.13286464591084</v>
      </c>
    </row>
    <row r="71" spans="5:28" x14ac:dyDescent="0.5">
      <c r="E71" s="1" t="s">
        <v>103</v>
      </c>
      <c r="H71" s="264">
        <f t="shared" si="10"/>
        <v>-1.84175</v>
      </c>
      <c r="I71" s="279">
        <f t="shared" ref="I71:M72" si="14">_xlfn.XLOOKUP(I$61,$H$42:$AB$42,$H52:$AB52)</f>
        <v>-1.84175</v>
      </c>
      <c r="J71" s="115">
        <f t="shared" si="14"/>
        <v>-1.84175</v>
      </c>
      <c r="K71" s="279">
        <f t="shared" si="14"/>
        <v>-1.84175</v>
      </c>
      <c r="L71" s="115">
        <f t="shared" si="14"/>
        <v>-1.84175</v>
      </c>
      <c r="M71" s="264">
        <f t="shared" si="14"/>
        <v>-36.835000000000001</v>
      </c>
    </row>
    <row r="72" spans="5:28" x14ac:dyDescent="0.5">
      <c r="E72" s="1" t="s">
        <v>105</v>
      </c>
      <c r="H72" s="264">
        <f t="shared" si="10"/>
        <v>-2.5955625000000002</v>
      </c>
      <c r="I72" s="279">
        <f t="shared" si="14"/>
        <v>-2.5955625000000002</v>
      </c>
      <c r="J72" s="115">
        <f t="shared" si="14"/>
        <v>-2.5955625000000002</v>
      </c>
      <c r="K72" s="279">
        <f t="shared" si="14"/>
        <v>-2.5955625000000002</v>
      </c>
      <c r="L72" s="115">
        <f t="shared" si="14"/>
        <v>-2.5955625000000002</v>
      </c>
      <c r="M72" s="264">
        <f t="shared" si="14"/>
        <v>-51.911250000000003</v>
      </c>
    </row>
    <row r="73" spans="5:28" x14ac:dyDescent="0.5">
      <c r="E73" s="22" t="s">
        <v>166</v>
      </c>
      <c r="F73" s="22"/>
      <c r="G73" s="22"/>
      <c r="H73" s="266">
        <f>SUM(H70:H72)</f>
        <v>4.6041057923826081</v>
      </c>
      <c r="I73" s="281">
        <f t="shared" ref="I73:M73" si="15">SUM(I70:I72)</f>
        <v>6.6352595543668258</v>
      </c>
      <c r="J73" s="245">
        <f t="shared" si="15"/>
        <v>8.3148949917755246</v>
      </c>
      <c r="K73" s="281">
        <f t="shared" si="15"/>
        <v>11.562776904636648</v>
      </c>
      <c r="L73" s="245">
        <f t="shared" si="15"/>
        <v>15.636692906703466</v>
      </c>
      <c r="M73" s="266">
        <f t="shared" si="15"/>
        <v>185.38661464591084</v>
      </c>
    </row>
    <row r="74" spans="5:28" x14ac:dyDescent="0.5">
      <c r="E74" s="8" t="s">
        <v>167</v>
      </c>
      <c r="F74" s="8"/>
      <c r="G74" s="8"/>
      <c r="H74" s="270">
        <f t="shared" ref="H74:M74" si="16">_xlfn.XLOOKUP(H$61,$H$42:$AB$42,$H55:$AB55)</f>
        <v>0.7</v>
      </c>
      <c r="I74" s="282">
        <f t="shared" si="16"/>
        <v>0.7</v>
      </c>
      <c r="J74" s="254">
        <f t="shared" si="16"/>
        <v>0.7</v>
      </c>
      <c r="K74" s="282">
        <f t="shared" si="16"/>
        <v>0.7</v>
      </c>
      <c r="L74" s="254">
        <f t="shared" si="16"/>
        <v>0.7</v>
      </c>
      <c r="M74" s="267">
        <f t="shared" si="16"/>
        <v>0.7</v>
      </c>
    </row>
    <row r="75" spans="5:28" x14ac:dyDescent="0.5">
      <c r="E75" s="256" t="s">
        <v>171</v>
      </c>
      <c r="F75" s="256"/>
      <c r="G75" s="256"/>
      <c r="H75" s="268">
        <f>_xlfn.XLOOKUP(H$61,$H$42:$AB$42,$H56:$AB56)</f>
        <v>3.2228740546678254</v>
      </c>
      <c r="I75" s="283">
        <f t="shared" ref="I75:M75" si="17">_xlfn.XLOOKUP(I$61,$H$42:$AB$42,$H56:$AB56)</f>
        <v>4.6446816880567781</v>
      </c>
      <c r="J75" s="259">
        <f t="shared" si="17"/>
        <v>5.8204264942428665</v>
      </c>
      <c r="K75" s="283">
        <f t="shared" si="17"/>
        <v>8.0939438332456533</v>
      </c>
      <c r="L75" s="259">
        <f t="shared" si="17"/>
        <v>10.945685034692426</v>
      </c>
      <c r="M75" s="268">
        <f t="shared" si="17"/>
        <v>129.77063025213758</v>
      </c>
    </row>
    <row r="76" spans="5:28" x14ac:dyDescent="0.5">
      <c r="E76" s="257" t="s">
        <v>169</v>
      </c>
      <c r="F76" s="47"/>
      <c r="G76" s="47"/>
      <c r="H76" s="269">
        <f t="shared" ref="H76:M76" si="18">_xlfn.XLOOKUP(H$61,$H$42:$AB$42,$H57:$AB57)</f>
        <v>2</v>
      </c>
      <c r="I76" s="284">
        <f t="shared" si="18"/>
        <v>2</v>
      </c>
      <c r="J76" s="258">
        <f t="shared" si="18"/>
        <v>2</v>
      </c>
      <c r="K76" s="284">
        <f t="shared" si="18"/>
        <v>2</v>
      </c>
      <c r="L76" s="258">
        <f t="shared" si="18"/>
        <v>2</v>
      </c>
      <c r="M76" s="269">
        <f t="shared" si="18"/>
        <v>40</v>
      </c>
    </row>
    <row r="77" spans="5:28" x14ac:dyDescent="0.5">
      <c r="E77" s="257" t="s">
        <v>170</v>
      </c>
      <c r="F77" s="47"/>
      <c r="G77" s="47"/>
      <c r="H77" s="269">
        <f t="shared" ref="H77:M77" si="19">_xlfn.XLOOKUP(H$61,$H$42:$AB$42,$H58:$AB58)</f>
        <v>1.2228740546678254</v>
      </c>
      <c r="I77" s="284">
        <f t="shared" si="19"/>
        <v>2.6446816880567781</v>
      </c>
      <c r="J77" s="258">
        <f t="shared" si="19"/>
        <v>3.8204264942428665</v>
      </c>
      <c r="K77" s="284">
        <f t="shared" si="19"/>
        <v>6.0939438332456533</v>
      </c>
      <c r="L77" s="258">
        <f t="shared" si="19"/>
        <v>8.9456850346924259</v>
      </c>
      <c r="M77" s="269">
        <f t="shared" si="19"/>
        <v>89.770630252137579</v>
      </c>
    </row>
    <row r="80" spans="5:28" x14ac:dyDescent="0.5">
      <c r="E80" s="246" t="s">
        <v>160</v>
      </c>
      <c r="F80" s="246"/>
      <c r="G80" s="246"/>
      <c r="H80" s="247" cm="1">
        <f t="array" ref="H80:AA80">_xlfn.SEQUENCE(1,20,1,1)</f>
        <v>1</v>
      </c>
      <c r="I80" s="247">
        <v>2</v>
      </c>
      <c r="J80" s="247">
        <v>3</v>
      </c>
      <c r="K80" s="247">
        <v>4</v>
      </c>
      <c r="L80" s="247">
        <v>5</v>
      </c>
      <c r="M80" s="247">
        <v>6</v>
      </c>
      <c r="N80" s="247">
        <v>7</v>
      </c>
      <c r="O80" s="247">
        <v>8</v>
      </c>
      <c r="P80" s="247">
        <v>9</v>
      </c>
      <c r="Q80" s="247">
        <v>10</v>
      </c>
      <c r="R80" s="247">
        <v>11</v>
      </c>
      <c r="S80" s="247">
        <v>12</v>
      </c>
      <c r="T80" s="247">
        <v>13</v>
      </c>
      <c r="U80" s="247">
        <v>14</v>
      </c>
      <c r="V80" s="247">
        <v>15</v>
      </c>
      <c r="W80" s="247">
        <v>16</v>
      </c>
      <c r="X80" s="247">
        <v>17</v>
      </c>
      <c r="Y80" s="247">
        <v>18</v>
      </c>
      <c r="Z80" s="247">
        <v>19</v>
      </c>
      <c r="AA80" s="247">
        <v>20</v>
      </c>
      <c r="AB80" s="247" t="s">
        <v>37</v>
      </c>
    </row>
    <row r="81" spans="5:28" x14ac:dyDescent="0.5">
      <c r="F81" s="248"/>
      <c r="G81" s="248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</row>
    <row r="82" spans="5:28" x14ac:dyDescent="0.5">
      <c r="E82" s="1" t="s">
        <v>129</v>
      </c>
      <c r="F82" s="248"/>
      <c r="G82" s="248"/>
      <c r="H82" s="250">
        <f>+Model!H11</f>
        <v>950</v>
      </c>
      <c r="I82" s="250">
        <f>+Model!I11</f>
        <v>973.12300000000005</v>
      </c>
      <c r="J82" s="250">
        <f>+Model!J11</f>
        <v>996.80881382000007</v>
      </c>
      <c r="K82" s="250">
        <f>+Model!K11</f>
        <v>1021.0711403483789</v>
      </c>
      <c r="L82" s="250">
        <f>+Model!L11</f>
        <v>1045.9240119044584</v>
      </c>
      <c r="M82" s="250">
        <f>+Model!M11</f>
        <v>1071.3818023542131</v>
      </c>
      <c r="N82" s="250">
        <f>+Model!N11</f>
        <v>1097.4592354235147</v>
      </c>
      <c r="O82" s="250">
        <f>+Model!O11</f>
        <v>1124.1713932137229</v>
      </c>
      <c r="P82" s="250">
        <f>+Model!P11</f>
        <v>1151.5337249245449</v>
      </c>
      <c r="Q82" s="250">
        <f>+Model!Q11</f>
        <v>1179.5620557892084</v>
      </c>
      <c r="R82" s="250">
        <f>+Model!R11</f>
        <v>1208.2725962271179</v>
      </c>
      <c r="S82" s="250">
        <f>+Model!S11</f>
        <v>1237.681951219286</v>
      </c>
      <c r="T82" s="250">
        <f>+Model!T11</f>
        <v>1267.8071299119636</v>
      </c>
      <c r="U82" s="250">
        <f>+Model!U11</f>
        <v>1298.6655554540207</v>
      </c>
      <c r="V82" s="250">
        <f>+Model!V11</f>
        <v>1330.2750750737716</v>
      </c>
      <c r="W82" s="250">
        <f>+Model!W11</f>
        <v>1362.6539704010672</v>
      </c>
      <c r="X82" s="250">
        <f>+Model!X11</f>
        <v>1395.8209680406292</v>
      </c>
      <c r="Y82" s="250">
        <f>+Model!Y11</f>
        <v>1429.795250402738</v>
      </c>
      <c r="Z82" s="250">
        <f>+Model!Z11</f>
        <v>1464.5964667975406</v>
      </c>
      <c r="AA82" s="250">
        <f>+Model!AA11</f>
        <v>1500.2447447993927</v>
      </c>
      <c r="AB82" s="7">
        <f>AVERAGE(H82:AA82)</f>
        <v>1205.3424443052786</v>
      </c>
    </row>
    <row r="83" spans="5:28" x14ac:dyDescent="0.5">
      <c r="E83" s="1" t="s">
        <v>161</v>
      </c>
      <c r="F83" s="248"/>
      <c r="G83" s="248"/>
      <c r="H83" s="250">
        <f>+Model!H17/1000</f>
        <v>319.40093192511341</v>
      </c>
      <c r="I83" s="250">
        <f>+Model!I17/1000</f>
        <v>327.17515060817072</v>
      </c>
      <c r="J83" s="250">
        <f>+Model!J17/1000</f>
        <v>335.13859377397358</v>
      </c>
      <c r="K83" s="250">
        <f>+Model!K17/1000</f>
        <v>343.29586714643216</v>
      </c>
      <c r="L83" s="250">
        <f>+Model!L17/1000</f>
        <v>351.65168855277636</v>
      </c>
      <c r="M83" s="250">
        <f>+Model!M17/1000</f>
        <v>360.21089065215097</v>
      </c>
      <c r="N83" s="250">
        <f>+Model!N17/1000</f>
        <v>368.9784237306244</v>
      </c>
      <c r="O83" s="250">
        <f>+Model!O17/1000</f>
        <v>377.95935856422767</v>
      </c>
      <c r="P83" s="250">
        <f>+Model!P17/1000</f>
        <v>387.15888935168101</v>
      </c>
      <c r="Q83" s="250">
        <f>+Model!Q17/1000</f>
        <v>396.58233671850087</v>
      </c>
      <c r="R83" s="250">
        <f>+Model!R17/1000</f>
        <v>406.23515079422924</v>
      </c>
      <c r="S83" s="250">
        <f>+Model!S17/1000</f>
        <v>416.12291436456093</v>
      </c>
      <c r="T83" s="250">
        <f>+Model!T17/1000</f>
        <v>426.25134610019427</v>
      </c>
      <c r="U83" s="250">
        <f>+Model!U17/1000</f>
        <v>436.62630386427293</v>
      </c>
      <c r="V83" s="250">
        <f>+Model!V17/1000</f>
        <v>447.25378810032947</v>
      </c>
      <c r="W83" s="250">
        <f>+Model!W17/1000</f>
        <v>458.1399453026915</v>
      </c>
      <c r="X83" s="250">
        <f>+Model!X17/1000</f>
        <v>469.291071571359</v>
      </c>
      <c r="Y83" s="250">
        <f>+Model!Y17/1000</f>
        <v>480.7136162534058</v>
      </c>
      <c r="Z83" s="250">
        <f>+Model!Z17/1000</f>
        <v>492.41418567301372</v>
      </c>
      <c r="AA83" s="250">
        <f>+Model!AA17/1000</f>
        <v>504.39954695229488</v>
      </c>
      <c r="AB83" s="7">
        <f>SUM(H83:AA83)</f>
        <v>8105.0000000000036</v>
      </c>
    </row>
    <row r="84" spans="5:28" x14ac:dyDescent="0.5">
      <c r="E84" s="1" t="s">
        <v>162</v>
      </c>
      <c r="F84" s="248"/>
      <c r="G84" s="248"/>
      <c r="H84" s="251">
        <f>+Model!H20</f>
        <v>2.6619581040516365</v>
      </c>
      <c r="I84" s="251">
        <f>+Model!I20</f>
        <v>2.7118203928073998</v>
      </c>
      <c r="J84" s="251">
        <f>+Model!J20</f>
        <v>2.7914812580932673</v>
      </c>
      <c r="K84" s="251">
        <f>+Model!K20</f>
        <v>2.9160810589464075</v>
      </c>
      <c r="L84" s="251">
        <f>+Model!L20</f>
        <v>2.9781765172612142</v>
      </c>
      <c r="M84" s="251">
        <f>+Model!M20</f>
        <v>2.9101358522712708</v>
      </c>
      <c r="N84" s="251">
        <f>+Model!N20</f>
        <v>2.8799223864483365</v>
      </c>
      <c r="O84" s="251">
        <f>+Model!O20</f>
        <v>2.8742293511089954</v>
      </c>
      <c r="P84" s="251">
        <f>+Model!P20</f>
        <v>2.9338871538336271</v>
      </c>
      <c r="Q84" s="251">
        <f>+Model!Q20</f>
        <v>2.9947832201034275</v>
      </c>
      <c r="R84" s="251">
        <f>+Model!R20</f>
        <v>3.0569432514450559</v>
      </c>
      <c r="S84" s="251">
        <f>+Model!S20</f>
        <v>3.120393482848733</v>
      </c>
      <c r="T84" s="251">
        <f>+Model!T20</f>
        <v>3.1851606938408499</v>
      </c>
      <c r="U84" s="251">
        <f>+Model!U20</f>
        <v>3.2512722197864368</v>
      </c>
      <c r="V84" s="251">
        <f>+Model!V20</f>
        <v>3.3187559634261912</v>
      </c>
      <c r="W84" s="251">
        <f>+Model!W20</f>
        <v>3.387640406652991</v>
      </c>
      <c r="X84" s="251">
        <f>+Model!X20</f>
        <v>3.4579546225328461</v>
      </c>
      <c r="Y84" s="251">
        <f>+Model!Y20</f>
        <v>3.5297282875753377</v>
      </c>
      <c r="Z84" s="251">
        <f>+Model!Z20</f>
        <v>3.6029916942587552</v>
      </c>
      <c r="AA84" s="251">
        <f>+Model!AA20</f>
        <v>3.6777757638152244</v>
      </c>
      <c r="AB84" s="13">
        <f>AVERAGE(H84:AA84)</f>
        <v>3.1120545840554001</v>
      </c>
    </row>
    <row r="85" spans="5:28" x14ac:dyDescent="0.5">
      <c r="E85" s="248"/>
      <c r="F85" s="248"/>
      <c r="G85" s="248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</row>
    <row r="86" spans="5:28" x14ac:dyDescent="0.5">
      <c r="E86" s="1" t="s">
        <v>163</v>
      </c>
      <c r="H86" s="263">
        <f>+Model!H28/1000</f>
        <v>9.9706694816803498</v>
      </c>
      <c r="I86" s="278">
        <f>+Model!I28/1000</f>
        <v>10.404666358263972</v>
      </c>
      <c r="J86" s="263">
        <f>+Model!J28/1000</f>
        <v>10.970996703381591</v>
      </c>
      <c r="K86" s="278">
        <f>+Model!K28/1000</f>
        <v>11.739648458410038</v>
      </c>
      <c r="L86" s="263">
        <f>+Model!L28/1000</f>
        <v>12.281461954536436</v>
      </c>
      <c r="M86" s="278">
        <f>+Model!M28/1000</f>
        <v>12.292975829941239</v>
      </c>
      <c r="N86" s="263">
        <f>+Model!N28/1000</f>
        <v>12.461452893644164</v>
      </c>
      <c r="O86" s="278">
        <f>+Model!O28/1000</f>
        <v>12.739531249177711</v>
      </c>
      <c r="P86" s="263">
        <f>+Model!P28/1000</f>
        <v>13.320470529231239</v>
      </c>
      <c r="Q86" s="278">
        <f>+Model!Q28/1000</f>
        <v>13.927901399949132</v>
      </c>
      <c r="R86" s="263">
        <f>+Model!R28/1000</f>
        <v>14.563031912499595</v>
      </c>
      <c r="S86" s="278">
        <f>+Model!S28/1000</f>
        <v>15.227125206763482</v>
      </c>
      <c r="T86" s="263">
        <f>+Model!T28/1000</f>
        <v>15.921502023451533</v>
      </c>
      <c r="U86" s="278">
        <f>+Model!U28/1000</f>
        <v>16.647543330777637</v>
      </c>
      <c r="V86" s="263">
        <f>+Model!V28/1000</f>
        <v>17.406693070911611</v>
      </c>
      <c r="W86" s="278">
        <f>+Model!W28/1000</f>
        <v>18.200461031673957</v>
      </c>
      <c r="X86" s="263">
        <f>+Model!X28/1000</f>
        <v>19.030425849183654</v>
      </c>
      <c r="Y86" s="278">
        <f>+Model!Y28/1000</f>
        <v>19.898238147430533</v>
      </c>
      <c r="Z86" s="263">
        <f>+Model!Z28/1000</f>
        <v>20.805623821016273</v>
      </c>
      <c r="AA86" s="278">
        <f>+Model!AA28/1000</f>
        <v>21.754387467592831</v>
      </c>
      <c r="AB86" s="244">
        <f>SUM(H86:AA86)</f>
        <v>299.56480671951698</v>
      </c>
    </row>
    <row r="87" spans="5:28" x14ac:dyDescent="0.5">
      <c r="E87" s="1" t="s">
        <v>164</v>
      </c>
      <c r="H87" s="264">
        <f>+Model!H29/1000</f>
        <v>-1.9941338963360702</v>
      </c>
      <c r="I87" s="279">
        <f>+Model!I29/1000</f>
        <v>-2.0809332716527948</v>
      </c>
      <c r="J87" s="264">
        <f>+Model!J29/1000</f>
        <v>-2.1941993406763181</v>
      </c>
      <c r="K87" s="279">
        <f>+Model!K29/1000</f>
        <v>-2.3479296916820078</v>
      </c>
      <c r="L87" s="264">
        <f>+Model!L29/1000</f>
        <v>-2.4562923909072873</v>
      </c>
      <c r="M87" s="279">
        <f>+Model!M29/1000</f>
        <v>-2.4585951659882479</v>
      </c>
      <c r="N87" s="264">
        <f>+Model!N29/1000</f>
        <v>-2.492290578728833</v>
      </c>
      <c r="O87" s="279">
        <f>+Model!O29/1000</f>
        <v>-2.5479062498355423</v>
      </c>
      <c r="P87" s="264">
        <f>+Model!P29/1000</f>
        <v>-2.6640941058462482</v>
      </c>
      <c r="Q87" s="279">
        <f>+Model!Q29/1000</f>
        <v>-2.7855802799898264</v>
      </c>
      <c r="R87" s="264">
        <f>+Model!R29/1000</f>
        <v>-2.9126063824999191</v>
      </c>
      <c r="S87" s="279">
        <f>+Model!S29/1000</f>
        <v>-3.0454250413526966</v>
      </c>
      <c r="T87" s="264">
        <f>+Model!T29/1000</f>
        <v>-3.1843004046903065</v>
      </c>
      <c r="U87" s="279">
        <f>+Model!U29/1000</f>
        <v>-3.3295086661555273</v>
      </c>
      <c r="V87" s="264">
        <f>+Model!V29/1000</f>
        <v>-3.4813386141823228</v>
      </c>
      <c r="W87" s="279">
        <f>+Model!W29/1000</f>
        <v>-3.6400922063347916</v>
      </c>
      <c r="X87" s="264">
        <f>+Model!X29/1000</f>
        <v>-3.8060851698367313</v>
      </c>
      <c r="Y87" s="279">
        <f>+Model!Y29/1000</f>
        <v>-3.9796476294861067</v>
      </c>
      <c r="Z87" s="264">
        <f>+Model!Z29/1000</f>
        <v>-4.1611247642032545</v>
      </c>
      <c r="AA87" s="279">
        <f>+Model!AA29/1000</f>
        <v>-4.3508774935185661</v>
      </c>
      <c r="AB87" s="115">
        <f>SUM(H87:AA87)</f>
        <v>-59.912961343903405</v>
      </c>
    </row>
    <row r="88" spans="5:28" x14ac:dyDescent="0.5">
      <c r="E88" s="1" t="s">
        <v>165</v>
      </c>
      <c r="H88" s="264">
        <f>+Model!H30/1000</f>
        <v>1.0648827070383284</v>
      </c>
      <c r="I88" s="279">
        <f>+Model!I30/1000</f>
        <v>1.0695355673381102</v>
      </c>
      <c r="J88" s="264">
        <f>+Model!J30/1000</f>
        <v>1.12588972731882</v>
      </c>
      <c r="K88" s="279">
        <f>+Model!K30/1000</f>
        <v>1.1851300692013353</v>
      </c>
      <c r="L88" s="264">
        <f>+Model!L30/1000</f>
        <v>1.2474024907376751</v>
      </c>
      <c r="M88" s="279">
        <f>+Model!M30/1000</f>
        <v>1.312860219339492</v>
      </c>
      <c r="N88" s="264">
        <f>+Model!N30/1000</f>
        <v>1.3816641792128137</v>
      </c>
      <c r="O88" s="279">
        <f>+Model!O30/1000</f>
        <v>1.4539833768556616</v>
      </c>
      <c r="P88" s="264">
        <f>+Model!P30/1000</f>
        <v>1.529995305836364</v>
      </c>
      <c r="Q88" s="279">
        <f>+Model!Q30/1000</f>
        <v>1.609886371816218</v>
      </c>
      <c r="R88" s="264">
        <f>+Model!R30/1000</f>
        <v>1.69385233882833</v>
      </c>
      <c r="S88" s="279">
        <f>+Model!S30/1000</f>
        <v>1.7820987978749869</v>
      </c>
      <c r="T88" s="264">
        <f>+Model!T30/1000</f>
        <v>1.874841658959022</v>
      </c>
      <c r="U88" s="279">
        <f>+Model!U30/1000</f>
        <v>1.9723076677203486</v>
      </c>
      <c r="V88" s="264">
        <f>+Model!V30/1000</f>
        <v>2.0747349479073565</v>
      </c>
      <c r="W88" s="279">
        <f>+Model!W30/1000</f>
        <v>2.1823735709743057</v>
      </c>
      <c r="X88" s="264">
        <f>+Model!X30/1000</f>
        <v>2.2954861541603648</v>
      </c>
      <c r="Y88" s="279">
        <f>+Model!Y30/1000</f>
        <v>2.414348488473661</v>
      </c>
      <c r="Z88" s="264">
        <f>+Model!Z30/1000</f>
        <v>2.5392501980748263</v>
      </c>
      <c r="AA88" s="279">
        <f>+Model!AA30/1000</f>
        <v>2.670495432629199</v>
      </c>
      <c r="AB88" s="115">
        <f>SUM(H88:AA88)</f>
        <v>34.48101927029721</v>
      </c>
    </row>
    <row r="89" spans="5:28" x14ac:dyDescent="0.5">
      <c r="E89" s="22" t="s">
        <v>102</v>
      </c>
      <c r="F89" s="22"/>
      <c r="G89" s="22"/>
      <c r="H89" s="285">
        <f>SUM(H86:H88)</f>
        <v>9.041418292382609</v>
      </c>
      <c r="I89" s="285">
        <f t="shared" ref="I89:AA89" si="20">SUM(I86:I88)</f>
        <v>9.3932686539492884</v>
      </c>
      <c r="J89" s="285">
        <f t="shared" si="20"/>
        <v>9.9026870900240915</v>
      </c>
      <c r="K89" s="285">
        <f t="shared" si="20"/>
        <v>10.576848835929365</v>
      </c>
      <c r="L89" s="285">
        <f t="shared" si="20"/>
        <v>11.072572054366825</v>
      </c>
      <c r="M89" s="285">
        <f t="shared" si="20"/>
        <v>11.147240883292483</v>
      </c>
      <c r="N89" s="285">
        <f t="shared" si="20"/>
        <v>11.350826494128146</v>
      </c>
      <c r="O89" s="285">
        <f t="shared" si="20"/>
        <v>11.645608376197831</v>
      </c>
      <c r="P89" s="285">
        <f t="shared" si="20"/>
        <v>12.186371729221355</v>
      </c>
      <c r="Q89" s="285">
        <f t="shared" si="20"/>
        <v>12.752207491775524</v>
      </c>
      <c r="R89" s="285">
        <f t="shared" si="20"/>
        <v>13.344277868828007</v>
      </c>
      <c r="S89" s="285">
        <f t="shared" si="20"/>
        <v>13.963798963285772</v>
      </c>
      <c r="T89" s="285">
        <f t="shared" si="20"/>
        <v>14.612043277720248</v>
      </c>
      <c r="U89" s="285">
        <f t="shared" si="20"/>
        <v>15.290342332342458</v>
      </c>
      <c r="V89" s="285">
        <f t="shared" si="20"/>
        <v>16.000089404636643</v>
      </c>
      <c r="W89" s="285">
        <f t="shared" si="20"/>
        <v>16.742742396313471</v>
      </c>
      <c r="X89" s="285">
        <f t="shared" si="20"/>
        <v>17.519826833507288</v>
      </c>
      <c r="Y89" s="285">
        <f t="shared" si="20"/>
        <v>18.332939006418087</v>
      </c>
      <c r="Z89" s="285">
        <f t="shared" si="20"/>
        <v>19.183749254887843</v>
      </c>
      <c r="AA89" s="285">
        <f t="shared" si="20"/>
        <v>20.074005406703463</v>
      </c>
      <c r="AB89" s="285">
        <f>SUM(H89:AA89)</f>
        <v>274.13286464591079</v>
      </c>
    </row>
    <row r="90" spans="5:28" x14ac:dyDescent="0.5">
      <c r="E90" s="23"/>
      <c r="F90" s="23"/>
      <c r="G90" s="23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</row>
    <row r="91" spans="5:28" x14ac:dyDescent="0.5">
      <c r="E91" s="1" t="s">
        <v>172</v>
      </c>
      <c r="F91" s="23"/>
      <c r="G91" s="23"/>
      <c r="H91" s="290">
        <f>+MIN(H89,14)</f>
        <v>9.041418292382609</v>
      </c>
      <c r="I91" s="290">
        <f t="shared" ref="I91:AA91" si="21">+MIN(I89,14)</f>
        <v>9.3932686539492884</v>
      </c>
      <c r="J91" s="290">
        <f t="shared" si="21"/>
        <v>9.9026870900240915</v>
      </c>
      <c r="K91" s="290">
        <f t="shared" si="21"/>
        <v>10.576848835929365</v>
      </c>
      <c r="L91" s="290">
        <f t="shared" si="21"/>
        <v>11.072572054366825</v>
      </c>
      <c r="M91" s="290">
        <f t="shared" si="21"/>
        <v>11.147240883292483</v>
      </c>
      <c r="N91" s="290">
        <f t="shared" si="21"/>
        <v>11.350826494128146</v>
      </c>
      <c r="O91" s="290">
        <f t="shared" si="21"/>
        <v>11.645608376197831</v>
      </c>
      <c r="P91" s="290">
        <f t="shared" si="21"/>
        <v>12.186371729221355</v>
      </c>
      <c r="Q91" s="290">
        <f t="shared" si="21"/>
        <v>12.752207491775524</v>
      </c>
      <c r="R91" s="290">
        <f t="shared" si="21"/>
        <v>13.344277868828007</v>
      </c>
      <c r="S91" s="290">
        <f t="shared" si="21"/>
        <v>13.963798963285772</v>
      </c>
      <c r="T91" s="290">
        <f t="shared" si="21"/>
        <v>14</v>
      </c>
      <c r="U91" s="290">
        <f t="shared" si="21"/>
        <v>14</v>
      </c>
      <c r="V91" s="290">
        <f t="shared" si="21"/>
        <v>14</v>
      </c>
      <c r="W91" s="290">
        <f t="shared" si="21"/>
        <v>14</v>
      </c>
      <c r="X91" s="290">
        <f t="shared" si="21"/>
        <v>14</v>
      </c>
      <c r="Y91" s="290">
        <f t="shared" si="21"/>
        <v>14</v>
      </c>
      <c r="Z91" s="290">
        <f t="shared" si="21"/>
        <v>14</v>
      </c>
      <c r="AA91" s="290">
        <f t="shared" si="21"/>
        <v>14</v>
      </c>
      <c r="AB91" s="290">
        <f>SUM(H91:AA91)</f>
        <v>248.37712673338129</v>
      </c>
    </row>
    <row r="92" spans="5:28" x14ac:dyDescent="0.5">
      <c r="E92" s="1" t="s">
        <v>103</v>
      </c>
      <c r="H92" s="115">
        <f>+Model!H42/1000</f>
        <v>-1.84175</v>
      </c>
      <c r="I92" s="115">
        <f>+Model!I42/1000</f>
        <v>-1.84175</v>
      </c>
      <c r="J92" s="115">
        <f>+Model!J42/1000</f>
        <v>-1.84175</v>
      </c>
      <c r="K92" s="115">
        <f>+Model!K42/1000</f>
        <v>-1.84175</v>
      </c>
      <c r="L92" s="115">
        <f>+Model!L42/1000</f>
        <v>-1.84175</v>
      </c>
      <c r="M92" s="115">
        <f>+Model!M42/1000</f>
        <v>-1.84175</v>
      </c>
      <c r="N92" s="115">
        <f>+Model!N42/1000</f>
        <v>-1.84175</v>
      </c>
      <c r="O92" s="115">
        <f>+Model!O42/1000</f>
        <v>-1.84175</v>
      </c>
      <c r="P92" s="115">
        <f>+Model!P42/1000</f>
        <v>-1.84175</v>
      </c>
      <c r="Q92" s="115">
        <f>+Model!Q42/1000</f>
        <v>-1.84175</v>
      </c>
      <c r="R92" s="115">
        <f>+Model!R42/1000</f>
        <v>-1.84175</v>
      </c>
      <c r="S92" s="115">
        <f>+Model!S42/1000</f>
        <v>-1.84175</v>
      </c>
      <c r="T92" s="115">
        <f>+Model!T42/1000</f>
        <v>-1.84175</v>
      </c>
      <c r="U92" s="115">
        <f>+Model!U42/1000</f>
        <v>-1.84175</v>
      </c>
      <c r="V92" s="115">
        <f>+Model!V42/1000</f>
        <v>-1.84175</v>
      </c>
      <c r="W92" s="115">
        <f>+Model!W42/1000</f>
        <v>-1.84175</v>
      </c>
      <c r="X92" s="115">
        <f>+Model!X42/1000</f>
        <v>-1.84175</v>
      </c>
      <c r="Y92" s="115">
        <f>+Model!Y42/1000</f>
        <v>-1.84175</v>
      </c>
      <c r="Z92" s="115">
        <f>+Model!Z42/1000</f>
        <v>-1.84175</v>
      </c>
      <c r="AA92" s="115">
        <f>+Model!AA42/1000</f>
        <v>-1.84175</v>
      </c>
      <c r="AB92" s="115">
        <f t="shared" ref="AB92:AB93" si="22">SUM(H92:AA92)</f>
        <v>-36.835000000000001</v>
      </c>
    </row>
    <row r="93" spans="5:28" x14ac:dyDescent="0.5">
      <c r="E93" s="1" t="s">
        <v>105</v>
      </c>
      <c r="H93" s="115">
        <f>+Model!H44/1000</f>
        <v>-2.5955625000000002</v>
      </c>
      <c r="I93" s="115">
        <f>+Model!I44/1000</f>
        <v>-2.5955625000000002</v>
      </c>
      <c r="J93" s="115">
        <f>+Model!J44/1000</f>
        <v>-2.5955625000000002</v>
      </c>
      <c r="K93" s="115">
        <f>+Model!K44/1000</f>
        <v>-2.5955625000000002</v>
      </c>
      <c r="L93" s="115">
        <f>+Model!L44/1000</f>
        <v>-2.5955625000000002</v>
      </c>
      <c r="M93" s="115">
        <f>+Model!M44/1000</f>
        <v>-2.5955625000000002</v>
      </c>
      <c r="N93" s="115">
        <f>+Model!N44/1000</f>
        <v>-2.5955625000000002</v>
      </c>
      <c r="O93" s="115">
        <f>+Model!O44/1000</f>
        <v>-2.5955625000000002</v>
      </c>
      <c r="P93" s="115">
        <f>+Model!P44/1000</f>
        <v>-2.5955625000000002</v>
      </c>
      <c r="Q93" s="115">
        <f>+Model!Q44/1000</f>
        <v>-2.5955625000000002</v>
      </c>
      <c r="R93" s="115">
        <f>+Model!R44/1000</f>
        <v>-2.5955625000000002</v>
      </c>
      <c r="S93" s="115">
        <f>+Model!S44/1000</f>
        <v>-2.5955625000000002</v>
      </c>
      <c r="T93" s="115">
        <f>+Model!T44/1000</f>
        <v>-2.5955625000000002</v>
      </c>
      <c r="U93" s="115">
        <f>+Model!U44/1000</f>
        <v>-2.5955625000000002</v>
      </c>
      <c r="V93" s="115">
        <f>+Model!V44/1000</f>
        <v>-2.5955625000000002</v>
      </c>
      <c r="W93" s="115">
        <f>+Model!W44/1000</f>
        <v>-2.5955625000000002</v>
      </c>
      <c r="X93" s="115">
        <f>+Model!X44/1000</f>
        <v>-2.5955625000000002</v>
      </c>
      <c r="Y93" s="115">
        <f>+Model!Y44/1000</f>
        <v>-2.5955625000000002</v>
      </c>
      <c r="Z93" s="115">
        <f>+Model!Z44/1000</f>
        <v>-2.5955625000000002</v>
      </c>
      <c r="AA93" s="115">
        <f>+Model!AA44/1000</f>
        <v>-2.5955625000000002</v>
      </c>
      <c r="AB93" s="115">
        <f t="shared" si="22"/>
        <v>-51.911250000000003</v>
      </c>
    </row>
    <row r="94" spans="5:28" x14ac:dyDescent="0.5">
      <c r="E94" s="22" t="s">
        <v>166</v>
      </c>
      <c r="F94" s="22"/>
      <c r="G94" s="22"/>
      <c r="H94" s="245">
        <f>SUM(H91:H93)</f>
        <v>4.6041057923826081</v>
      </c>
      <c r="I94" s="245">
        <f t="shared" ref="I94:AB94" si="23">SUM(I91:I93)</f>
        <v>4.9559561539492876</v>
      </c>
      <c r="J94" s="245">
        <f t="shared" si="23"/>
        <v>5.4653745900240924</v>
      </c>
      <c r="K94" s="245">
        <f t="shared" si="23"/>
        <v>6.1395363359293658</v>
      </c>
      <c r="L94" s="245">
        <f t="shared" si="23"/>
        <v>6.6352595543668258</v>
      </c>
      <c r="M94" s="245">
        <f t="shared" si="23"/>
        <v>6.7099283832924836</v>
      </c>
      <c r="N94" s="245">
        <f t="shared" si="23"/>
        <v>6.9135139941281469</v>
      </c>
      <c r="O94" s="245">
        <f t="shared" si="23"/>
        <v>7.2082958761978322</v>
      </c>
      <c r="P94" s="245">
        <f t="shared" si="23"/>
        <v>7.7490592292213556</v>
      </c>
      <c r="Q94" s="245">
        <f t="shared" si="23"/>
        <v>8.3148949917755246</v>
      </c>
      <c r="R94" s="245">
        <f t="shared" si="23"/>
        <v>8.9069653688280077</v>
      </c>
      <c r="S94" s="245">
        <f t="shared" si="23"/>
        <v>9.5264864632857726</v>
      </c>
      <c r="T94" s="245">
        <f t="shared" si="23"/>
        <v>9.5626875000000009</v>
      </c>
      <c r="U94" s="245">
        <f t="shared" si="23"/>
        <v>9.5626875000000009</v>
      </c>
      <c r="V94" s="245">
        <f t="shared" si="23"/>
        <v>9.5626875000000009</v>
      </c>
      <c r="W94" s="245">
        <f t="shared" si="23"/>
        <v>9.5626875000000009</v>
      </c>
      <c r="X94" s="245">
        <f t="shared" si="23"/>
        <v>9.5626875000000009</v>
      </c>
      <c r="Y94" s="245">
        <f t="shared" si="23"/>
        <v>9.5626875000000009</v>
      </c>
      <c r="Z94" s="245">
        <f t="shared" si="23"/>
        <v>9.5626875000000009</v>
      </c>
      <c r="AA94" s="245">
        <f t="shared" si="23"/>
        <v>9.5626875000000009</v>
      </c>
      <c r="AB94" s="245">
        <f t="shared" si="23"/>
        <v>159.63087673338129</v>
      </c>
    </row>
    <row r="95" spans="5:28" x14ac:dyDescent="0.5">
      <c r="E95" s="1" t="s">
        <v>167</v>
      </c>
      <c r="H95" s="10">
        <f>+H96/H94</f>
        <v>0.7</v>
      </c>
      <c r="I95" s="10">
        <f t="shared" ref="I95" si="24">+I96/I94</f>
        <v>0.7</v>
      </c>
      <c r="J95" s="10">
        <f t="shared" ref="J95" si="25">+J96/J94</f>
        <v>0.7</v>
      </c>
      <c r="K95" s="10">
        <f t="shared" ref="K95" si="26">+K96/K94</f>
        <v>0.7</v>
      </c>
      <c r="L95" s="10">
        <f t="shared" ref="L95" si="27">+L96/L94</f>
        <v>0.7</v>
      </c>
      <c r="M95" s="10">
        <f t="shared" ref="M95" si="28">+M96/M94</f>
        <v>0.7</v>
      </c>
      <c r="N95" s="10">
        <f t="shared" ref="N95" si="29">+N96/N94</f>
        <v>0.7</v>
      </c>
      <c r="O95" s="10">
        <f t="shared" ref="O95" si="30">+O96/O94</f>
        <v>0.7</v>
      </c>
      <c r="P95" s="10">
        <f t="shared" ref="P95" si="31">+P96/P94</f>
        <v>0.7</v>
      </c>
      <c r="Q95" s="10">
        <f t="shared" ref="Q95" si="32">+Q96/Q94</f>
        <v>0.7</v>
      </c>
      <c r="R95" s="10">
        <f t="shared" ref="R95" si="33">+R96/R94</f>
        <v>0.7</v>
      </c>
      <c r="S95" s="10">
        <f t="shared" ref="S95" si="34">+S96/S94</f>
        <v>0.7</v>
      </c>
      <c r="T95" s="10">
        <f t="shared" ref="T95" si="35">+T96/T94</f>
        <v>0.7</v>
      </c>
      <c r="U95" s="10">
        <f t="shared" ref="U95" si="36">+U96/U94</f>
        <v>0.7</v>
      </c>
      <c r="V95" s="10">
        <f t="shared" ref="V95" si="37">+V96/V94</f>
        <v>0.7</v>
      </c>
      <c r="W95" s="10">
        <f t="shared" ref="W95" si="38">+W96/W94</f>
        <v>0.7</v>
      </c>
      <c r="X95" s="10">
        <f t="shared" ref="X95" si="39">+X96/X94</f>
        <v>0.7</v>
      </c>
      <c r="Y95" s="10">
        <f t="shared" ref="Y95" si="40">+Y96/Y94</f>
        <v>0.7</v>
      </c>
      <c r="Z95" s="10">
        <f t="shared" ref="Z95" si="41">+Z96/Z94</f>
        <v>0.7</v>
      </c>
      <c r="AA95" s="10">
        <f t="shared" ref="AA95" si="42">+AA96/AA94</f>
        <v>0.7</v>
      </c>
      <c r="AB95" s="253">
        <f>+AB96/AB94</f>
        <v>0.70000000000000018</v>
      </c>
    </row>
    <row r="96" spans="5:28" x14ac:dyDescent="0.5">
      <c r="E96" s="23" t="s">
        <v>173</v>
      </c>
      <c r="F96" s="23"/>
      <c r="G96" s="23"/>
      <c r="H96" s="252">
        <f>MAX(2,70%*H94)</f>
        <v>3.2228740546678254</v>
      </c>
      <c r="I96" s="252">
        <f t="shared" ref="I96:AA96" si="43">MAX(2,70%*I94)</f>
        <v>3.4691693077645009</v>
      </c>
      <c r="J96" s="252">
        <f t="shared" si="43"/>
        <v>3.8257622130168643</v>
      </c>
      <c r="K96" s="252">
        <f t="shared" si="43"/>
        <v>4.2976754351505555</v>
      </c>
      <c r="L96" s="252">
        <f t="shared" si="43"/>
        <v>4.6446816880567781</v>
      </c>
      <c r="M96" s="252">
        <f t="shared" si="43"/>
        <v>4.6969498683047384</v>
      </c>
      <c r="N96" s="252">
        <f t="shared" si="43"/>
        <v>4.8394597958897023</v>
      </c>
      <c r="O96" s="252">
        <f t="shared" si="43"/>
        <v>5.0458071133384825</v>
      </c>
      <c r="P96" s="252">
        <f t="shared" si="43"/>
        <v>5.4243414604549489</v>
      </c>
      <c r="Q96" s="252">
        <f t="shared" si="43"/>
        <v>5.8204264942428665</v>
      </c>
      <c r="R96" s="252">
        <f t="shared" si="43"/>
        <v>6.234875758179605</v>
      </c>
      <c r="S96" s="252">
        <f t="shared" si="43"/>
        <v>6.6685405243000409</v>
      </c>
      <c r="T96" s="252">
        <f t="shared" si="43"/>
        <v>6.6938812500000004</v>
      </c>
      <c r="U96" s="252">
        <f t="shared" si="43"/>
        <v>6.6938812500000004</v>
      </c>
      <c r="V96" s="252">
        <f t="shared" si="43"/>
        <v>6.6938812500000004</v>
      </c>
      <c r="W96" s="252">
        <f t="shared" si="43"/>
        <v>6.6938812500000004</v>
      </c>
      <c r="X96" s="252">
        <f t="shared" si="43"/>
        <v>6.6938812500000004</v>
      </c>
      <c r="Y96" s="252">
        <f t="shared" si="43"/>
        <v>6.6938812500000004</v>
      </c>
      <c r="Z96" s="252">
        <f t="shared" si="43"/>
        <v>6.6938812500000004</v>
      </c>
      <c r="AA96" s="252">
        <f t="shared" si="43"/>
        <v>6.6938812500000004</v>
      </c>
      <c r="AB96" s="252">
        <f>SUM(H96:AA96)</f>
        <v>111.74161371336693</v>
      </c>
    </row>
    <row r="97" spans="5:28" x14ac:dyDescent="0.5">
      <c r="E97" s="42" t="s">
        <v>169</v>
      </c>
      <c r="H97" s="115">
        <v>2</v>
      </c>
      <c r="I97" s="115">
        <v>2</v>
      </c>
      <c r="J97" s="115">
        <v>2</v>
      </c>
      <c r="K97" s="115">
        <v>2</v>
      </c>
      <c r="L97" s="115">
        <v>2</v>
      </c>
      <c r="M97" s="115">
        <v>2</v>
      </c>
      <c r="N97" s="115">
        <v>2</v>
      </c>
      <c r="O97" s="115">
        <v>2</v>
      </c>
      <c r="P97" s="115">
        <v>2</v>
      </c>
      <c r="Q97" s="115">
        <v>2</v>
      </c>
      <c r="R97" s="115">
        <v>2</v>
      </c>
      <c r="S97" s="115">
        <v>2</v>
      </c>
      <c r="T97" s="115">
        <v>2</v>
      </c>
      <c r="U97" s="115">
        <v>2</v>
      </c>
      <c r="V97" s="115">
        <v>2</v>
      </c>
      <c r="W97" s="115">
        <v>2</v>
      </c>
      <c r="X97" s="115">
        <v>2</v>
      </c>
      <c r="Y97" s="115">
        <v>2</v>
      </c>
      <c r="Z97" s="115">
        <v>2</v>
      </c>
      <c r="AA97" s="115">
        <v>2</v>
      </c>
      <c r="AB97" s="237">
        <f>SUM(H97:AA97)</f>
        <v>40</v>
      </c>
    </row>
    <row r="98" spans="5:28" x14ac:dyDescent="0.5">
      <c r="E98" s="42" t="s">
        <v>170</v>
      </c>
      <c r="H98" s="115">
        <f>H96-H97</f>
        <v>1.2228740546678254</v>
      </c>
      <c r="I98" s="115">
        <f t="shared" ref="I98" si="44">I96-I97</f>
        <v>1.4691693077645009</v>
      </c>
      <c r="J98" s="115">
        <f t="shared" ref="J98" si="45">J96-J97</f>
        <v>1.8257622130168643</v>
      </c>
      <c r="K98" s="115">
        <f t="shared" ref="K98" si="46">K96-K97</f>
        <v>2.2976754351505555</v>
      </c>
      <c r="L98" s="115">
        <f t="shared" ref="L98" si="47">L96-L97</f>
        <v>2.6446816880567781</v>
      </c>
      <c r="M98" s="115">
        <f t="shared" ref="M98" si="48">M96-M97</f>
        <v>2.6969498683047384</v>
      </c>
      <c r="N98" s="115">
        <f t="shared" ref="N98" si="49">N96-N97</f>
        <v>2.8394597958897023</v>
      </c>
      <c r="O98" s="115">
        <f t="shared" ref="O98" si="50">O96-O97</f>
        <v>3.0458071133384825</v>
      </c>
      <c r="P98" s="115">
        <f t="shared" ref="P98" si="51">P96-P97</f>
        <v>3.4243414604549489</v>
      </c>
      <c r="Q98" s="115">
        <f t="shared" ref="Q98" si="52">Q96-Q97</f>
        <v>3.8204264942428665</v>
      </c>
      <c r="R98" s="115">
        <f t="shared" ref="R98" si="53">R96-R97</f>
        <v>4.234875758179605</v>
      </c>
      <c r="S98" s="115">
        <f t="shared" ref="S98" si="54">S96-S97</f>
        <v>4.6685405243000409</v>
      </c>
      <c r="T98" s="115">
        <f t="shared" ref="T98" si="55">T96-T97</f>
        <v>4.6938812500000004</v>
      </c>
      <c r="U98" s="115">
        <f t="shared" ref="U98" si="56">U96-U97</f>
        <v>4.6938812500000004</v>
      </c>
      <c r="V98" s="115">
        <f t="shared" ref="V98" si="57">V96-V97</f>
        <v>4.6938812500000004</v>
      </c>
      <c r="W98" s="115">
        <f t="shared" ref="W98" si="58">W96-W97</f>
        <v>4.6938812500000004</v>
      </c>
      <c r="X98" s="115">
        <f t="shared" ref="X98" si="59">X96-X97</f>
        <v>4.6938812500000004</v>
      </c>
      <c r="Y98" s="115">
        <f t="shared" ref="Y98" si="60">Y96-Y97</f>
        <v>4.6938812500000004</v>
      </c>
      <c r="Z98" s="115">
        <f t="shared" ref="Z98" si="61">Z96-Z97</f>
        <v>4.6938812500000004</v>
      </c>
      <c r="AA98" s="115">
        <f t="shared" ref="AA98" si="62">AA96-AA97</f>
        <v>4.6938812500000004</v>
      </c>
      <c r="AB98" s="237">
        <f>SUM(H98:AA98)</f>
        <v>71.741613713366945</v>
      </c>
    </row>
    <row r="100" spans="5:28" x14ac:dyDescent="0.5">
      <c r="E100" s="1" t="s">
        <v>174</v>
      </c>
      <c r="H100" s="28">
        <f>MAX(0,H89-14)</f>
        <v>0</v>
      </c>
      <c r="I100" s="28">
        <f t="shared" ref="I100:AA100" si="63">MAX(0,I89-14)</f>
        <v>0</v>
      </c>
      <c r="J100" s="28">
        <f t="shared" si="63"/>
        <v>0</v>
      </c>
      <c r="K100" s="28">
        <f t="shared" si="63"/>
        <v>0</v>
      </c>
      <c r="L100" s="28">
        <f t="shared" si="63"/>
        <v>0</v>
      </c>
      <c r="M100" s="28">
        <f t="shared" si="63"/>
        <v>0</v>
      </c>
      <c r="N100" s="28">
        <f t="shared" si="63"/>
        <v>0</v>
      </c>
      <c r="O100" s="28">
        <f t="shared" si="63"/>
        <v>0</v>
      </c>
      <c r="P100" s="28">
        <f t="shared" si="63"/>
        <v>0</v>
      </c>
      <c r="Q100" s="28">
        <f t="shared" si="63"/>
        <v>0</v>
      </c>
      <c r="R100" s="28">
        <f t="shared" si="63"/>
        <v>0</v>
      </c>
      <c r="S100" s="28">
        <f t="shared" si="63"/>
        <v>0</v>
      </c>
      <c r="T100" s="28">
        <f t="shared" si="63"/>
        <v>0.61204327772024847</v>
      </c>
      <c r="U100" s="28">
        <f t="shared" si="63"/>
        <v>1.2903423323424583</v>
      </c>
      <c r="V100" s="28">
        <f t="shared" si="63"/>
        <v>2.0000894046366433</v>
      </c>
      <c r="W100" s="28">
        <f t="shared" si="63"/>
        <v>2.7427423963134707</v>
      </c>
      <c r="X100" s="28">
        <f t="shared" si="63"/>
        <v>3.5198268335072882</v>
      </c>
      <c r="Y100" s="28">
        <f t="shared" si="63"/>
        <v>4.332939006418087</v>
      </c>
      <c r="Z100" s="28">
        <f t="shared" si="63"/>
        <v>5.183749254887843</v>
      </c>
      <c r="AA100" s="28">
        <f t="shared" si="63"/>
        <v>6.0740054067034634</v>
      </c>
      <c r="AB100" s="28">
        <f>SUM(H100:AA100)</f>
        <v>25.755737912529504</v>
      </c>
    </row>
    <row r="101" spans="5:28" x14ac:dyDescent="0.5">
      <c r="E101" s="23" t="s">
        <v>175</v>
      </c>
      <c r="H101" s="252">
        <f>0.9*H100</f>
        <v>0</v>
      </c>
      <c r="I101" s="252">
        <f t="shared" ref="I101:AA101" si="64">0.9*I100</f>
        <v>0</v>
      </c>
      <c r="J101" s="252">
        <f t="shared" si="64"/>
        <v>0</v>
      </c>
      <c r="K101" s="252">
        <f t="shared" si="64"/>
        <v>0</v>
      </c>
      <c r="L101" s="252">
        <f t="shared" si="64"/>
        <v>0</v>
      </c>
      <c r="M101" s="252">
        <f t="shared" si="64"/>
        <v>0</v>
      </c>
      <c r="N101" s="252">
        <f t="shared" si="64"/>
        <v>0</v>
      </c>
      <c r="O101" s="252">
        <f t="shared" si="64"/>
        <v>0</v>
      </c>
      <c r="P101" s="252">
        <f t="shared" si="64"/>
        <v>0</v>
      </c>
      <c r="Q101" s="252">
        <f t="shared" si="64"/>
        <v>0</v>
      </c>
      <c r="R101" s="252">
        <f t="shared" si="64"/>
        <v>0</v>
      </c>
      <c r="S101" s="252">
        <f t="shared" si="64"/>
        <v>0</v>
      </c>
      <c r="T101" s="252">
        <f t="shared" si="64"/>
        <v>0.55083894994822369</v>
      </c>
      <c r="U101" s="252">
        <f t="shared" si="64"/>
        <v>1.1613080991082125</v>
      </c>
      <c r="V101" s="252">
        <f t="shared" si="64"/>
        <v>1.8000804641729791</v>
      </c>
      <c r="W101" s="252">
        <f t="shared" si="64"/>
        <v>2.4684681566821238</v>
      </c>
      <c r="X101" s="252">
        <f t="shared" si="64"/>
        <v>3.1678441501565593</v>
      </c>
      <c r="Y101" s="252">
        <f t="shared" si="64"/>
        <v>3.8996451057762784</v>
      </c>
      <c r="Z101" s="252">
        <f t="shared" si="64"/>
        <v>4.6653743293990591</v>
      </c>
      <c r="AA101" s="252">
        <f t="shared" si="64"/>
        <v>5.4666048660331175</v>
      </c>
      <c r="AB101" s="252">
        <f>SUM(H101:AA101)</f>
        <v>23.180164121276555</v>
      </c>
    </row>
    <row r="103" spans="5:28" ht="15.7" x14ac:dyDescent="0.55000000000000004">
      <c r="E103" s="271" t="s">
        <v>160</v>
      </c>
      <c r="F103" s="271"/>
      <c r="G103" s="271"/>
      <c r="H103" s="272">
        <v>1</v>
      </c>
      <c r="I103" s="274">
        <v>5</v>
      </c>
      <c r="J103" s="273">
        <v>10</v>
      </c>
      <c r="K103" s="274">
        <v>15</v>
      </c>
      <c r="L103" s="273">
        <v>20</v>
      </c>
      <c r="M103" s="272" t="s">
        <v>37</v>
      </c>
    </row>
    <row r="104" spans="5:28" x14ac:dyDescent="0.5">
      <c r="F104" s="248"/>
      <c r="G104" s="248"/>
      <c r="H104" s="260"/>
      <c r="I104" s="275"/>
      <c r="K104" s="275"/>
      <c r="M104" s="260"/>
    </row>
    <row r="105" spans="5:28" x14ac:dyDescent="0.5">
      <c r="E105" s="1" t="s">
        <v>129</v>
      </c>
      <c r="F105" s="248"/>
      <c r="G105" s="248"/>
      <c r="H105" s="261">
        <f>_xlfn.XLOOKUP(H$61,$H$42:$AB$42,$H82:$AB82)</f>
        <v>950</v>
      </c>
      <c r="I105" s="261">
        <f t="shared" ref="I105:L105" si="65">_xlfn.XLOOKUP(I$61,$H$42:$AB$42,$H82:$AB82)</f>
        <v>1045.9240119044584</v>
      </c>
      <c r="J105" s="261">
        <f t="shared" si="65"/>
        <v>1179.5620557892084</v>
      </c>
      <c r="K105" s="261">
        <f t="shared" si="65"/>
        <v>1330.2750750737716</v>
      </c>
      <c r="L105" s="261">
        <f t="shared" si="65"/>
        <v>1500.2447447993927</v>
      </c>
      <c r="M105" s="261">
        <f t="shared" ref="M105" si="66">_xlfn.XLOOKUP(M$61,$H$42:$AB$42,$H82:$AB82)</f>
        <v>1205.3424443052786</v>
      </c>
    </row>
    <row r="106" spans="5:28" x14ac:dyDescent="0.5">
      <c r="E106" s="1" t="s">
        <v>161</v>
      </c>
      <c r="F106" s="248"/>
      <c r="G106" s="248"/>
      <c r="H106" s="261">
        <f>_xlfn.XLOOKUP(H$61,$H$42:$AB$42,$H83:$AB83)</f>
        <v>319.40093192511341</v>
      </c>
      <c r="I106" s="261">
        <f t="shared" ref="I106:L106" si="67">_xlfn.XLOOKUP(I$61,$H$42:$AB$42,$H83:$AB83)</f>
        <v>351.65168855277636</v>
      </c>
      <c r="J106" s="261">
        <f t="shared" si="67"/>
        <v>396.58233671850087</v>
      </c>
      <c r="K106" s="261">
        <f t="shared" si="67"/>
        <v>447.25378810032947</v>
      </c>
      <c r="L106" s="261">
        <f t="shared" si="67"/>
        <v>504.39954695229488</v>
      </c>
      <c r="M106" s="261">
        <f t="shared" ref="M106" si="68">_xlfn.XLOOKUP(M$61,$H$42:$AB$42,$H83:$AB83)</f>
        <v>8105.0000000000036</v>
      </c>
    </row>
    <row r="107" spans="5:28" x14ac:dyDescent="0.5">
      <c r="E107" s="1" t="s">
        <v>162</v>
      </c>
      <c r="F107" s="248"/>
      <c r="G107" s="248"/>
      <c r="H107" s="262">
        <f>_xlfn.XLOOKUP(H$61,$H$42:$AB$42,$H84:$AB84)</f>
        <v>2.6619581040516365</v>
      </c>
      <c r="I107" s="262">
        <f t="shared" ref="I107:L107" si="69">_xlfn.XLOOKUP(I$61,$H$42:$AB$42,$H84:$AB84)</f>
        <v>2.9781765172612142</v>
      </c>
      <c r="J107" s="262">
        <f t="shared" si="69"/>
        <v>2.9947832201034275</v>
      </c>
      <c r="K107" s="262">
        <f t="shared" si="69"/>
        <v>3.3187559634261912</v>
      </c>
      <c r="L107" s="262">
        <f t="shared" si="69"/>
        <v>3.6777757638152244</v>
      </c>
      <c r="M107" s="262">
        <f t="shared" ref="M107" si="70">_xlfn.XLOOKUP(M$61,$H$42:$AB$42,$H84:$AB84)</f>
        <v>3.1120545840554001</v>
      </c>
    </row>
    <row r="108" spans="5:28" x14ac:dyDescent="0.5">
      <c r="E108" s="248"/>
      <c r="F108" s="248"/>
      <c r="G108" s="248"/>
      <c r="H108" s="260"/>
      <c r="I108" s="275"/>
      <c r="K108" s="275"/>
      <c r="M108" s="260"/>
    </row>
    <row r="109" spans="5:28" x14ac:dyDescent="0.5">
      <c r="E109" s="1" t="s">
        <v>163</v>
      </c>
      <c r="H109" s="263">
        <f>_xlfn.XLOOKUP(H$61,$H$42:$AB$42,$H86:$AB86)</f>
        <v>9.9706694816803498</v>
      </c>
      <c r="I109" s="263">
        <f t="shared" ref="I109:M109" si="71">_xlfn.XLOOKUP(I$61,$H$42:$AB$42,$H86:$AB86)</f>
        <v>12.281461954536436</v>
      </c>
      <c r="J109" s="263">
        <f t="shared" si="71"/>
        <v>13.927901399949132</v>
      </c>
      <c r="K109" s="263">
        <f t="shared" si="71"/>
        <v>17.406693070911611</v>
      </c>
      <c r="L109" s="263">
        <f t="shared" si="71"/>
        <v>21.754387467592831</v>
      </c>
      <c r="M109" s="263">
        <f t="shared" si="71"/>
        <v>299.56480671951698</v>
      </c>
    </row>
    <row r="110" spans="5:28" x14ac:dyDescent="0.5">
      <c r="E110" s="1" t="s">
        <v>164</v>
      </c>
      <c r="H110" s="264">
        <f>_xlfn.XLOOKUP(H$61,$H$42:$AB$42,$H87:$AB87)</f>
        <v>-1.9941338963360702</v>
      </c>
      <c r="I110" s="264">
        <f t="shared" ref="I110:M111" si="72">_xlfn.XLOOKUP(I$61,$H$42:$AB$42,$H87:$AB87)</f>
        <v>-2.4562923909072873</v>
      </c>
      <c r="J110" s="264">
        <f t="shared" si="72"/>
        <v>-2.7855802799898264</v>
      </c>
      <c r="K110" s="264">
        <f t="shared" si="72"/>
        <v>-3.4813386141823228</v>
      </c>
      <c r="L110" s="264">
        <f t="shared" si="72"/>
        <v>-4.3508774935185661</v>
      </c>
      <c r="M110" s="264">
        <f t="shared" si="72"/>
        <v>-59.912961343903405</v>
      </c>
    </row>
    <row r="111" spans="5:28" x14ac:dyDescent="0.5">
      <c r="E111" s="1" t="s">
        <v>165</v>
      </c>
      <c r="H111" s="264">
        <f>_xlfn.XLOOKUP(H$61,$H$42:$AB$42,$H88:$AB88)</f>
        <v>1.0648827070383284</v>
      </c>
      <c r="I111" s="264">
        <f t="shared" si="72"/>
        <v>1.2474024907376751</v>
      </c>
      <c r="J111" s="264">
        <f t="shared" si="72"/>
        <v>1.609886371816218</v>
      </c>
      <c r="K111" s="264">
        <f t="shared" si="72"/>
        <v>2.0747349479073565</v>
      </c>
      <c r="L111" s="264">
        <f t="shared" si="72"/>
        <v>2.670495432629199</v>
      </c>
      <c r="M111" s="264">
        <f t="shared" si="72"/>
        <v>34.48101927029721</v>
      </c>
    </row>
    <row r="112" spans="5:28" x14ac:dyDescent="0.5">
      <c r="E112" s="22" t="s">
        <v>100</v>
      </c>
      <c r="F112" s="3"/>
      <c r="G112" s="3"/>
      <c r="H112" s="286">
        <f>SUM(H109:H111)</f>
        <v>9.041418292382609</v>
      </c>
      <c r="I112" s="286">
        <f t="shared" ref="I112:M112" si="73">SUM(I109:I111)</f>
        <v>11.072572054366825</v>
      </c>
      <c r="J112" s="286">
        <f t="shared" si="73"/>
        <v>12.752207491775524</v>
      </c>
      <c r="K112" s="286">
        <f t="shared" si="73"/>
        <v>16.000089404636643</v>
      </c>
      <c r="L112" s="286">
        <f t="shared" si="73"/>
        <v>20.074005406703463</v>
      </c>
      <c r="M112" s="286">
        <f t="shared" si="73"/>
        <v>274.13286464591079</v>
      </c>
    </row>
    <row r="113" spans="5:16" x14ac:dyDescent="0.5">
      <c r="E113" s="1" t="s">
        <v>176</v>
      </c>
      <c r="H113" s="263">
        <f>_xlfn.XLOOKUP(H$61,$H$42:$AB$42,$H91:$AB91)</f>
        <v>9.041418292382609</v>
      </c>
      <c r="I113" s="263">
        <f t="shared" ref="I113:M114" si="74">_xlfn.XLOOKUP(I$61,$H$42:$AB$42,$H91:$AB91)</f>
        <v>11.072572054366825</v>
      </c>
      <c r="J113" s="263">
        <f t="shared" si="74"/>
        <v>12.752207491775524</v>
      </c>
      <c r="K113" s="263">
        <f t="shared" si="74"/>
        <v>14</v>
      </c>
      <c r="L113" s="263">
        <f t="shared" si="74"/>
        <v>14</v>
      </c>
      <c r="M113" s="263">
        <f t="shared" si="74"/>
        <v>248.37712673338129</v>
      </c>
    </row>
    <row r="114" spans="5:16" x14ac:dyDescent="0.5">
      <c r="E114" s="1" t="s">
        <v>103</v>
      </c>
      <c r="H114" s="264">
        <f>_xlfn.XLOOKUP(H$61,$H$42:$AB$42,$H92:$AB92)</f>
        <v>-1.84175</v>
      </c>
      <c r="I114" s="264">
        <f t="shared" si="74"/>
        <v>-1.84175</v>
      </c>
      <c r="J114" s="264">
        <f t="shared" si="74"/>
        <v>-1.84175</v>
      </c>
      <c r="K114" s="264">
        <f t="shared" si="74"/>
        <v>-1.84175</v>
      </c>
      <c r="L114" s="264">
        <f t="shared" si="74"/>
        <v>-1.84175</v>
      </c>
      <c r="M114" s="264">
        <f t="shared" si="74"/>
        <v>-36.835000000000001</v>
      </c>
    </row>
    <row r="115" spans="5:16" x14ac:dyDescent="0.5">
      <c r="E115" s="1" t="s">
        <v>105</v>
      </c>
      <c r="H115" s="264">
        <f>_xlfn.XLOOKUP(H$61,$H$42:$AB$42,$H93:$AB93)</f>
        <v>-2.5955625000000002</v>
      </c>
      <c r="I115" s="264">
        <f t="shared" ref="I115:M115" si="75">_xlfn.XLOOKUP(I$61,$H$42:$AB$42,$H93:$AB93)</f>
        <v>-2.5955625000000002</v>
      </c>
      <c r="J115" s="264">
        <f t="shared" si="75"/>
        <v>-2.5955625000000002</v>
      </c>
      <c r="K115" s="264">
        <f t="shared" si="75"/>
        <v>-2.5955625000000002</v>
      </c>
      <c r="L115" s="264">
        <f t="shared" si="75"/>
        <v>-2.5955625000000002</v>
      </c>
      <c r="M115" s="264">
        <f t="shared" si="75"/>
        <v>-51.911250000000003</v>
      </c>
    </row>
    <row r="116" spans="5:16" x14ac:dyDescent="0.5">
      <c r="E116" s="22" t="s">
        <v>166</v>
      </c>
      <c r="F116" s="22"/>
      <c r="G116" s="22"/>
      <c r="H116" s="266">
        <f>SUM(H113:H115)</f>
        <v>4.6041057923826081</v>
      </c>
      <c r="I116" s="266">
        <f t="shared" ref="I116:M116" si="76">SUM(I113:I115)</f>
        <v>6.6352595543668258</v>
      </c>
      <c r="J116" s="266">
        <f t="shared" si="76"/>
        <v>8.3148949917755246</v>
      </c>
      <c r="K116" s="266">
        <f t="shared" si="76"/>
        <v>9.5626875000000009</v>
      </c>
      <c r="L116" s="266">
        <f t="shared" si="76"/>
        <v>9.5626875000000009</v>
      </c>
      <c r="M116" s="266">
        <f t="shared" si="76"/>
        <v>159.63087673338129</v>
      </c>
    </row>
    <row r="117" spans="5:16" x14ac:dyDescent="0.5">
      <c r="E117" s="8" t="s">
        <v>167</v>
      </c>
      <c r="F117" s="8"/>
      <c r="G117" s="8"/>
      <c r="H117" s="270">
        <f>_xlfn.XLOOKUP(H$61,$H$42:$AB$42,$H95:$AB95)</f>
        <v>0.7</v>
      </c>
      <c r="I117" s="270">
        <f t="shared" ref="I117:M117" si="77">_xlfn.XLOOKUP(I$61,$H$42:$AB$42,$H95:$AB95)</f>
        <v>0.7</v>
      </c>
      <c r="J117" s="270">
        <f t="shared" si="77"/>
        <v>0.7</v>
      </c>
      <c r="K117" s="270">
        <f t="shared" si="77"/>
        <v>0.7</v>
      </c>
      <c r="L117" s="270">
        <f t="shared" si="77"/>
        <v>0.7</v>
      </c>
      <c r="M117" s="270">
        <f t="shared" si="77"/>
        <v>0.70000000000000018</v>
      </c>
    </row>
    <row r="118" spans="5:16" x14ac:dyDescent="0.5">
      <c r="E118" s="256" t="s">
        <v>173</v>
      </c>
      <c r="F118" s="256"/>
      <c r="G118" s="256"/>
      <c r="H118" s="268">
        <f>_xlfn.XLOOKUP(H$61,$H$42:$AB$42,$H96:$AB96)</f>
        <v>3.2228740546678254</v>
      </c>
      <c r="I118" s="268">
        <f t="shared" ref="I118:M118" si="78">_xlfn.XLOOKUP(I$61,$H$42:$AB$42,$H96:$AB96)</f>
        <v>4.6446816880567781</v>
      </c>
      <c r="J118" s="268">
        <f t="shared" si="78"/>
        <v>5.8204264942428665</v>
      </c>
      <c r="K118" s="268">
        <f t="shared" si="78"/>
        <v>6.6938812500000004</v>
      </c>
      <c r="L118" s="268">
        <f t="shared" si="78"/>
        <v>6.6938812500000004</v>
      </c>
      <c r="M118" s="268">
        <f t="shared" si="78"/>
        <v>111.74161371336693</v>
      </c>
    </row>
    <row r="119" spans="5:16" x14ac:dyDescent="0.5">
      <c r="E119" s="42" t="s">
        <v>169</v>
      </c>
      <c r="H119" s="287">
        <f>_xlfn.XLOOKUP(H$61,$H$42:$AB$42,$H97:$AB97)</f>
        <v>2</v>
      </c>
      <c r="I119" s="287">
        <f t="shared" ref="I119:M119" si="79">_xlfn.XLOOKUP(I$61,$H$42:$AB$42,$H97:$AB97)</f>
        <v>2</v>
      </c>
      <c r="J119" s="287">
        <f t="shared" si="79"/>
        <v>2</v>
      </c>
      <c r="K119" s="287">
        <f t="shared" si="79"/>
        <v>2</v>
      </c>
      <c r="L119" s="287">
        <f t="shared" si="79"/>
        <v>2</v>
      </c>
      <c r="M119" s="287">
        <f t="shared" si="79"/>
        <v>40</v>
      </c>
    </row>
    <row r="120" spans="5:16" x14ac:dyDescent="0.5">
      <c r="E120" s="42" t="s">
        <v>170</v>
      </c>
      <c r="H120" s="287">
        <f>_xlfn.XLOOKUP(H$61,$H$42:$AB$42,$H98:$AB98)</f>
        <v>1.2228740546678254</v>
      </c>
      <c r="I120" s="287">
        <f t="shared" ref="I120:M120" si="80">_xlfn.XLOOKUP(I$61,$H$42:$AB$42,$H98:$AB98)</f>
        <v>2.6446816880567781</v>
      </c>
      <c r="J120" s="287">
        <f t="shared" si="80"/>
        <v>3.8204264942428665</v>
      </c>
      <c r="K120" s="287">
        <f t="shared" si="80"/>
        <v>4.6938812500000004</v>
      </c>
      <c r="L120" s="287">
        <f t="shared" si="80"/>
        <v>4.6938812500000004</v>
      </c>
      <c r="M120" s="287">
        <f t="shared" si="80"/>
        <v>71.741613713366945</v>
      </c>
    </row>
    <row r="122" spans="5:16" x14ac:dyDescent="0.5">
      <c r="E122" s="1" t="s">
        <v>177</v>
      </c>
      <c r="H122" s="263">
        <f>_xlfn.XLOOKUP(H$61,$H$42:$AB$42,$H100:$AB100)</f>
        <v>0</v>
      </c>
      <c r="I122" s="263">
        <f>_xlfn.XLOOKUP(I$61,$H$42:$AB$42,$H100:$AB100)</f>
        <v>0</v>
      </c>
      <c r="J122" s="263">
        <f>_xlfn.XLOOKUP(J$61,$H$42:$AB$42,$H100:$AB100)</f>
        <v>0</v>
      </c>
      <c r="K122" s="263">
        <f>_xlfn.XLOOKUP(K$61,$H$42:$AB$42,$H100:$AB100)</f>
        <v>2.0000894046366433</v>
      </c>
      <c r="L122" s="263">
        <f>_xlfn.XLOOKUP(L$61,$H$42:$AB$42,$H100:$AB100)</f>
        <v>6.0740054067034634</v>
      </c>
      <c r="M122" s="263">
        <f t="shared" ref="M122" si="81">_xlfn.XLOOKUP(M$61,$H$42:$AB$42,$H100:$AB100)</f>
        <v>25.755737912529504</v>
      </c>
    </row>
    <row r="123" spans="5:16" x14ac:dyDescent="0.5">
      <c r="E123" s="256" t="s">
        <v>175</v>
      </c>
      <c r="F123" s="47"/>
      <c r="G123" s="47"/>
      <c r="H123" s="268">
        <f>_xlfn.XLOOKUP(H$61,$H$42:$AB$42,$H101:$AB101)</f>
        <v>0</v>
      </c>
      <c r="I123" s="268">
        <f t="shared" ref="I123:L123" si="82">_xlfn.XLOOKUP(I$61,$H$42:$AB$42,$H101:$AB101)</f>
        <v>0</v>
      </c>
      <c r="J123" s="268">
        <f t="shared" si="82"/>
        <v>0</v>
      </c>
      <c r="K123" s="268">
        <f t="shared" si="82"/>
        <v>1.8000804641729791</v>
      </c>
      <c r="L123" s="268">
        <f t="shared" si="82"/>
        <v>5.4666048660331175</v>
      </c>
      <c r="M123" s="268">
        <f t="shared" ref="M123" si="83">_xlfn.XLOOKUP(M$61,$H$42:$AB$42,$H101:$AB101)</f>
        <v>23.180164121276555</v>
      </c>
      <c r="N123" s="28">
        <f>+P123-O123</f>
        <v>5.151147582505903</v>
      </c>
      <c r="O123" s="28">
        <f>+M122*0.7</f>
        <v>18.029016538770652</v>
      </c>
      <c r="P123" s="1">
        <f>+M122*0.9</f>
        <v>23.180164121276555</v>
      </c>
    </row>
    <row r="125" spans="5:16" x14ac:dyDescent="0.5">
      <c r="E125" s="256" t="s">
        <v>178</v>
      </c>
      <c r="F125" s="47"/>
      <c r="G125" s="47"/>
      <c r="H125" s="268">
        <f>+H118+H123</f>
        <v>3.2228740546678254</v>
      </c>
      <c r="I125" s="268">
        <f t="shared" ref="I125:M125" si="84">+I118+I123</f>
        <v>4.6446816880567781</v>
      </c>
      <c r="J125" s="268">
        <f t="shared" si="84"/>
        <v>5.8204264942428665</v>
      </c>
      <c r="K125" s="268">
        <f t="shared" si="84"/>
        <v>8.4939617141729791</v>
      </c>
      <c r="L125" s="268">
        <f t="shared" si="84"/>
        <v>12.160486116033118</v>
      </c>
      <c r="M125" s="268">
        <f t="shared" si="84"/>
        <v>134.92177783464348</v>
      </c>
    </row>
  </sheetData>
  <conditionalFormatting sqref="I13:V33">
    <cfRule type="cellIs" dxfId="3" priority="2" operator="greaterThan">
      <formula>14000</formula>
    </cfRule>
    <cfRule type="cellIs" dxfId="2" priority="3" operator="between">
      <formula>7093</formula>
      <formula>14001</formula>
    </cfRule>
    <cfRule type="cellIs" dxfId="1" priority="4" operator="between">
      <formula>5092</formula>
      <formula>7093</formula>
    </cfRule>
    <cfRule type="cellIs" dxfId="0" priority="5" operator="lessThanOrEqual">
      <formula>5092</formula>
    </cfRule>
  </conditionalFormatting>
  <conditionalFormatting sqref="Z11:AC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ignoredErrors>
    <ignoredError sqref="H73:M73 H112:M112 H116:M11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F742-BDF5-49FD-A435-11AC34DED7E7}">
  <sheetPr>
    <tabColor rgb="FFFFFF00"/>
  </sheetPr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3"/>
  <sheetViews>
    <sheetView showGridLines="0" topLeftCell="B1" zoomScale="80" zoomScaleNormal="80" workbookViewId="0">
      <selection activeCell="T52" sqref="T52"/>
    </sheetView>
  </sheetViews>
  <sheetFormatPr defaultColWidth="9" defaultRowHeight="14.35" x14ac:dyDescent="0.5"/>
  <cols>
    <col min="1" max="1" width="2" style="1" customWidth="1"/>
    <col min="2" max="2" width="11.1171875" style="1" customWidth="1"/>
    <col min="3" max="3" width="51.29296875" style="1" customWidth="1"/>
    <col min="4" max="4" width="14.29296875" style="1" customWidth="1"/>
    <col min="5" max="5" width="10" style="1" customWidth="1"/>
    <col min="6" max="6" width="15.29296875" style="1" customWidth="1"/>
    <col min="7" max="7" width="3.1171875" style="1" customWidth="1"/>
    <col min="8" max="9" width="9" style="1"/>
    <col min="10" max="10" width="13.41015625" style="1" customWidth="1"/>
    <col min="11" max="11" width="9" style="1"/>
    <col min="12" max="12" width="12" style="1" bestFit="1" customWidth="1"/>
    <col min="13" max="16384" width="9" style="1"/>
  </cols>
  <sheetData>
    <row r="1" spans="2:20" ht="18" customHeight="1" x14ac:dyDescent="0.5">
      <c r="B1" s="411" t="s">
        <v>179</v>
      </c>
      <c r="C1" s="411"/>
      <c r="D1" s="411"/>
      <c r="E1" s="411"/>
      <c r="H1" s="193" t="s">
        <v>180</v>
      </c>
      <c r="I1" s="193"/>
      <c r="J1" s="193"/>
      <c r="K1" s="193"/>
      <c r="L1" s="37"/>
      <c r="M1" s="37"/>
      <c r="N1" s="37"/>
      <c r="O1" s="37"/>
      <c r="P1" s="37"/>
      <c r="Q1" s="37"/>
      <c r="R1" s="37"/>
      <c r="S1" s="37"/>
      <c r="T1" s="37"/>
    </row>
    <row r="2" spans="2:20" ht="12" customHeight="1" x14ac:dyDescent="0.5">
      <c r="B2" s="192"/>
      <c r="C2" s="192"/>
      <c r="D2" s="192"/>
      <c r="E2" s="192"/>
    </row>
    <row r="3" spans="2:20" ht="18" customHeight="1" x14ac:dyDescent="0.5">
      <c r="B3" s="398" t="s">
        <v>181</v>
      </c>
      <c r="C3" s="399"/>
      <c r="D3" s="400" t="s">
        <v>182</v>
      </c>
      <c r="E3" s="401"/>
      <c r="F3" s="401"/>
    </row>
    <row r="4" spans="2:20" ht="28.7" x14ac:dyDescent="0.5">
      <c r="B4" s="173" t="s">
        <v>183</v>
      </c>
      <c r="C4" s="174" t="s">
        <v>184</v>
      </c>
      <c r="D4" s="174"/>
      <c r="E4" s="174" t="s">
        <v>185</v>
      </c>
      <c r="F4" s="174" t="s">
        <v>186</v>
      </c>
    </row>
    <row r="5" spans="2:20" ht="15.7" x14ac:dyDescent="0.55000000000000004">
      <c r="B5" s="175">
        <v>1</v>
      </c>
      <c r="C5" s="176" t="s">
        <v>187</v>
      </c>
      <c r="D5" s="177">
        <v>219100000</v>
      </c>
      <c r="E5" s="178" t="s">
        <v>188</v>
      </c>
      <c r="F5" s="177">
        <f>D5</f>
        <v>219100000</v>
      </c>
      <c r="H5" s="115"/>
      <c r="I5" s="1">
        <f>170.5/0.8</f>
        <v>213.125</v>
      </c>
    </row>
    <row r="6" spans="2:20" s="90" customFormat="1" ht="15.7" x14ac:dyDescent="0.55000000000000004">
      <c r="B6" s="179">
        <v>2</v>
      </c>
      <c r="C6" s="176" t="s">
        <v>29</v>
      </c>
      <c r="D6" s="180">
        <f>+INPUTS!S24*1000</f>
        <v>36835000</v>
      </c>
      <c r="E6" s="178" t="s">
        <v>188</v>
      </c>
      <c r="F6" s="181">
        <f>D6</f>
        <v>36835000</v>
      </c>
      <c r="H6" s="194"/>
      <c r="J6" s="195"/>
      <c r="L6" s="196"/>
    </row>
    <row r="7" spans="2:20" s="90" customFormat="1" ht="15.7" x14ac:dyDescent="0.55000000000000004">
      <c r="B7" s="179">
        <v>3</v>
      </c>
      <c r="C7" s="176" t="s">
        <v>30</v>
      </c>
      <c r="D7" s="182">
        <v>0</v>
      </c>
      <c r="E7" s="178" t="s">
        <v>189</v>
      </c>
      <c r="F7" s="181">
        <f>D6*D7</f>
        <v>0</v>
      </c>
      <c r="H7" s="194"/>
      <c r="J7" s="197"/>
      <c r="L7" s="196"/>
    </row>
    <row r="8" spans="2:20" s="90" customFormat="1" ht="15.7" x14ac:dyDescent="0.55000000000000004">
      <c r="B8" s="183">
        <v>4</v>
      </c>
      <c r="C8" s="184" t="s">
        <v>190</v>
      </c>
      <c r="D8" s="185">
        <f>+ROUND(SUM(INPUTS!S25:S26)/100,0)*10^5-F7</f>
        <v>65500000</v>
      </c>
      <c r="E8" s="178" t="s">
        <v>188</v>
      </c>
      <c r="F8" s="186">
        <f>D8</f>
        <v>65500000</v>
      </c>
      <c r="H8" s="194"/>
      <c r="L8" s="196"/>
    </row>
    <row r="9" spans="2:20" s="90" customFormat="1" ht="15.7" x14ac:dyDescent="0.55000000000000004">
      <c r="B9" s="179">
        <v>5</v>
      </c>
      <c r="C9" s="184" t="s">
        <v>191</v>
      </c>
      <c r="D9" s="187">
        <v>0.2</v>
      </c>
      <c r="E9" s="178" t="s">
        <v>189</v>
      </c>
      <c r="F9" s="186">
        <f>F5*D9</f>
        <v>43820000</v>
      </c>
      <c r="H9" s="194"/>
      <c r="L9" s="196"/>
    </row>
    <row r="10" spans="2:20" s="90" customFormat="1" ht="15.7" x14ac:dyDescent="0.55000000000000004">
      <c r="B10" s="188">
        <v>6</v>
      </c>
      <c r="C10" s="184" t="s">
        <v>192</v>
      </c>
      <c r="D10" s="189">
        <f>D5-F6-F7-F8-F9</f>
        <v>72945000</v>
      </c>
      <c r="E10" s="178" t="s">
        <v>188</v>
      </c>
      <c r="F10" s="186">
        <f>D10</f>
        <v>72945000</v>
      </c>
      <c r="H10" s="194"/>
    </row>
    <row r="11" spans="2:20" s="90" customFormat="1" ht="15.7" x14ac:dyDescent="0.55000000000000004">
      <c r="B11" s="179">
        <v>7</v>
      </c>
      <c r="C11" s="176" t="s">
        <v>193</v>
      </c>
      <c r="D11" s="182" t="e">
        <f>+D12/D10</f>
        <v>#REF!</v>
      </c>
      <c r="E11" s="178" t="s">
        <v>189</v>
      </c>
      <c r="F11" s="181" t="e">
        <f>F10*D11</f>
        <v>#REF!</v>
      </c>
      <c r="G11" s="198"/>
      <c r="H11" s="197"/>
    </row>
    <row r="12" spans="2:20" s="90" customFormat="1" ht="15.7" x14ac:dyDescent="0.55000000000000004">
      <c r="B12" s="190">
        <v>8</v>
      </c>
      <c r="C12" s="176" t="s">
        <v>194</v>
      </c>
      <c r="D12" s="177" t="e">
        <f>+ROUND(Model!#REF!/100,0)*10^5</f>
        <v>#REF!</v>
      </c>
      <c r="E12" s="178" t="s">
        <v>188</v>
      </c>
      <c r="F12" s="181">
        <v>40000000</v>
      </c>
    </row>
    <row r="13" spans="2:20" s="90" customFormat="1" ht="31.7" thickBot="1" x14ac:dyDescent="0.6">
      <c r="B13" s="190">
        <v>9</v>
      </c>
      <c r="C13" s="176" t="s">
        <v>195</v>
      </c>
      <c r="D13" s="191"/>
      <c r="E13" s="178"/>
      <c r="F13" s="181" t="e">
        <f>IF((F10*D11-F12)&lt;0,0,(F10*D11-F12))</f>
        <v>#REF!</v>
      </c>
      <c r="H13" s="197"/>
    </row>
    <row r="14" spans="2:20" ht="22.5" customHeight="1" x14ac:dyDescent="0.85">
      <c r="B14" s="402" t="s">
        <v>124</v>
      </c>
      <c r="C14" s="402"/>
      <c r="D14" s="403"/>
      <c r="E14" s="404" t="e">
        <f>F12+F13</f>
        <v>#REF!</v>
      </c>
      <c r="F14" s="405"/>
    </row>
    <row r="15" spans="2:20" ht="42" customHeight="1" x14ac:dyDescent="0.5">
      <c r="B15" s="409" t="s">
        <v>196</v>
      </c>
      <c r="C15" s="410"/>
      <c r="D15" s="410"/>
      <c r="E15" s="410"/>
      <c r="F15" s="410"/>
    </row>
    <row r="16" spans="2:20" ht="131.44999999999999" customHeight="1" x14ac:dyDescent="0.5">
      <c r="B16" s="407" t="s">
        <v>197</v>
      </c>
      <c r="C16" s="407"/>
      <c r="D16" s="408"/>
    </row>
    <row r="18" spans="1:19" x14ac:dyDescent="0.5">
      <c r="D18" s="9"/>
    </row>
    <row r="19" spans="1:19" x14ac:dyDescent="0.5">
      <c r="D19" s="9"/>
    </row>
    <row r="20" spans="1:19" ht="18.350000000000001" x14ac:dyDescent="0.5">
      <c r="B20" s="192"/>
      <c r="C20" s="192"/>
      <c r="D20" s="192"/>
      <c r="E20" s="192"/>
    </row>
    <row r="21" spans="1:19" ht="18.350000000000001" x14ac:dyDescent="0.5">
      <c r="B21" s="398" t="s">
        <v>181</v>
      </c>
      <c r="C21" s="399"/>
      <c r="D21" s="400" t="s">
        <v>182</v>
      </c>
      <c r="E21" s="401"/>
      <c r="F21" s="401"/>
    </row>
    <row r="22" spans="1:19" ht="28.7" x14ac:dyDescent="0.5">
      <c r="B22" s="173" t="s">
        <v>183</v>
      </c>
      <c r="C22" s="174" t="s">
        <v>184</v>
      </c>
      <c r="D22" s="174"/>
      <c r="E22" s="174" t="s">
        <v>185</v>
      </c>
      <c r="F22" s="174" t="s">
        <v>186</v>
      </c>
    </row>
    <row r="23" spans="1:19" ht="15" customHeight="1" x14ac:dyDescent="0.55000000000000004">
      <c r="B23" s="175">
        <v>1</v>
      </c>
      <c r="C23" s="176" t="s">
        <v>187</v>
      </c>
      <c r="D23" s="177">
        <v>219100000</v>
      </c>
      <c r="E23" s="178" t="s">
        <v>188</v>
      </c>
      <c r="F23" s="181">
        <f>D23</f>
        <v>219100000</v>
      </c>
      <c r="I23" s="1" t="s">
        <v>151</v>
      </c>
      <c r="J23" s="17">
        <f>+Model!E28</f>
        <v>299564.80671951699</v>
      </c>
    </row>
    <row r="24" spans="1:19" ht="15" customHeight="1" x14ac:dyDescent="0.55000000000000004">
      <c r="A24" s="90"/>
      <c r="B24" s="179">
        <v>2</v>
      </c>
      <c r="C24" s="176" t="s">
        <v>29</v>
      </c>
      <c r="D24" s="180">
        <f>+D6</f>
        <v>36835000</v>
      </c>
      <c r="E24" s="178" t="s">
        <v>188</v>
      </c>
      <c r="F24" s="181">
        <f>D24</f>
        <v>36835000</v>
      </c>
      <c r="I24" s="1" t="s">
        <v>95</v>
      </c>
      <c r="J24" s="17">
        <f>+Model!E30</f>
        <v>34481.01927029722</v>
      </c>
      <c r="L24" s="171"/>
      <c r="S24" s="115"/>
    </row>
    <row r="25" spans="1:19" ht="15" customHeight="1" x14ac:dyDescent="0.55000000000000004">
      <c r="A25" s="90"/>
      <c r="B25" s="179">
        <v>3</v>
      </c>
      <c r="C25" s="176" t="s">
        <v>30</v>
      </c>
      <c r="D25" s="182">
        <v>0.25</v>
      </c>
      <c r="E25" s="178" t="s">
        <v>189</v>
      </c>
      <c r="F25" s="181">
        <f>D24*D25</f>
        <v>9208750</v>
      </c>
      <c r="I25" s="1" t="s">
        <v>198</v>
      </c>
      <c r="J25" s="17">
        <f>0.2*J23</f>
        <v>59912.9613439034</v>
      </c>
      <c r="L25" s="171"/>
      <c r="S25" s="115"/>
    </row>
    <row r="26" spans="1:19" ht="15" customHeight="1" x14ac:dyDescent="0.55000000000000004">
      <c r="A26" s="90"/>
      <c r="B26" s="183">
        <v>4</v>
      </c>
      <c r="C26" s="184" t="s">
        <v>190</v>
      </c>
      <c r="D26" s="185">
        <f>61120000-F25</f>
        <v>51911250</v>
      </c>
      <c r="E26" s="178" t="s">
        <v>188</v>
      </c>
      <c r="F26" s="186">
        <f>D26</f>
        <v>51911250</v>
      </c>
      <c r="H26" s="1">
        <f>+F26/1000</f>
        <v>51911.25</v>
      </c>
      <c r="J26" s="17"/>
    </row>
    <row r="27" spans="1:19" ht="15" customHeight="1" x14ac:dyDescent="0.55000000000000004">
      <c r="A27" s="90"/>
      <c r="B27" s="179">
        <v>5</v>
      </c>
      <c r="C27" s="184" t="s">
        <v>191</v>
      </c>
      <c r="D27" s="187">
        <v>0.2</v>
      </c>
      <c r="E27" s="178" t="s">
        <v>189</v>
      </c>
      <c r="F27" s="186">
        <f>+J25*1000</f>
        <v>59912961.3439034</v>
      </c>
      <c r="J27" s="17"/>
      <c r="S27" s="115"/>
    </row>
    <row r="28" spans="1:19" ht="15" customHeight="1" x14ac:dyDescent="0.55000000000000004">
      <c r="A28" s="90"/>
      <c r="B28" s="188">
        <v>6</v>
      </c>
      <c r="C28" s="184" t="s">
        <v>192</v>
      </c>
      <c r="D28" s="189">
        <f>D23-F24-F25-F26-F27</f>
        <v>61232038.6560966</v>
      </c>
      <c r="E28" s="178" t="s">
        <v>188</v>
      </c>
      <c r="F28" s="186">
        <f>D28</f>
        <v>61232038.6560966</v>
      </c>
      <c r="J28" s="17"/>
      <c r="S28" s="115"/>
    </row>
    <row r="29" spans="1:19" ht="15" customHeight="1" x14ac:dyDescent="0.55000000000000004">
      <c r="A29" s="90"/>
      <c r="B29" s="179">
        <v>7</v>
      </c>
      <c r="C29" s="176" t="s">
        <v>193</v>
      </c>
      <c r="D29" s="210">
        <v>0.7</v>
      </c>
      <c r="E29" s="178" t="s">
        <v>189</v>
      </c>
      <c r="F29" s="181">
        <f>F28*D29</f>
        <v>42862427.059267618</v>
      </c>
      <c r="J29" s="17"/>
      <c r="S29" s="115"/>
    </row>
    <row r="30" spans="1:19" ht="15" customHeight="1" x14ac:dyDescent="0.55000000000000004">
      <c r="A30" s="90"/>
      <c r="B30" s="190">
        <v>8</v>
      </c>
      <c r="C30" s="176" t="s">
        <v>194</v>
      </c>
      <c r="D30" s="177">
        <f>+D28*D29</f>
        <v>42862427.059267618</v>
      </c>
      <c r="E30" s="178" t="s">
        <v>188</v>
      </c>
      <c r="F30" s="181">
        <v>40000000</v>
      </c>
      <c r="J30" s="17"/>
      <c r="S30" s="115"/>
    </row>
    <row r="31" spans="1:19" ht="16" thickBot="1" x14ac:dyDescent="0.6">
      <c r="A31" s="90"/>
      <c r="B31" s="190">
        <v>9</v>
      </c>
      <c r="C31" s="176" t="s">
        <v>199</v>
      </c>
      <c r="D31" s="191"/>
      <c r="E31" s="178"/>
      <c r="F31" s="181">
        <f>IF((F28*D29-F30)&lt;0,0,(F28*D29-F30))</f>
        <v>2862427.0592676178</v>
      </c>
      <c r="J31" s="17"/>
      <c r="R31" s="115"/>
      <c r="S31" s="115"/>
    </row>
    <row r="32" spans="1:19" ht="24" x14ac:dyDescent="0.85">
      <c r="B32" s="402" t="s">
        <v>124</v>
      </c>
      <c r="C32" s="402"/>
      <c r="D32" s="403"/>
      <c r="E32" s="404">
        <f>F30+F31</f>
        <v>42862427.059267618</v>
      </c>
      <c r="F32" s="405"/>
      <c r="J32" s="17"/>
      <c r="R32" s="115"/>
      <c r="S32" s="115"/>
    </row>
    <row r="33" spans="2:19" ht="31.35" customHeight="1" x14ac:dyDescent="0.5">
      <c r="B33" s="406" t="s">
        <v>196</v>
      </c>
      <c r="C33" s="406"/>
      <c r="D33" s="406"/>
      <c r="E33" s="406"/>
      <c r="F33" s="406"/>
      <c r="J33" s="17"/>
      <c r="R33" s="115"/>
      <c r="S33" s="115"/>
    </row>
    <row r="34" spans="2:19" x14ac:dyDescent="0.5">
      <c r="J34" s="17"/>
    </row>
    <row r="35" spans="2:19" x14ac:dyDescent="0.5">
      <c r="J35" s="17"/>
    </row>
    <row r="36" spans="2:19" x14ac:dyDescent="0.5">
      <c r="D36" s="55" t="s">
        <v>45</v>
      </c>
      <c r="J36" s="115">
        <f>+F23/10^6</f>
        <v>219.1</v>
      </c>
    </row>
    <row r="37" spans="2:19" ht="15.7" x14ac:dyDescent="0.55000000000000004">
      <c r="C37" s="172" t="s">
        <v>187</v>
      </c>
      <c r="D37" s="124">
        <v>219.1</v>
      </c>
      <c r="J37" s="115">
        <f>-F27/10^6</f>
        <v>-59.912961343903397</v>
      </c>
    </row>
    <row r="38" spans="2:19" ht="15.7" x14ac:dyDescent="0.55000000000000004">
      <c r="C38" s="171" t="s">
        <v>191</v>
      </c>
      <c r="D38" s="115">
        <f>-J25/1000</f>
        <v>-59.912961343903397</v>
      </c>
      <c r="J38" s="237">
        <f>SUM(J36:J37)</f>
        <v>159.1870386560966</v>
      </c>
    </row>
    <row r="39" spans="2:19" ht="15.7" x14ac:dyDescent="0.55000000000000004">
      <c r="C39" s="172" t="s">
        <v>200</v>
      </c>
      <c r="D39" s="124">
        <f>SUM(D37:D38)</f>
        <v>159.1870386560966</v>
      </c>
      <c r="J39" s="115">
        <f>-F24/10^6</f>
        <v>-36.835000000000001</v>
      </c>
    </row>
    <row r="40" spans="2:19" x14ac:dyDescent="0.5">
      <c r="C40" s="1" t="s">
        <v>201</v>
      </c>
      <c r="D40" s="199">
        <v>-170.5</v>
      </c>
      <c r="J40" s="115">
        <f>-F26/10^6</f>
        <v>-51.911250000000003</v>
      </c>
    </row>
    <row r="41" spans="2:19" x14ac:dyDescent="0.5">
      <c r="C41" s="3" t="s">
        <v>202</v>
      </c>
      <c r="D41" s="124">
        <f>+SUM(D39:D40)</f>
        <v>-11.312961343903396</v>
      </c>
      <c r="J41" s="115">
        <f>SUM(J38:J40)</f>
        <v>70.440788656096601</v>
      </c>
    </row>
    <row r="42" spans="2:19" x14ac:dyDescent="0.5">
      <c r="C42" s="1" t="s">
        <v>203</v>
      </c>
      <c r="D42" s="43">
        <v>0.45</v>
      </c>
      <c r="J42" s="115">
        <v>-40</v>
      </c>
    </row>
    <row r="43" spans="2:19" x14ac:dyDescent="0.5">
      <c r="C43" s="3" t="s">
        <v>204</v>
      </c>
      <c r="D43" s="124">
        <f>+D42*D41</f>
        <v>-5.0908326047565282</v>
      </c>
      <c r="J43" s="114">
        <f>-D45-J42</f>
        <v>-8.0091673952434732</v>
      </c>
    </row>
    <row r="44" spans="2:19" x14ac:dyDescent="0.5">
      <c r="C44" s="1" t="s">
        <v>205</v>
      </c>
      <c r="D44" s="115">
        <v>53.1</v>
      </c>
    </row>
    <row r="45" spans="2:19" x14ac:dyDescent="0.5">
      <c r="C45" s="3" t="s">
        <v>206</v>
      </c>
      <c r="D45" s="209">
        <f>SUM(D43:D44)</f>
        <v>48.009167395243473</v>
      </c>
    </row>
    <row r="46" spans="2:19" x14ac:dyDescent="0.5">
      <c r="D46" s="13"/>
    </row>
    <row r="55" spans="10:10" x14ac:dyDescent="0.5">
      <c r="J55" s="115">
        <f>J36</f>
        <v>219.1</v>
      </c>
    </row>
    <row r="56" spans="10:10" x14ac:dyDescent="0.5">
      <c r="J56" s="115">
        <f t="shared" ref="J56" si="0">J37</f>
        <v>-59.912961343903397</v>
      </c>
    </row>
    <row r="57" spans="10:10" x14ac:dyDescent="0.5">
      <c r="J57" s="115">
        <f>SUM(J55:J56)</f>
        <v>159.1870386560966</v>
      </c>
    </row>
    <row r="58" spans="10:10" x14ac:dyDescent="0.5">
      <c r="J58" s="115">
        <f>J42</f>
        <v>-40</v>
      </c>
    </row>
    <row r="59" spans="10:10" x14ac:dyDescent="0.5">
      <c r="J59" s="115">
        <f>J39</f>
        <v>-36.835000000000001</v>
      </c>
    </row>
    <row r="60" spans="10:10" x14ac:dyDescent="0.5">
      <c r="J60" s="115">
        <f>J40</f>
        <v>-51.911250000000003</v>
      </c>
    </row>
    <row r="61" spans="10:10" x14ac:dyDescent="0.5">
      <c r="J61" s="115">
        <f>SUM(J57:J60)</f>
        <v>30.440788656096593</v>
      </c>
    </row>
    <row r="62" spans="10:10" x14ac:dyDescent="0.5">
      <c r="J62" s="115">
        <f>J43</f>
        <v>-8.0091673952434732</v>
      </c>
    </row>
    <row r="63" spans="10:10" x14ac:dyDescent="0.5">
      <c r="J63" s="237">
        <f>+SUM(J61:J62)</f>
        <v>22.43162126085312</v>
      </c>
    </row>
  </sheetData>
  <sheetProtection selectLockedCells="1"/>
  <mergeCells count="12">
    <mergeCell ref="B16:D16"/>
    <mergeCell ref="B15:F15"/>
    <mergeCell ref="B1:E1"/>
    <mergeCell ref="B14:D14"/>
    <mergeCell ref="E14:F14"/>
    <mergeCell ref="B3:C3"/>
    <mergeCell ref="D3:F3"/>
    <mergeCell ref="B21:C21"/>
    <mergeCell ref="D21:F21"/>
    <mergeCell ref="B32:D32"/>
    <mergeCell ref="E32:F32"/>
    <mergeCell ref="B33:F33"/>
  </mergeCells>
  <pageMargins left="0.7" right="0.7" top="0.75" bottom="0.75" header="0.3" footer="0.3"/>
  <pageSetup scale="88" orientation="portrait" r:id="rId1"/>
  <headerFooter>
    <oddHeader>&amp;L&amp;"-,Bold"&amp;KFF0000EXHIBIT A</oddHeader>
  </headerFooter>
  <ignoredErrors>
    <ignoredError sqref="F7:F9 F25:F27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D643-8AC6-48CB-B236-8C07ED2289FC}">
  <dimension ref="A1:E52"/>
  <sheetViews>
    <sheetView topLeftCell="A19" zoomScale="90" zoomScaleNormal="90" workbookViewId="0">
      <selection activeCell="B32" sqref="B32"/>
    </sheetView>
  </sheetViews>
  <sheetFormatPr defaultRowHeight="14.35" x14ac:dyDescent="0.5"/>
  <cols>
    <col min="2" max="2" width="10.41015625" bestFit="1" customWidth="1"/>
    <col min="3" max="3" width="7.29296875" bestFit="1" customWidth="1"/>
    <col min="4" max="4" width="7" bestFit="1" customWidth="1"/>
    <col min="5" max="5" width="11.1171875" customWidth="1"/>
  </cols>
  <sheetData>
    <row r="1" spans="2:5" x14ac:dyDescent="0.5">
      <c r="B1" t="s">
        <v>207</v>
      </c>
      <c r="C1" s="218">
        <v>46052</v>
      </c>
    </row>
    <row r="3" spans="2:5" x14ac:dyDescent="0.5">
      <c r="B3" t="s">
        <v>208</v>
      </c>
      <c r="C3" t="s">
        <v>209</v>
      </c>
      <c r="D3" t="s">
        <v>210</v>
      </c>
      <c r="E3" t="s">
        <v>211</v>
      </c>
    </row>
    <row r="4" spans="2:5" x14ac:dyDescent="0.5">
      <c r="B4" t="s">
        <v>212</v>
      </c>
      <c r="C4" s="219">
        <v>4.37</v>
      </c>
      <c r="D4">
        <v>2026</v>
      </c>
    </row>
    <row r="5" spans="2:5" x14ac:dyDescent="0.5">
      <c r="B5" t="s">
        <v>213</v>
      </c>
      <c r="C5" s="219">
        <v>4.0410000000000004</v>
      </c>
      <c r="D5">
        <v>2026</v>
      </c>
    </row>
    <row r="6" spans="2:5" x14ac:dyDescent="0.5">
      <c r="B6" t="s">
        <v>214</v>
      </c>
      <c r="C6" s="219">
        <v>4.0220000000000002</v>
      </c>
      <c r="D6">
        <v>2026</v>
      </c>
    </row>
    <row r="7" spans="2:5" x14ac:dyDescent="0.5">
      <c r="B7" t="s">
        <v>215</v>
      </c>
      <c r="C7" s="219">
        <v>4.17</v>
      </c>
      <c r="D7">
        <v>2026</v>
      </c>
    </row>
    <row r="8" spans="2:5" x14ac:dyDescent="0.5">
      <c r="B8" t="s">
        <v>216</v>
      </c>
      <c r="C8" s="219">
        <v>4.3520000000000003</v>
      </c>
      <c r="D8">
        <v>2026</v>
      </c>
    </row>
    <row r="9" spans="2:5" x14ac:dyDescent="0.5">
      <c r="B9" t="s">
        <v>217</v>
      </c>
      <c r="C9" s="219">
        <v>4.383</v>
      </c>
      <c r="D9">
        <v>2026</v>
      </c>
    </row>
    <row r="10" spans="2:5" x14ac:dyDescent="0.5">
      <c r="B10" t="s">
        <v>218</v>
      </c>
      <c r="C10" s="219">
        <v>4.3460000000000001</v>
      </c>
      <c r="D10">
        <v>2026</v>
      </c>
    </row>
    <row r="11" spans="2:5" x14ac:dyDescent="0.5">
      <c r="B11" t="s">
        <v>219</v>
      </c>
      <c r="C11" s="219">
        <v>4.399</v>
      </c>
      <c r="D11">
        <v>2026</v>
      </c>
    </row>
    <row r="12" spans="2:5" x14ac:dyDescent="0.5">
      <c r="B12" t="s">
        <v>220</v>
      </c>
      <c r="C12" s="219">
        <v>4.577</v>
      </c>
      <c r="D12">
        <v>2026</v>
      </c>
    </row>
    <row r="13" spans="2:5" x14ac:dyDescent="0.5">
      <c r="B13" t="s">
        <v>221</v>
      </c>
      <c r="C13" s="219">
        <v>5.0860000000000003</v>
      </c>
      <c r="D13">
        <v>2026</v>
      </c>
    </row>
    <row r="14" spans="2:5" x14ac:dyDescent="0.5">
      <c r="B14" t="s">
        <v>222</v>
      </c>
      <c r="C14" s="219">
        <v>5.3970000000000002</v>
      </c>
      <c r="D14">
        <v>2027</v>
      </c>
    </row>
    <row r="15" spans="2:5" x14ac:dyDescent="0.5">
      <c r="B15" t="s">
        <v>223</v>
      </c>
      <c r="C15" s="219">
        <v>4.7939999999999996</v>
      </c>
      <c r="D15">
        <v>2027</v>
      </c>
    </row>
    <row r="16" spans="2:5" x14ac:dyDescent="0.5">
      <c r="B16" t="s">
        <v>224</v>
      </c>
      <c r="C16" s="219">
        <v>3.827</v>
      </c>
      <c r="D16">
        <v>2027</v>
      </c>
    </row>
    <row r="17" spans="2:5" x14ac:dyDescent="0.5">
      <c r="B17" t="s">
        <v>225</v>
      </c>
      <c r="C17" s="219">
        <v>3.3660000000000001</v>
      </c>
      <c r="D17">
        <v>2027</v>
      </c>
    </row>
    <row r="18" spans="2:5" x14ac:dyDescent="0.5">
      <c r="B18" t="s">
        <v>226</v>
      </c>
      <c r="C18" s="219">
        <v>3.9239999999999999</v>
      </c>
      <c r="D18">
        <v>2027</v>
      </c>
    </row>
    <row r="19" spans="2:5" x14ac:dyDescent="0.5">
      <c r="B19" t="s">
        <v>227</v>
      </c>
      <c r="C19" s="219">
        <v>3.6840000000000002</v>
      </c>
      <c r="D19">
        <v>2028</v>
      </c>
    </row>
    <row r="20" spans="2:5" x14ac:dyDescent="0.5">
      <c r="B20" t="s">
        <v>228</v>
      </c>
      <c r="C20" s="219">
        <v>3.6190000000000002</v>
      </c>
      <c r="D20">
        <v>2029</v>
      </c>
    </row>
    <row r="23" spans="2:5" x14ac:dyDescent="0.5">
      <c r="B23" t="s">
        <v>229</v>
      </c>
      <c r="C23" t="s">
        <v>230</v>
      </c>
    </row>
    <row r="26" spans="2:5" x14ac:dyDescent="0.5">
      <c r="B26" s="224"/>
      <c r="C26" s="223"/>
      <c r="D26" s="223"/>
    </row>
    <row r="27" spans="2:5" s="223" customFormat="1" ht="28.7" x14ac:dyDescent="0.5">
      <c r="B27" s="225"/>
      <c r="C27" s="226" t="s">
        <v>231</v>
      </c>
      <c r="D27" s="226" t="s">
        <v>232</v>
      </c>
      <c r="E27" s="226" t="s">
        <v>233</v>
      </c>
    </row>
    <row r="28" spans="2:5" x14ac:dyDescent="0.5">
      <c r="B28" s="228">
        <v>2026</v>
      </c>
      <c r="C28" s="381">
        <f>AVERAGEIFS(HenryHub[Price],HenryHub[Year],B28)</f>
        <v>4.3745999999999992</v>
      </c>
      <c r="D28" s="382">
        <v>0.65</v>
      </c>
      <c r="E28" s="383">
        <f t="shared" ref="E28:E52" si="0">C28+D28</f>
        <v>5.0245999999999995</v>
      </c>
    </row>
    <row r="29" spans="2:5" x14ac:dyDescent="0.5">
      <c r="B29" s="227">
        <f>+B28+1</f>
        <v>2027</v>
      </c>
      <c r="C29" s="378">
        <f>AVERAGEIFS(HenryHub[Price],HenryHub[Year],B29)</f>
        <v>4.2615999999999996</v>
      </c>
      <c r="D29" s="379">
        <f t="shared" ref="D29:D31" si="1">+D28</f>
        <v>0.65</v>
      </c>
      <c r="E29" s="380">
        <f t="shared" si="0"/>
        <v>4.9116</v>
      </c>
    </row>
    <row r="30" spans="2:5" x14ac:dyDescent="0.5">
      <c r="B30" s="227">
        <f>+B29+1</f>
        <v>2028</v>
      </c>
      <c r="C30" s="378">
        <f>AVERAGEIFS(HenryHub[Price],HenryHub[Year],B30)</f>
        <v>3.6840000000000002</v>
      </c>
      <c r="D30" s="379">
        <f t="shared" si="1"/>
        <v>0.65</v>
      </c>
      <c r="E30" s="380">
        <f t="shared" si="0"/>
        <v>4.3340000000000005</v>
      </c>
    </row>
    <row r="31" spans="2:5" x14ac:dyDescent="0.5">
      <c r="B31" s="227">
        <f>+B30+1</f>
        <v>2029</v>
      </c>
      <c r="C31" s="378">
        <f>AVERAGEIFS(HenryHub[Price],HenryHub[Year],B31)</f>
        <v>3.6190000000000002</v>
      </c>
      <c r="D31" s="379">
        <f t="shared" si="1"/>
        <v>0.65</v>
      </c>
      <c r="E31" s="380">
        <f t="shared" si="0"/>
        <v>4.2690000000000001</v>
      </c>
    </row>
    <row r="32" spans="2:5" x14ac:dyDescent="0.5">
      <c r="B32" s="227">
        <f>+B31+1</f>
        <v>2030</v>
      </c>
      <c r="C32" s="378">
        <f>+C31*(1+$A$33)</f>
        <v>3.7094749999999999</v>
      </c>
      <c r="D32" s="379">
        <f>+D31</f>
        <v>0.65</v>
      </c>
      <c r="E32" s="380">
        <f t="shared" si="0"/>
        <v>4.3594749999999998</v>
      </c>
    </row>
    <row r="33" spans="1:5" x14ac:dyDescent="0.5">
      <c r="A33" s="353">
        <f>+INPUTS!$E$6</f>
        <v>2.5000000000000001E-2</v>
      </c>
      <c r="B33" s="227">
        <f t="shared" ref="B33:B49" si="2">+B32+1</f>
        <v>2031</v>
      </c>
      <c r="C33" s="378">
        <f t="shared" ref="C33:C49" si="3">+C32*(1+$A$33)</f>
        <v>3.8022118749999994</v>
      </c>
      <c r="D33" s="379">
        <f t="shared" ref="D33:D49" si="4">+D32</f>
        <v>0.65</v>
      </c>
      <c r="E33" s="380">
        <f t="shared" si="0"/>
        <v>4.4522118749999997</v>
      </c>
    </row>
    <row r="34" spans="1:5" x14ac:dyDescent="0.5">
      <c r="B34" s="227">
        <f t="shared" si="2"/>
        <v>2032</v>
      </c>
      <c r="C34" s="378">
        <f t="shared" si="3"/>
        <v>3.8972671718749989</v>
      </c>
      <c r="D34" s="379">
        <f t="shared" si="4"/>
        <v>0.65</v>
      </c>
      <c r="E34" s="380">
        <f t="shared" si="0"/>
        <v>4.5472671718749993</v>
      </c>
    </row>
    <row r="35" spans="1:5" x14ac:dyDescent="0.5">
      <c r="B35" s="227">
        <f t="shared" si="2"/>
        <v>2033</v>
      </c>
      <c r="C35" s="378">
        <f t="shared" si="3"/>
        <v>3.9946988511718735</v>
      </c>
      <c r="D35" s="379">
        <f t="shared" si="4"/>
        <v>0.65</v>
      </c>
      <c r="E35" s="380">
        <f t="shared" si="0"/>
        <v>4.6446988511718734</v>
      </c>
    </row>
    <row r="36" spans="1:5" x14ac:dyDescent="0.5">
      <c r="B36" s="227">
        <f t="shared" si="2"/>
        <v>2034</v>
      </c>
      <c r="C36" s="378">
        <f t="shared" si="3"/>
        <v>4.0945663224511701</v>
      </c>
      <c r="D36" s="379">
        <f t="shared" si="4"/>
        <v>0.65</v>
      </c>
      <c r="E36" s="380">
        <f t="shared" si="0"/>
        <v>4.7445663224511705</v>
      </c>
    </row>
    <row r="37" spans="1:5" x14ac:dyDescent="0.5">
      <c r="B37" s="227">
        <f t="shared" si="2"/>
        <v>2035</v>
      </c>
      <c r="C37" s="378">
        <f t="shared" si="3"/>
        <v>4.1969304805124494</v>
      </c>
      <c r="D37" s="379">
        <f t="shared" si="4"/>
        <v>0.65</v>
      </c>
      <c r="E37" s="380">
        <f t="shared" si="0"/>
        <v>4.8469304805124498</v>
      </c>
    </row>
    <row r="38" spans="1:5" x14ac:dyDescent="0.5">
      <c r="B38" s="227">
        <f t="shared" si="2"/>
        <v>2036</v>
      </c>
      <c r="C38" s="378">
        <f t="shared" si="3"/>
        <v>4.3018537425252603</v>
      </c>
      <c r="D38" s="379">
        <f t="shared" si="4"/>
        <v>0.65</v>
      </c>
      <c r="E38" s="380">
        <f t="shared" si="0"/>
        <v>4.9518537425252607</v>
      </c>
    </row>
    <row r="39" spans="1:5" x14ac:dyDescent="0.5">
      <c r="B39" s="227">
        <f t="shared" si="2"/>
        <v>2037</v>
      </c>
      <c r="C39" s="378">
        <f t="shared" si="3"/>
        <v>4.4094000860883913</v>
      </c>
      <c r="D39" s="379">
        <f t="shared" si="4"/>
        <v>0.65</v>
      </c>
      <c r="E39" s="380">
        <f t="shared" si="0"/>
        <v>5.0594000860883916</v>
      </c>
    </row>
    <row r="40" spans="1:5" x14ac:dyDescent="0.5">
      <c r="B40" s="227">
        <f t="shared" si="2"/>
        <v>2038</v>
      </c>
      <c r="C40" s="378">
        <f t="shared" si="3"/>
        <v>4.5196350882406007</v>
      </c>
      <c r="D40" s="379">
        <f t="shared" si="4"/>
        <v>0.65</v>
      </c>
      <c r="E40" s="380">
        <f t="shared" si="0"/>
        <v>5.169635088240601</v>
      </c>
    </row>
    <row r="41" spans="1:5" x14ac:dyDescent="0.5">
      <c r="B41" s="227">
        <f t="shared" si="2"/>
        <v>2039</v>
      </c>
      <c r="C41" s="378">
        <f t="shared" si="3"/>
        <v>4.6326259654466151</v>
      </c>
      <c r="D41" s="379">
        <f t="shared" si="4"/>
        <v>0.65</v>
      </c>
      <c r="E41" s="380">
        <f t="shared" si="0"/>
        <v>5.2826259654466154</v>
      </c>
    </row>
    <row r="42" spans="1:5" x14ac:dyDescent="0.5">
      <c r="B42" s="227">
        <f t="shared" si="2"/>
        <v>2040</v>
      </c>
      <c r="C42" s="378">
        <f t="shared" si="3"/>
        <v>4.7484416145827799</v>
      </c>
      <c r="D42" s="379">
        <f t="shared" si="4"/>
        <v>0.65</v>
      </c>
      <c r="E42" s="380">
        <f t="shared" si="0"/>
        <v>5.3984416145827803</v>
      </c>
    </row>
    <row r="43" spans="1:5" x14ac:dyDescent="0.5">
      <c r="B43" s="227">
        <f t="shared" si="2"/>
        <v>2041</v>
      </c>
      <c r="C43" s="378">
        <f t="shared" si="3"/>
        <v>4.8671526549473487</v>
      </c>
      <c r="D43" s="379">
        <f t="shared" si="4"/>
        <v>0.65</v>
      </c>
      <c r="E43" s="380">
        <f t="shared" si="0"/>
        <v>5.5171526549473491</v>
      </c>
    </row>
    <row r="44" spans="1:5" x14ac:dyDescent="0.5">
      <c r="B44" s="227">
        <f t="shared" si="2"/>
        <v>2042</v>
      </c>
      <c r="C44" s="378">
        <f t="shared" si="3"/>
        <v>4.9888314713210322</v>
      </c>
      <c r="D44" s="379">
        <f t="shared" si="4"/>
        <v>0.65</v>
      </c>
      <c r="E44" s="380">
        <f t="shared" si="0"/>
        <v>5.6388314713210326</v>
      </c>
    </row>
    <row r="45" spans="1:5" x14ac:dyDescent="0.5">
      <c r="B45" s="227">
        <f t="shared" si="2"/>
        <v>2043</v>
      </c>
      <c r="C45" s="378">
        <f t="shared" si="3"/>
        <v>5.1135522581040576</v>
      </c>
      <c r="D45" s="379">
        <f t="shared" si="4"/>
        <v>0.65</v>
      </c>
      <c r="E45" s="380">
        <f t="shared" si="0"/>
        <v>5.7635522581040579</v>
      </c>
    </row>
    <row r="46" spans="1:5" x14ac:dyDescent="0.5">
      <c r="B46" s="227">
        <f t="shared" si="2"/>
        <v>2044</v>
      </c>
      <c r="C46" s="378">
        <f t="shared" si="3"/>
        <v>5.2413910645566588</v>
      </c>
      <c r="D46" s="379">
        <f t="shared" si="4"/>
        <v>0.65</v>
      </c>
      <c r="E46" s="380">
        <f t="shared" si="0"/>
        <v>5.8913910645566592</v>
      </c>
    </row>
    <row r="47" spans="1:5" x14ac:dyDescent="0.5">
      <c r="B47" s="227">
        <f t="shared" si="2"/>
        <v>2045</v>
      </c>
      <c r="C47" s="378">
        <f t="shared" si="3"/>
        <v>5.3724258411705748</v>
      </c>
      <c r="D47" s="379">
        <f t="shared" si="4"/>
        <v>0.65</v>
      </c>
      <c r="E47" s="380">
        <f t="shared" si="0"/>
        <v>6.0224258411705751</v>
      </c>
    </row>
    <row r="48" spans="1:5" x14ac:dyDescent="0.5">
      <c r="B48" s="227">
        <f t="shared" si="2"/>
        <v>2046</v>
      </c>
      <c r="C48" s="378">
        <f t="shared" si="3"/>
        <v>5.5067364871998388</v>
      </c>
      <c r="D48" s="379">
        <f t="shared" si="4"/>
        <v>0.65</v>
      </c>
      <c r="E48" s="380">
        <f t="shared" si="0"/>
        <v>6.1567364871998391</v>
      </c>
    </row>
    <row r="49" spans="2:5" x14ac:dyDescent="0.5">
      <c r="B49" s="227">
        <f t="shared" si="2"/>
        <v>2047</v>
      </c>
      <c r="C49" s="378">
        <f t="shared" si="3"/>
        <v>5.6444048993798344</v>
      </c>
      <c r="D49" s="379">
        <f t="shared" si="4"/>
        <v>0.65</v>
      </c>
      <c r="E49" s="380">
        <f t="shared" si="0"/>
        <v>6.2944048993798347</v>
      </c>
    </row>
    <row r="50" spans="2:5" x14ac:dyDescent="0.5">
      <c r="B50" s="227">
        <f t="shared" ref="B50:B52" si="5">+B49+1</f>
        <v>2048</v>
      </c>
      <c r="C50" s="378">
        <f t="shared" ref="C50:C52" si="6">+C49*(1+$A$33)</f>
        <v>5.7855150218643301</v>
      </c>
      <c r="D50" s="379">
        <f t="shared" ref="D50:D52" si="7">+D49</f>
        <v>0.65</v>
      </c>
      <c r="E50" s="380">
        <f t="shared" si="0"/>
        <v>6.4355150218643304</v>
      </c>
    </row>
    <row r="51" spans="2:5" x14ac:dyDescent="0.5">
      <c r="B51" s="227">
        <f t="shared" si="5"/>
        <v>2049</v>
      </c>
      <c r="C51" s="378">
        <f t="shared" si="6"/>
        <v>5.9301528974109381</v>
      </c>
      <c r="D51" s="379">
        <f t="shared" si="7"/>
        <v>0.65</v>
      </c>
      <c r="E51" s="380">
        <f t="shared" si="0"/>
        <v>6.5801528974109385</v>
      </c>
    </row>
    <row r="52" spans="2:5" x14ac:dyDescent="0.5">
      <c r="B52" s="227">
        <f t="shared" si="5"/>
        <v>2050</v>
      </c>
      <c r="C52" s="378">
        <f t="shared" si="6"/>
        <v>6.0784067198462113</v>
      </c>
      <c r="D52" s="379">
        <f t="shared" si="7"/>
        <v>0.65</v>
      </c>
      <c r="E52" s="380">
        <f t="shared" si="0"/>
        <v>6.7284067198462116</v>
      </c>
    </row>
  </sheetData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5A81-0A03-46AB-A3C3-EB68802B4E84}">
  <dimension ref="B1:M342"/>
  <sheetViews>
    <sheetView showGridLines="0" topLeftCell="A2" zoomScale="80" zoomScaleNormal="80" workbookViewId="0">
      <selection activeCell="D344" sqref="D344"/>
    </sheetView>
  </sheetViews>
  <sheetFormatPr defaultRowHeight="14.35" x14ac:dyDescent="0.5"/>
  <cols>
    <col min="2" max="2" width="8" style="82" bestFit="1" customWidth="1"/>
    <col min="3" max="3" width="4.1171875" style="82" bestFit="1" customWidth="1"/>
    <col min="4" max="4" width="21.5859375" style="82" bestFit="1" customWidth="1"/>
    <col min="7" max="8" width="9" style="70"/>
    <col min="9" max="9" width="16" bestFit="1" customWidth="1"/>
    <col min="11" max="11" width="45.5859375" bestFit="1" customWidth="1"/>
  </cols>
  <sheetData>
    <row r="1" spans="2:13" x14ac:dyDescent="0.5">
      <c r="I1" s="362">
        <f>+INPUTS!E18</f>
        <v>0.01</v>
      </c>
      <c r="K1" s="361">
        <f>+(J18/J6)^(1/12)-1</f>
        <v>0.10499923350312224</v>
      </c>
      <c r="L1" s="361">
        <v>0.25</v>
      </c>
      <c r="M1" s="365">
        <f>+K1*L1</f>
        <v>2.6249808375780559E-2</v>
      </c>
    </row>
    <row r="2" spans="2:13" x14ac:dyDescent="0.5">
      <c r="B2" s="68"/>
      <c r="C2" s="68"/>
      <c r="D2" s="69" t="s">
        <v>234</v>
      </c>
      <c r="H2" s="70" t="s">
        <v>235</v>
      </c>
      <c r="I2" s="361" t="str">
        <f>TEXT(I21, "$0.00")&amp;" esc. @ "&amp;TEXT(I1,"0.0%")</f>
        <v>$2.39 esc. @ 1.0%</v>
      </c>
      <c r="J2" t="s">
        <v>236</v>
      </c>
      <c r="K2" t="str">
        <f>"Hist Extrapolated @ "&amp;TEXT(M1,"0.0%")&amp;" ( "&amp;TEXT(L1,"0%")&amp;" of 2013-2025 CAGR)"</f>
        <v>Hist Extrapolated @ 2.6% ( 25% of 2013-2025 CAGR)</v>
      </c>
    </row>
    <row r="3" spans="2:13" x14ac:dyDescent="0.5">
      <c r="B3" s="71"/>
      <c r="C3" s="72"/>
      <c r="D3" s="73" t="s">
        <v>237</v>
      </c>
      <c r="G3" s="363" t="s">
        <v>210</v>
      </c>
      <c r="H3" s="363" t="s">
        <v>14</v>
      </c>
    </row>
    <row r="4" spans="2:13" x14ac:dyDescent="0.5">
      <c r="B4" s="71"/>
      <c r="C4" s="72"/>
      <c r="D4" s="360"/>
      <c r="G4" s="363"/>
      <c r="H4" s="363"/>
    </row>
    <row r="5" spans="2:13" x14ac:dyDescent="0.5">
      <c r="B5" s="71"/>
      <c r="C5" s="72"/>
      <c r="D5" s="360"/>
      <c r="G5" s="363">
        <v>2013</v>
      </c>
      <c r="H5" s="363"/>
    </row>
    <row r="6" spans="2:13" x14ac:dyDescent="0.5">
      <c r="B6" s="71"/>
      <c r="C6" s="72"/>
      <c r="D6" s="360"/>
      <c r="G6" s="364">
        <v>2013</v>
      </c>
      <c r="H6" s="363"/>
      <c r="I6" s="78"/>
      <c r="J6" s="78">
        <v>0.73499999999999999</v>
      </c>
    </row>
    <row r="7" spans="2:13" x14ac:dyDescent="0.5">
      <c r="B7" s="71"/>
      <c r="C7" s="72"/>
      <c r="D7" s="360"/>
      <c r="G7" s="364">
        <v>2014</v>
      </c>
      <c r="H7" s="363"/>
      <c r="I7" s="78"/>
      <c r="J7" s="78">
        <v>0.94537037037037053</v>
      </c>
    </row>
    <row r="8" spans="2:13" x14ac:dyDescent="0.5">
      <c r="B8" s="71"/>
      <c r="C8" s="72"/>
      <c r="D8" s="360"/>
      <c r="G8" s="364">
        <v>2015</v>
      </c>
      <c r="H8" s="363"/>
      <c r="I8" s="78"/>
      <c r="J8" s="78">
        <v>1.1598290598290604</v>
      </c>
    </row>
    <row r="9" spans="2:13" x14ac:dyDescent="0.5">
      <c r="B9" s="71"/>
      <c r="C9" s="72"/>
      <c r="D9" s="360"/>
      <c r="G9" s="364">
        <v>2016</v>
      </c>
      <c r="H9" s="363"/>
      <c r="I9" s="78"/>
      <c r="J9" s="78">
        <v>2.0779230769230783</v>
      </c>
    </row>
    <row r="10" spans="2:13" x14ac:dyDescent="0.5">
      <c r="B10" s="71"/>
      <c r="C10" s="72"/>
      <c r="D10" s="360"/>
      <c r="G10" s="364">
        <v>2017</v>
      </c>
      <c r="H10" s="363"/>
      <c r="I10" s="78"/>
      <c r="J10" s="78">
        <v>2.4494690265486727</v>
      </c>
    </row>
    <row r="11" spans="2:13" x14ac:dyDescent="0.5">
      <c r="B11" s="71"/>
      <c r="C11" s="72"/>
      <c r="D11" s="360"/>
      <c r="G11" s="364">
        <v>2018</v>
      </c>
      <c r="H11" s="363"/>
      <c r="I11" s="78"/>
      <c r="J11" s="78">
        <v>1.8759259259259262</v>
      </c>
    </row>
    <row r="12" spans="2:13" x14ac:dyDescent="0.5">
      <c r="B12" s="71"/>
      <c r="C12" s="72"/>
      <c r="D12" s="360"/>
      <c r="G12" s="364">
        <v>2019</v>
      </c>
      <c r="H12" s="363"/>
      <c r="I12" s="78"/>
      <c r="J12" s="78">
        <v>1.4938524590163935</v>
      </c>
    </row>
    <row r="13" spans="2:13" x14ac:dyDescent="0.5">
      <c r="B13" s="71"/>
      <c r="C13" s="72"/>
      <c r="D13" s="360"/>
      <c r="G13" s="364">
        <v>2020</v>
      </c>
      <c r="H13" s="363"/>
      <c r="I13" s="78"/>
      <c r="J13" s="78">
        <v>2.1900714285714296</v>
      </c>
    </row>
    <row r="14" spans="2:13" x14ac:dyDescent="0.5">
      <c r="B14" s="71"/>
      <c r="C14" s="72"/>
      <c r="D14" s="360"/>
      <c r="G14" s="364">
        <v>2021</v>
      </c>
      <c r="H14" s="363"/>
      <c r="I14" s="78"/>
      <c r="J14" s="78">
        <v>2.780357142857143</v>
      </c>
    </row>
    <row r="15" spans="2:13" x14ac:dyDescent="0.5">
      <c r="B15" s="71"/>
      <c r="C15" s="72"/>
      <c r="D15" s="360"/>
      <c r="G15" s="364">
        <v>2022</v>
      </c>
      <c r="H15" s="363"/>
      <c r="I15" s="78"/>
      <c r="J15" s="78">
        <v>2.7842567567567564</v>
      </c>
    </row>
    <row r="16" spans="2:13" x14ac:dyDescent="0.5">
      <c r="B16" s="71"/>
      <c r="C16" s="72"/>
      <c r="D16" s="360"/>
      <c r="G16" s="364">
        <v>2023</v>
      </c>
      <c r="H16" s="363"/>
      <c r="I16" s="78"/>
      <c r="J16" s="78">
        <v>2.7536206896551727</v>
      </c>
    </row>
    <row r="17" spans="2:13" x14ac:dyDescent="0.5">
      <c r="B17" s="71"/>
      <c r="C17" s="72"/>
      <c r="D17" s="360"/>
      <c r="G17" s="364">
        <v>2024</v>
      </c>
      <c r="H17" s="363"/>
      <c r="I17" s="78"/>
      <c r="J17" s="78">
        <v>2.8623015873015891</v>
      </c>
    </row>
    <row r="18" spans="2:13" x14ac:dyDescent="0.5">
      <c r="B18" s="74">
        <v>45322</v>
      </c>
      <c r="C18" s="75" t="s">
        <v>15</v>
      </c>
      <c r="D18" s="76">
        <v>3.2388399989579502</v>
      </c>
      <c r="E18" s="77">
        <f t="shared" ref="E18:E81" si="0">YEAR(B18)</f>
        <v>2024</v>
      </c>
      <c r="G18" s="70">
        <v>2025</v>
      </c>
      <c r="H18" s="78">
        <f t="shared" ref="H18:H44" si="1">AVERAGEIFS($D$18:$D$341,$E$18:$E$341,$G18)</f>
        <v>2.3404618400390462</v>
      </c>
      <c r="I18" s="78"/>
      <c r="J18" s="78">
        <v>2.4357407407407408</v>
      </c>
    </row>
    <row r="19" spans="2:13" x14ac:dyDescent="0.5">
      <c r="B19" s="79">
        <f>EOMONTH(B18,1)</f>
        <v>45351</v>
      </c>
      <c r="C19" s="75" t="s">
        <v>15</v>
      </c>
      <c r="D19" s="80">
        <v>3.2388399989579502</v>
      </c>
      <c r="E19" s="77">
        <f t="shared" si="0"/>
        <v>2024</v>
      </c>
      <c r="G19" s="70">
        <f>+G18+1</f>
        <v>2026</v>
      </c>
      <c r="H19" s="78">
        <f t="shared" si="1"/>
        <v>2.4896872943770032</v>
      </c>
      <c r="I19" s="78"/>
    </row>
    <row r="20" spans="2:13" x14ac:dyDescent="0.5">
      <c r="B20" s="79">
        <f t="shared" ref="B20:B83" si="2">EOMONTH(B19,1)</f>
        <v>45382</v>
      </c>
      <c r="C20" s="75" t="s">
        <v>15</v>
      </c>
      <c r="D20" s="80">
        <v>3.2388399989579502</v>
      </c>
      <c r="E20" s="77">
        <f t="shared" si="0"/>
        <v>2024</v>
      </c>
      <c r="G20" s="70">
        <f t="shared" ref="G20:G44" si="3">+G19+1</f>
        <v>2027</v>
      </c>
      <c r="H20" s="78">
        <f t="shared" si="1"/>
        <v>2.6040894002779571</v>
      </c>
      <c r="I20" s="78"/>
    </row>
    <row r="21" spans="2:13" x14ac:dyDescent="0.5">
      <c r="B21" s="79">
        <f t="shared" si="2"/>
        <v>45412</v>
      </c>
      <c r="C21" s="75" t="s">
        <v>15</v>
      </c>
      <c r="D21" s="80">
        <v>3.2388399989579502</v>
      </c>
      <c r="E21" s="77">
        <f t="shared" si="0"/>
        <v>2024</v>
      </c>
      <c r="G21" s="70">
        <f t="shared" si="3"/>
        <v>2028</v>
      </c>
      <c r="H21" s="78">
        <f t="shared" si="1"/>
        <v>2.6619581040516365</v>
      </c>
      <c r="I21" s="102">
        <f>INPUTS!G17</f>
        <v>2.39</v>
      </c>
      <c r="K21" s="78">
        <f>+J18*(1+$K$1*$L$1)</f>
        <v>2.4996784684382667</v>
      </c>
    </row>
    <row r="22" spans="2:13" x14ac:dyDescent="0.5">
      <c r="B22" s="79">
        <f t="shared" si="2"/>
        <v>45443</v>
      </c>
      <c r="C22" s="75" t="s">
        <v>15</v>
      </c>
      <c r="D22" s="80">
        <v>3.2388399989579502</v>
      </c>
      <c r="E22" s="77">
        <f t="shared" si="0"/>
        <v>2024</v>
      </c>
      <c r="G22" s="70">
        <f t="shared" si="3"/>
        <v>2029</v>
      </c>
      <c r="H22" s="78">
        <f t="shared" si="1"/>
        <v>2.7118203928073998</v>
      </c>
      <c r="I22" s="102">
        <f>I21*(1+INPUTS!$E$18)</f>
        <v>2.4138999999999999</v>
      </c>
      <c r="K22" s="78">
        <f>+K21*(1+$K$1*$L$1)</f>
        <v>2.5652945492358357</v>
      </c>
    </row>
    <row r="23" spans="2:13" x14ac:dyDescent="0.5">
      <c r="B23" s="79">
        <f t="shared" si="2"/>
        <v>45473</v>
      </c>
      <c r="C23" s="75" t="s">
        <v>15</v>
      </c>
      <c r="D23" s="80">
        <v>3.2388399989579502</v>
      </c>
      <c r="E23" s="77">
        <f t="shared" si="0"/>
        <v>2024</v>
      </c>
      <c r="G23" s="70">
        <f t="shared" si="3"/>
        <v>2030</v>
      </c>
      <c r="H23" s="78">
        <f t="shared" si="1"/>
        <v>2.7914812580932673</v>
      </c>
      <c r="I23" s="102">
        <f>I22*(1+INPUTS!$E$18)</f>
        <v>2.4380389999999998</v>
      </c>
      <c r="K23" s="78">
        <f t="shared" ref="K23:K44" si="4">+K22*(1+$K$1*$L$1)</f>
        <v>2.6326330395807105</v>
      </c>
    </row>
    <row r="24" spans="2:13" x14ac:dyDescent="0.5">
      <c r="B24" s="79">
        <f t="shared" si="2"/>
        <v>45504</v>
      </c>
      <c r="C24" s="75" t="s">
        <v>15</v>
      </c>
      <c r="D24" s="80">
        <v>3.2388399989579502</v>
      </c>
      <c r="E24" s="77">
        <f t="shared" si="0"/>
        <v>2024</v>
      </c>
      <c r="G24" s="70">
        <f t="shared" si="3"/>
        <v>2031</v>
      </c>
      <c r="H24" s="78">
        <f t="shared" si="1"/>
        <v>2.9160810589464075</v>
      </c>
      <c r="I24" s="102">
        <f>I23*(1+INPUTS!$E$18)</f>
        <v>2.46241939</v>
      </c>
      <c r="K24" s="78">
        <f t="shared" si="4"/>
        <v>2.7017391523934529</v>
      </c>
    </row>
    <row r="25" spans="2:13" x14ac:dyDescent="0.5">
      <c r="B25" s="79">
        <f t="shared" si="2"/>
        <v>45535</v>
      </c>
      <c r="C25" s="75" t="s">
        <v>15</v>
      </c>
      <c r="D25" s="80">
        <v>3.2388399989579502</v>
      </c>
      <c r="E25" s="77">
        <f t="shared" si="0"/>
        <v>2024</v>
      </c>
      <c r="G25" s="70">
        <f t="shared" si="3"/>
        <v>2032</v>
      </c>
      <c r="H25" s="78">
        <f t="shared" si="1"/>
        <v>2.9781765172612142</v>
      </c>
      <c r="I25" s="102">
        <f>I24*(1+INPUTS!$E$18)</f>
        <v>2.4870435838999998</v>
      </c>
      <c r="K25" s="78">
        <f t="shared" si="4"/>
        <v>2.7726592874251246</v>
      </c>
    </row>
    <row r="26" spans="2:13" x14ac:dyDescent="0.5">
      <c r="B26" s="79">
        <f t="shared" si="2"/>
        <v>45565</v>
      </c>
      <c r="C26" s="75" t="s">
        <v>15</v>
      </c>
      <c r="D26" s="80">
        <v>3.2388399989579502</v>
      </c>
      <c r="E26" s="77">
        <f t="shared" si="0"/>
        <v>2024</v>
      </c>
      <c r="G26" s="70">
        <f t="shared" si="3"/>
        <v>2033</v>
      </c>
      <c r="H26" s="78">
        <f t="shared" si="1"/>
        <v>2.9101358522712708</v>
      </c>
      <c r="I26" s="102">
        <f>I25*(1+INPUTS!$E$18)</f>
        <v>2.5119140197389997</v>
      </c>
      <c r="K26" s="78">
        <f t="shared" si="4"/>
        <v>2.8454410624113624</v>
      </c>
    </row>
    <row r="27" spans="2:13" x14ac:dyDescent="0.5">
      <c r="B27" s="79">
        <f t="shared" si="2"/>
        <v>45596</v>
      </c>
      <c r="C27" s="75" t="s">
        <v>15</v>
      </c>
      <c r="D27" s="80">
        <v>3.2388399989579502</v>
      </c>
      <c r="E27" s="77">
        <f t="shared" si="0"/>
        <v>2024</v>
      </c>
      <c r="G27" s="70">
        <f t="shared" si="3"/>
        <v>2034</v>
      </c>
      <c r="H27" s="78">
        <f t="shared" si="1"/>
        <v>2.8799223864483365</v>
      </c>
      <c r="I27" s="102">
        <f>I26*(1+INPUTS!$E$18)</f>
        <v>2.5370331599363896</v>
      </c>
      <c r="K27" s="78">
        <f t="shared" si="4"/>
        <v>2.9201333450442379</v>
      </c>
    </row>
    <row r="28" spans="2:13" x14ac:dyDescent="0.5">
      <c r="B28" s="79">
        <f t="shared" si="2"/>
        <v>45626</v>
      </c>
      <c r="C28" s="75" t="s">
        <v>15</v>
      </c>
      <c r="D28" s="80">
        <v>3.2388399989579502</v>
      </c>
      <c r="E28" s="77">
        <f t="shared" si="0"/>
        <v>2024</v>
      </c>
      <c r="G28" s="70">
        <f t="shared" si="3"/>
        <v>2035</v>
      </c>
      <c r="H28" s="78">
        <f t="shared" si="1"/>
        <v>2.8742293511089954</v>
      </c>
      <c r="I28" s="102">
        <f>I27*(1+INPUTS!$E$18)</f>
        <v>2.5624034915357536</v>
      </c>
      <c r="K28" s="78">
        <f t="shared" si="4"/>
        <v>2.9967862857833762</v>
      </c>
    </row>
    <row r="29" spans="2:13" x14ac:dyDescent="0.5">
      <c r="B29" s="79">
        <f t="shared" si="2"/>
        <v>45657</v>
      </c>
      <c r="C29" s="75" t="s">
        <v>15</v>
      </c>
      <c r="D29" s="80">
        <v>3.2388399989579502</v>
      </c>
      <c r="E29" s="77">
        <f t="shared" si="0"/>
        <v>2024</v>
      </c>
      <c r="G29" s="70">
        <f t="shared" si="3"/>
        <v>2036</v>
      </c>
      <c r="H29" s="78">
        <f t="shared" si="1"/>
        <v>2.9338871538336271</v>
      </c>
      <c r="I29" s="102">
        <f>I28*(1+INPUTS!$E$18)</f>
        <v>2.588027526451111</v>
      </c>
      <c r="K29" s="78">
        <f t="shared" si="4"/>
        <v>3.0754513515283568</v>
      </c>
      <c r="M29" s="357"/>
    </row>
    <row r="30" spans="2:13" x14ac:dyDescent="0.5">
      <c r="B30" s="79">
        <f t="shared" si="2"/>
        <v>45688</v>
      </c>
      <c r="C30" s="75" t="s">
        <v>15</v>
      </c>
      <c r="D30" s="81">
        <f>_xlfn.XLOOKUP(E30,'D3 Forecast Stratas Dec25'!$I$4:$AH$4,'D3 Forecast Stratas Dec25'!$I$6:$AH$6,0)</f>
        <v>2.3404618400390458</v>
      </c>
      <c r="E30" s="77">
        <f t="shared" si="0"/>
        <v>2025</v>
      </c>
      <c r="G30" s="70">
        <f t="shared" si="3"/>
        <v>2037</v>
      </c>
      <c r="H30" s="78">
        <f t="shared" si="1"/>
        <v>2.9947832201034275</v>
      </c>
      <c r="I30" s="102">
        <f>I29*(1+INPUTS!$E$18)</f>
        <v>2.6139078017156221</v>
      </c>
      <c r="K30" s="78">
        <f t="shared" si="4"/>
        <v>3.1561813601750113</v>
      </c>
    </row>
    <row r="31" spans="2:13" x14ac:dyDescent="0.5">
      <c r="B31" s="79">
        <f t="shared" si="2"/>
        <v>45716</v>
      </c>
      <c r="C31" s="75" t="s">
        <v>15</v>
      </c>
      <c r="D31" s="81">
        <f>_xlfn.XLOOKUP(E31,'D3 Forecast Stratas Dec25'!$I$4:$AH$4,'D3 Forecast Stratas Dec25'!$I$6:$AH$6,0)</f>
        <v>2.3404618400390458</v>
      </c>
      <c r="E31" s="77">
        <f t="shared" si="0"/>
        <v>2025</v>
      </c>
      <c r="G31" s="70">
        <f t="shared" si="3"/>
        <v>2038</v>
      </c>
      <c r="H31" s="78">
        <f t="shared" si="1"/>
        <v>3.0569432514450559</v>
      </c>
      <c r="I31" s="102">
        <f>I30*(1+INPUTS!$E$18)</f>
        <v>2.6400468797327785</v>
      </c>
      <c r="K31" s="78">
        <f t="shared" si="4"/>
        <v>3.2390305160788158</v>
      </c>
    </row>
    <row r="32" spans="2:13" x14ac:dyDescent="0.5">
      <c r="B32" s="79">
        <f t="shared" si="2"/>
        <v>45747</v>
      </c>
      <c r="C32" s="75" t="s">
        <v>15</v>
      </c>
      <c r="D32" s="81">
        <f>_xlfn.XLOOKUP(E32,'D3 Forecast Stratas Dec25'!$I$4:$AH$4,'D3 Forecast Stratas Dec25'!$I$6:$AH$6,0)</f>
        <v>2.3404618400390458</v>
      </c>
      <c r="E32" s="77">
        <f t="shared" si="0"/>
        <v>2025</v>
      </c>
      <c r="G32" s="70">
        <f t="shared" si="3"/>
        <v>2039</v>
      </c>
      <c r="H32" s="78">
        <f t="shared" si="1"/>
        <v>3.120393482848733</v>
      </c>
      <c r="I32" s="102">
        <f>I31*(1+INPUTS!$E$18)</f>
        <v>2.6664473485301063</v>
      </c>
      <c r="K32" s="78">
        <f t="shared" si="4"/>
        <v>3.3240544464491899</v>
      </c>
    </row>
    <row r="33" spans="2:11" x14ac:dyDescent="0.5">
      <c r="B33" s="79">
        <f t="shared" si="2"/>
        <v>45777</v>
      </c>
      <c r="C33" s="75" t="s">
        <v>15</v>
      </c>
      <c r="D33" s="81">
        <f>_xlfn.XLOOKUP(E33,'D3 Forecast Stratas Dec25'!$I$4:$AH$4,'D3 Forecast Stratas Dec25'!$I$6:$AH$6,0)</f>
        <v>2.3404618400390458</v>
      </c>
      <c r="E33" s="77">
        <f t="shared" si="0"/>
        <v>2025</v>
      </c>
      <c r="G33" s="70">
        <f t="shared" si="3"/>
        <v>2040</v>
      </c>
      <c r="H33" s="78">
        <f t="shared" si="1"/>
        <v>3.1851606938408499</v>
      </c>
      <c r="I33" s="102">
        <f>I32*(1+INPUTS!$E$18)</f>
        <v>2.6931118220154073</v>
      </c>
      <c r="K33" s="78">
        <f t="shared" si="4"/>
        <v>3.4113102386991421</v>
      </c>
    </row>
    <row r="34" spans="2:11" x14ac:dyDescent="0.5">
      <c r="B34" s="79">
        <f t="shared" si="2"/>
        <v>45808</v>
      </c>
      <c r="C34" s="75" t="s">
        <v>15</v>
      </c>
      <c r="D34" s="81">
        <f>_xlfn.XLOOKUP(E34,'D3 Forecast Stratas Dec25'!$I$4:$AH$4,'D3 Forecast Stratas Dec25'!$I$6:$AH$6,0)</f>
        <v>2.3404618400390458</v>
      </c>
      <c r="E34" s="77">
        <f t="shared" si="0"/>
        <v>2025</v>
      </c>
      <c r="G34" s="70">
        <f t="shared" si="3"/>
        <v>2041</v>
      </c>
      <c r="H34" s="78">
        <f t="shared" si="1"/>
        <v>3.2512722197864368</v>
      </c>
      <c r="I34" s="102">
        <f>I33*(1+INPUTS!$E$18)</f>
        <v>2.7200429402355613</v>
      </c>
      <c r="K34" s="78">
        <f t="shared" si="4"/>
        <v>3.5008564787753325</v>
      </c>
    </row>
    <row r="35" spans="2:11" x14ac:dyDescent="0.5">
      <c r="B35" s="79">
        <f t="shared" si="2"/>
        <v>45838</v>
      </c>
      <c r="C35" s="75" t="s">
        <v>15</v>
      </c>
      <c r="D35" s="81">
        <f>_xlfn.XLOOKUP(E35,'D3 Forecast Stratas Dec25'!$I$4:$AH$4,'D3 Forecast Stratas Dec25'!$I$6:$AH$6,0)</f>
        <v>2.3404618400390458</v>
      </c>
      <c r="E35" s="77">
        <f t="shared" si="0"/>
        <v>2025</v>
      </c>
      <c r="G35" s="70">
        <f t="shared" si="3"/>
        <v>2042</v>
      </c>
      <c r="H35" s="78">
        <f t="shared" si="1"/>
        <v>3.3187559634261912</v>
      </c>
      <c r="I35" s="102">
        <f>I34*(1+INPUTS!$E$18)</f>
        <v>2.7472433696379168</v>
      </c>
      <c r="K35" s="78">
        <f t="shared" si="4"/>
        <v>3.5927532904942945</v>
      </c>
    </row>
    <row r="36" spans="2:11" x14ac:dyDescent="0.5">
      <c r="B36" s="79">
        <f t="shared" si="2"/>
        <v>45869</v>
      </c>
      <c r="C36" s="75" t="s">
        <v>15</v>
      </c>
      <c r="D36" s="81">
        <f>_xlfn.XLOOKUP(E36,'D3 Forecast Stratas Dec25'!$I$4:$AH$4,'D3 Forecast Stratas Dec25'!$I$6:$AH$6,0)</f>
        <v>2.3404618400390458</v>
      </c>
      <c r="E36" s="77">
        <f t="shared" si="0"/>
        <v>2025</v>
      </c>
      <c r="G36" s="70">
        <f t="shared" si="3"/>
        <v>2043</v>
      </c>
      <c r="H36" s="78">
        <f t="shared" si="1"/>
        <v>3.387640406652991</v>
      </c>
      <c r="I36" s="102">
        <f>I35*(1+INPUTS!$E$18)</f>
        <v>2.774715803334296</v>
      </c>
      <c r="K36" s="78">
        <f t="shared" si="4"/>
        <v>3.6870623759112244</v>
      </c>
    </row>
    <row r="37" spans="2:11" x14ac:dyDescent="0.5">
      <c r="B37" s="79">
        <f t="shared" si="2"/>
        <v>45900</v>
      </c>
      <c r="C37" s="75" t="s">
        <v>15</v>
      </c>
      <c r="D37" s="81">
        <f>_xlfn.XLOOKUP(E37,'D3 Forecast Stratas Dec25'!$I$4:$AH$4,'D3 Forecast Stratas Dec25'!$I$6:$AH$6,0)</f>
        <v>2.3404618400390458</v>
      </c>
      <c r="E37" s="77">
        <f t="shared" si="0"/>
        <v>2025</v>
      </c>
      <c r="G37" s="70">
        <f t="shared" si="3"/>
        <v>2044</v>
      </c>
      <c r="H37" s="78">
        <f t="shared" si="1"/>
        <v>3.4579546225328461</v>
      </c>
      <c r="I37" s="102">
        <f>I36*(1+INPUTS!$E$18)</f>
        <v>2.8024629613676391</v>
      </c>
      <c r="K37" s="78">
        <f t="shared" si="4"/>
        <v>3.7838470567484439</v>
      </c>
    </row>
    <row r="38" spans="2:11" x14ac:dyDescent="0.5">
      <c r="B38" s="79">
        <f t="shared" si="2"/>
        <v>45930</v>
      </c>
      <c r="C38" s="75" t="s">
        <v>15</v>
      </c>
      <c r="D38" s="81">
        <f>_xlfn.XLOOKUP(E38,'D3 Forecast Stratas Dec25'!$I$4:$AH$4,'D3 Forecast Stratas Dec25'!$I$6:$AH$6,0)</f>
        <v>2.3404618400390458</v>
      </c>
      <c r="E38" s="77">
        <f t="shared" si="0"/>
        <v>2025</v>
      </c>
      <c r="G38" s="70">
        <f t="shared" si="3"/>
        <v>2045</v>
      </c>
      <c r="H38" s="78">
        <f t="shared" si="1"/>
        <v>3.5297282875753377</v>
      </c>
      <c r="I38" s="102">
        <f>I37*(1+INPUTS!$E$18)</f>
        <v>2.8304875909813156</v>
      </c>
      <c r="K38" s="78">
        <f t="shared" si="4"/>
        <v>3.8831723169113515</v>
      </c>
    </row>
    <row r="39" spans="2:11" x14ac:dyDescent="0.5">
      <c r="B39" s="79">
        <f t="shared" si="2"/>
        <v>45961</v>
      </c>
      <c r="C39" s="75" t="s">
        <v>15</v>
      </c>
      <c r="D39" s="81">
        <f>_xlfn.XLOOKUP(E39,'D3 Forecast Stratas Dec25'!$I$4:$AH$4,'D3 Forecast Stratas Dec25'!$I$6:$AH$6,0)</f>
        <v>2.3404618400390458</v>
      </c>
      <c r="E39" s="77">
        <f t="shared" si="0"/>
        <v>2025</v>
      </c>
      <c r="G39" s="70">
        <f t="shared" si="3"/>
        <v>2046</v>
      </c>
      <c r="H39" s="78">
        <f t="shared" si="1"/>
        <v>3.6029916942587552</v>
      </c>
      <c r="I39" s="102">
        <f>I38*(1+INPUTS!$E$18)</f>
        <v>2.8587924668911286</v>
      </c>
      <c r="K39" s="78">
        <f t="shared" si="4"/>
        <v>3.9851048461204099</v>
      </c>
    </row>
    <row r="40" spans="2:11" x14ac:dyDescent="0.5">
      <c r="B40" s="79">
        <f t="shared" si="2"/>
        <v>45991</v>
      </c>
      <c r="C40" s="75" t="s">
        <v>15</v>
      </c>
      <c r="D40" s="81">
        <f>_xlfn.XLOOKUP(E40,'D3 Forecast Stratas Dec25'!$I$4:$AH$4,'D3 Forecast Stratas Dec25'!$I$6:$AH$6,0)</f>
        <v>2.3404618400390458</v>
      </c>
      <c r="E40" s="77">
        <f t="shared" si="0"/>
        <v>2025</v>
      </c>
      <c r="G40" s="70">
        <f t="shared" si="3"/>
        <v>2047</v>
      </c>
      <c r="H40" s="78">
        <f t="shared" si="1"/>
        <v>3.6777757638152244</v>
      </c>
      <c r="I40" s="102">
        <f>I39*(1+INPUTS!$E$18)</f>
        <v>2.8873803915600398</v>
      </c>
      <c r="K40" s="78">
        <f t="shared" si="4"/>
        <v>4.0897130846884648</v>
      </c>
    </row>
    <row r="41" spans="2:11" x14ac:dyDescent="0.5">
      <c r="B41" s="79">
        <f t="shared" si="2"/>
        <v>46022</v>
      </c>
      <c r="C41" s="75" t="s">
        <v>15</v>
      </c>
      <c r="D41" s="81">
        <f>_xlfn.XLOOKUP(E41,'D3 Forecast Stratas Dec25'!$I$4:$AH$4,'D3 Forecast Stratas Dec25'!$I$6:$AH$6,0)</f>
        <v>2.3404618400390458</v>
      </c>
      <c r="E41" s="77">
        <f t="shared" si="0"/>
        <v>2025</v>
      </c>
      <c r="G41" s="70">
        <f t="shared" si="3"/>
        <v>2048</v>
      </c>
      <c r="H41" s="78">
        <f t="shared" si="1"/>
        <v>3.7541120592811574</v>
      </c>
      <c r="I41" s="102">
        <f>I40*(1+INPUTS!$E$18)</f>
        <v>2.91625419547564</v>
      </c>
      <c r="K41" s="78">
        <f t="shared" si="4"/>
        <v>4.1970672694734592</v>
      </c>
    </row>
    <row r="42" spans="2:11" x14ac:dyDescent="0.5">
      <c r="B42" s="79">
        <f t="shared" si="2"/>
        <v>46053</v>
      </c>
      <c r="C42" s="75" t="s">
        <v>15</v>
      </c>
      <c r="D42" s="81">
        <f>_xlfn.XLOOKUP(E42,'D3 Forecast Stratas Dec25'!$I$4:$AH$4,'D3 Forecast Stratas Dec25'!$I$6:$AH$6,0)</f>
        <v>2.4896872943770032</v>
      </c>
      <c r="E42" s="77">
        <f t="shared" si="0"/>
        <v>2026</v>
      </c>
      <c r="G42" s="70">
        <f t="shared" si="3"/>
        <v>2049</v>
      </c>
      <c r="H42" s="78">
        <f t="shared" si="1"/>
        <v>3.8320327988186431</v>
      </c>
      <c r="I42" s="102">
        <f>I41*(1+INPUTS!$E$18)</f>
        <v>2.9454167374303966</v>
      </c>
      <c r="K42" s="78">
        <f t="shared" si="4"/>
        <v>4.3072394810373975</v>
      </c>
    </row>
    <row r="43" spans="2:11" x14ac:dyDescent="0.5">
      <c r="B43" s="79">
        <f t="shared" si="2"/>
        <v>46081</v>
      </c>
      <c r="C43" s="75" t="s">
        <v>15</v>
      </c>
      <c r="D43" s="81">
        <f>_xlfn.XLOOKUP(E43,'D3 Forecast Stratas Dec25'!$I$4:$AH$4,'D3 Forecast Stratas Dec25'!$I$6:$AH$6,0)</f>
        <v>2.4896872943770032</v>
      </c>
      <c r="E43" s="77">
        <f t="shared" si="0"/>
        <v>2026</v>
      </c>
      <c r="G43" s="70">
        <f t="shared" si="3"/>
        <v>2050</v>
      </c>
      <c r="H43" s="78">
        <f t="shared" si="1"/>
        <v>3.9115708693132727</v>
      </c>
      <c r="I43" s="102">
        <f>I42*(1+INPUTS!$E$18)</f>
        <v>2.9748709048047006</v>
      </c>
      <c r="K43" s="78">
        <f t="shared" si="4"/>
        <v>4.420303692043225</v>
      </c>
    </row>
    <row r="44" spans="2:11" x14ac:dyDescent="0.5">
      <c r="B44" s="79">
        <f t="shared" si="2"/>
        <v>46112</v>
      </c>
      <c r="C44" s="75" t="s">
        <v>15</v>
      </c>
      <c r="D44" s="81">
        <f>_xlfn.XLOOKUP(E44,'D3 Forecast Stratas Dec25'!$I$4:$AH$4,'D3 Forecast Stratas Dec25'!$I$6:$AH$6,0)</f>
        <v>2.4896872943770032</v>
      </c>
      <c r="E44" s="77">
        <f t="shared" si="0"/>
        <v>2026</v>
      </c>
      <c r="G44" s="70">
        <f t="shared" si="3"/>
        <v>2051</v>
      </c>
      <c r="H44" s="78" t="e">
        <f t="shared" si="1"/>
        <v>#DIV/0!</v>
      </c>
      <c r="I44" s="102">
        <f>I43*(1+INPUTS!$E$18)</f>
        <v>3.0046196138527477</v>
      </c>
      <c r="K44" s="78">
        <f t="shared" si="4"/>
        <v>4.5363358169221151</v>
      </c>
    </row>
    <row r="45" spans="2:11" x14ac:dyDescent="0.5">
      <c r="B45" s="79">
        <f t="shared" si="2"/>
        <v>46142</v>
      </c>
      <c r="C45" s="75" t="s">
        <v>15</v>
      </c>
      <c r="D45" s="81">
        <f>_xlfn.XLOOKUP(E45,'D3 Forecast Stratas Dec25'!$I$4:$AH$4,'D3 Forecast Stratas Dec25'!$I$6:$AH$6,0)</f>
        <v>2.4896872943770032</v>
      </c>
      <c r="E45" s="77">
        <f t="shared" si="0"/>
        <v>2026</v>
      </c>
    </row>
    <row r="46" spans="2:11" x14ac:dyDescent="0.5">
      <c r="B46" s="79">
        <f t="shared" si="2"/>
        <v>46173</v>
      </c>
      <c r="C46" s="75" t="s">
        <v>15</v>
      </c>
      <c r="D46" s="81">
        <f>_xlfn.XLOOKUP(E46,'D3 Forecast Stratas Dec25'!$I$4:$AH$4,'D3 Forecast Stratas Dec25'!$I$6:$AH$6,0)</f>
        <v>2.4896872943770032</v>
      </c>
      <c r="E46" s="77">
        <f t="shared" si="0"/>
        <v>2026</v>
      </c>
    </row>
    <row r="47" spans="2:11" x14ac:dyDescent="0.5">
      <c r="B47" s="79">
        <f t="shared" si="2"/>
        <v>46203</v>
      </c>
      <c r="C47" s="75" t="s">
        <v>15</v>
      </c>
      <c r="D47" s="81">
        <f>_xlfn.XLOOKUP(E47,'D3 Forecast Stratas Dec25'!$I$4:$AH$4,'D3 Forecast Stratas Dec25'!$I$6:$AH$6,0)</f>
        <v>2.4896872943770032</v>
      </c>
      <c r="E47" s="77">
        <f t="shared" si="0"/>
        <v>2026</v>
      </c>
    </row>
    <row r="48" spans="2:11" x14ac:dyDescent="0.5">
      <c r="B48" s="79">
        <f t="shared" si="2"/>
        <v>46234</v>
      </c>
      <c r="C48" s="75" t="s">
        <v>15</v>
      </c>
      <c r="D48" s="81">
        <f>_xlfn.XLOOKUP(E48,'D3 Forecast Stratas Dec25'!$I$4:$AH$4,'D3 Forecast Stratas Dec25'!$I$6:$AH$6,0)</f>
        <v>2.4896872943770032</v>
      </c>
      <c r="E48" s="77">
        <f t="shared" si="0"/>
        <v>2026</v>
      </c>
    </row>
    <row r="49" spans="2:5" x14ac:dyDescent="0.5">
      <c r="B49" s="79">
        <f t="shared" si="2"/>
        <v>46265</v>
      </c>
      <c r="C49" s="75" t="s">
        <v>15</v>
      </c>
      <c r="D49" s="81">
        <f>_xlfn.XLOOKUP(E49,'D3 Forecast Stratas Dec25'!$I$4:$AH$4,'D3 Forecast Stratas Dec25'!$I$6:$AH$6,0)</f>
        <v>2.4896872943770032</v>
      </c>
      <c r="E49" s="77">
        <f t="shared" si="0"/>
        <v>2026</v>
      </c>
    </row>
    <row r="50" spans="2:5" x14ac:dyDescent="0.5">
      <c r="B50" s="79">
        <f t="shared" si="2"/>
        <v>46295</v>
      </c>
      <c r="C50" s="75" t="s">
        <v>15</v>
      </c>
      <c r="D50" s="81">
        <f>_xlfn.XLOOKUP(E50,'D3 Forecast Stratas Dec25'!$I$4:$AH$4,'D3 Forecast Stratas Dec25'!$I$6:$AH$6,0)</f>
        <v>2.4896872943770032</v>
      </c>
      <c r="E50" s="77">
        <f t="shared" si="0"/>
        <v>2026</v>
      </c>
    </row>
    <row r="51" spans="2:5" x14ac:dyDescent="0.5">
      <c r="B51" s="79">
        <f t="shared" si="2"/>
        <v>46326</v>
      </c>
      <c r="C51" s="75" t="s">
        <v>15</v>
      </c>
      <c r="D51" s="81">
        <f>_xlfn.XLOOKUP(E51,'D3 Forecast Stratas Dec25'!$I$4:$AH$4,'D3 Forecast Stratas Dec25'!$I$6:$AH$6,0)</f>
        <v>2.4896872943770032</v>
      </c>
      <c r="E51" s="77">
        <f t="shared" si="0"/>
        <v>2026</v>
      </c>
    </row>
    <row r="52" spans="2:5" x14ac:dyDescent="0.5">
      <c r="B52" s="79">
        <f t="shared" si="2"/>
        <v>46356</v>
      </c>
      <c r="C52" s="75" t="s">
        <v>15</v>
      </c>
      <c r="D52" s="81">
        <f>_xlfn.XLOOKUP(E52,'D3 Forecast Stratas Dec25'!$I$4:$AH$4,'D3 Forecast Stratas Dec25'!$I$6:$AH$6,0)</f>
        <v>2.4896872943770032</v>
      </c>
      <c r="E52" s="77">
        <f t="shared" si="0"/>
        <v>2026</v>
      </c>
    </row>
    <row r="53" spans="2:5" x14ac:dyDescent="0.5">
      <c r="B53" s="79">
        <f t="shared" si="2"/>
        <v>46387</v>
      </c>
      <c r="C53" s="75" t="s">
        <v>15</v>
      </c>
      <c r="D53" s="81">
        <f>_xlfn.XLOOKUP(E53,'D3 Forecast Stratas Dec25'!$I$4:$AH$4,'D3 Forecast Stratas Dec25'!$I$6:$AH$6,0)</f>
        <v>2.4896872943770032</v>
      </c>
      <c r="E53" s="77">
        <f t="shared" si="0"/>
        <v>2026</v>
      </c>
    </row>
    <row r="54" spans="2:5" x14ac:dyDescent="0.5">
      <c r="B54" s="79">
        <f t="shared" si="2"/>
        <v>46418</v>
      </c>
      <c r="C54" s="75" t="s">
        <v>15</v>
      </c>
      <c r="D54" s="81">
        <f>_xlfn.XLOOKUP(E54,'D3 Forecast Stratas Dec25'!$I$4:$AH$4,'D3 Forecast Stratas Dec25'!$I$6:$AH$6,0)</f>
        <v>2.6040894002779571</v>
      </c>
      <c r="E54" s="77">
        <f t="shared" si="0"/>
        <v>2027</v>
      </c>
    </row>
    <row r="55" spans="2:5" x14ac:dyDescent="0.5">
      <c r="B55" s="79">
        <f t="shared" si="2"/>
        <v>46446</v>
      </c>
      <c r="C55" s="75" t="s">
        <v>15</v>
      </c>
      <c r="D55" s="81">
        <f>_xlfn.XLOOKUP(E55,'D3 Forecast Stratas Dec25'!$I$4:$AH$4,'D3 Forecast Stratas Dec25'!$I$6:$AH$6,0)</f>
        <v>2.6040894002779571</v>
      </c>
      <c r="E55" s="77">
        <f t="shared" si="0"/>
        <v>2027</v>
      </c>
    </row>
    <row r="56" spans="2:5" x14ac:dyDescent="0.5">
      <c r="B56" s="79">
        <f t="shared" si="2"/>
        <v>46477</v>
      </c>
      <c r="C56" s="75" t="s">
        <v>15</v>
      </c>
      <c r="D56" s="81">
        <f>_xlfn.XLOOKUP(E56,'D3 Forecast Stratas Dec25'!$I$4:$AH$4,'D3 Forecast Stratas Dec25'!$I$6:$AH$6,0)</f>
        <v>2.6040894002779571</v>
      </c>
      <c r="E56" s="77">
        <f t="shared" si="0"/>
        <v>2027</v>
      </c>
    </row>
    <row r="57" spans="2:5" x14ac:dyDescent="0.5">
      <c r="B57" s="79">
        <f t="shared" si="2"/>
        <v>46507</v>
      </c>
      <c r="C57" s="75" t="s">
        <v>15</v>
      </c>
      <c r="D57" s="81">
        <f>_xlfn.XLOOKUP(E57,'D3 Forecast Stratas Dec25'!$I$4:$AH$4,'D3 Forecast Stratas Dec25'!$I$6:$AH$6,0)</f>
        <v>2.6040894002779571</v>
      </c>
      <c r="E57" s="77">
        <f t="shared" si="0"/>
        <v>2027</v>
      </c>
    </row>
    <row r="58" spans="2:5" x14ac:dyDescent="0.5">
      <c r="B58" s="79">
        <f t="shared" si="2"/>
        <v>46538</v>
      </c>
      <c r="C58" s="75" t="s">
        <v>15</v>
      </c>
      <c r="D58" s="81">
        <f>_xlfn.XLOOKUP(E58,'D3 Forecast Stratas Dec25'!$I$4:$AH$4,'D3 Forecast Stratas Dec25'!$I$6:$AH$6,0)</f>
        <v>2.6040894002779571</v>
      </c>
      <c r="E58" s="77">
        <f t="shared" si="0"/>
        <v>2027</v>
      </c>
    </row>
    <row r="59" spans="2:5" x14ac:dyDescent="0.5">
      <c r="B59" s="79">
        <f t="shared" si="2"/>
        <v>46568</v>
      </c>
      <c r="C59" s="75" t="s">
        <v>15</v>
      </c>
      <c r="D59" s="81">
        <f>_xlfn.XLOOKUP(E59,'D3 Forecast Stratas Dec25'!$I$4:$AH$4,'D3 Forecast Stratas Dec25'!$I$6:$AH$6,0)</f>
        <v>2.6040894002779571</v>
      </c>
      <c r="E59" s="77">
        <f t="shared" si="0"/>
        <v>2027</v>
      </c>
    </row>
    <row r="60" spans="2:5" x14ac:dyDescent="0.5">
      <c r="B60" s="79">
        <f t="shared" si="2"/>
        <v>46599</v>
      </c>
      <c r="C60" s="75" t="s">
        <v>15</v>
      </c>
      <c r="D60" s="81">
        <f>_xlfn.XLOOKUP(E60,'D3 Forecast Stratas Dec25'!$I$4:$AH$4,'D3 Forecast Stratas Dec25'!$I$6:$AH$6,0)</f>
        <v>2.6040894002779571</v>
      </c>
      <c r="E60" s="77">
        <f t="shared" si="0"/>
        <v>2027</v>
      </c>
    </row>
    <row r="61" spans="2:5" x14ac:dyDescent="0.5">
      <c r="B61" s="79">
        <f t="shared" si="2"/>
        <v>46630</v>
      </c>
      <c r="C61" s="75" t="s">
        <v>15</v>
      </c>
      <c r="D61" s="81">
        <f>_xlfn.XLOOKUP(E61,'D3 Forecast Stratas Dec25'!$I$4:$AH$4,'D3 Forecast Stratas Dec25'!$I$6:$AH$6,0)</f>
        <v>2.6040894002779571</v>
      </c>
      <c r="E61" s="77">
        <f t="shared" si="0"/>
        <v>2027</v>
      </c>
    </row>
    <row r="62" spans="2:5" x14ac:dyDescent="0.5">
      <c r="B62" s="79">
        <f t="shared" si="2"/>
        <v>46660</v>
      </c>
      <c r="C62" s="75" t="s">
        <v>15</v>
      </c>
      <c r="D62" s="81">
        <f>_xlfn.XLOOKUP(E62,'D3 Forecast Stratas Dec25'!$I$4:$AH$4,'D3 Forecast Stratas Dec25'!$I$6:$AH$6,0)</f>
        <v>2.6040894002779571</v>
      </c>
      <c r="E62" s="77">
        <f t="shared" si="0"/>
        <v>2027</v>
      </c>
    </row>
    <row r="63" spans="2:5" x14ac:dyDescent="0.5">
      <c r="B63" s="79">
        <f t="shared" si="2"/>
        <v>46691</v>
      </c>
      <c r="C63" s="75" t="s">
        <v>15</v>
      </c>
      <c r="D63" s="81">
        <f>_xlfn.XLOOKUP(E63,'D3 Forecast Stratas Dec25'!$I$4:$AH$4,'D3 Forecast Stratas Dec25'!$I$6:$AH$6,0)</f>
        <v>2.6040894002779571</v>
      </c>
      <c r="E63" s="77">
        <f t="shared" si="0"/>
        <v>2027</v>
      </c>
    </row>
    <row r="64" spans="2:5" x14ac:dyDescent="0.5">
      <c r="B64" s="79">
        <f t="shared" si="2"/>
        <v>46721</v>
      </c>
      <c r="C64" s="75" t="s">
        <v>15</v>
      </c>
      <c r="D64" s="81">
        <f>_xlfn.XLOOKUP(E64,'D3 Forecast Stratas Dec25'!$I$4:$AH$4,'D3 Forecast Stratas Dec25'!$I$6:$AH$6,0)</f>
        <v>2.6040894002779571</v>
      </c>
      <c r="E64" s="77">
        <f t="shared" si="0"/>
        <v>2027</v>
      </c>
    </row>
    <row r="65" spans="2:5" x14ac:dyDescent="0.5">
      <c r="B65" s="79">
        <f t="shared" si="2"/>
        <v>46752</v>
      </c>
      <c r="C65" s="75" t="s">
        <v>15</v>
      </c>
      <c r="D65" s="81">
        <f>_xlfn.XLOOKUP(E65,'D3 Forecast Stratas Dec25'!$I$4:$AH$4,'D3 Forecast Stratas Dec25'!$I$6:$AH$6,0)</f>
        <v>2.6040894002779571</v>
      </c>
      <c r="E65" s="77">
        <f t="shared" si="0"/>
        <v>2027</v>
      </c>
    </row>
    <row r="66" spans="2:5" x14ac:dyDescent="0.5">
      <c r="B66" s="79">
        <f t="shared" si="2"/>
        <v>46783</v>
      </c>
      <c r="C66" s="75" t="s">
        <v>15</v>
      </c>
      <c r="D66" s="81">
        <f>_xlfn.XLOOKUP(E66,'D3 Forecast Stratas Dec25'!$I$4:$AH$4,'D3 Forecast Stratas Dec25'!$I$6:$AH$6,0)</f>
        <v>2.6619581040516369</v>
      </c>
      <c r="E66" s="77">
        <f t="shared" si="0"/>
        <v>2028</v>
      </c>
    </row>
    <row r="67" spans="2:5" x14ac:dyDescent="0.5">
      <c r="B67" s="79">
        <f t="shared" si="2"/>
        <v>46812</v>
      </c>
      <c r="C67" s="75" t="s">
        <v>15</v>
      </c>
      <c r="D67" s="81">
        <f>_xlfn.XLOOKUP(E67,'D3 Forecast Stratas Dec25'!$I$4:$AH$4,'D3 Forecast Stratas Dec25'!$I$6:$AH$6,0)</f>
        <v>2.6619581040516369</v>
      </c>
      <c r="E67" s="77">
        <f t="shared" si="0"/>
        <v>2028</v>
      </c>
    </row>
    <row r="68" spans="2:5" x14ac:dyDescent="0.5">
      <c r="B68" s="79">
        <f t="shared" si="2"/>
        <v>46843</v>
      </c>
      <c r="C68" s="75" t="s">
        <v>15</v>
      </c>
      <c r="D68" s="81">
        <f>_xlfn.XLOOKUP(E68,'D3 Forecast Stratas Dec25'!$I$4:$AH$4,'D3 Forecast Stratas Dec25'!$I$6:$AH$6,0)</f>
        <v>2.6619581040516369</v>
      </c>
      <c r="E68" s="77">
        <f t="shared" si="0"/>
        <v>2028</v>
      </c>
    </row>
    <row r="69" spans="2:5" x14ac:dyDescent="0.5">
      <c r="B69" s="79">
        <f t="shared" si="2"/>
        <v>46873</v>
      </c>
      <c r="C69" s="75" t="s">
        <v>15</v>
      </c>
      <c r="D69" s="81">
        <f>_xlfn.XLOOKUP(E69,'D3 Forecast Stratas Dec25'!$I$4:$AH$4,'D3 Forecast Stratas Dec25'!$I$6:$AH$6,0)</f>
        <v>2.6619581040516369</v>
      </c>
      <c r="E69" s="77">
        <f t="shared" si="0"/>
        <v>2028</v>
      </c>
    </row>
    <row r="70" spans="2:5" x14ac:dyDescent="0.5">
      <c r="B70" s="79">
        <f t="shared" si="2"/>
        <v>46904</v>
      </c>
      <c r="C70" s="75" t="s">
        <v>15</v>
      </c>
      <c r="D70" s="81">
        <f>_xlfn.XLOOKUP(E70,'D3 Forecast Stratas Dec25'!$I$4:$AH$4,'D3 Forecast Stratas Dec25'!$I$6:$AH$6,0)</f>
        <v>2.6619581040516369</v>
      </c>
      <c r="E70" s="77">
        <f t="shared" si="0"/>
        <v>2028</v>
      </c>
    </row>
    <row r="71" spans="2:5" x14ac:dyDescent="0.5">
      <c r="B71" s="79">
        <f t="shared" si="2"/>
        <v>46934</v>
      </c>
      <c r="C71" s="75" t="s">
        <v>15</v>
      </c>
      <c r="D71" s="81">
        <f>_xlfn.XLOOKUP(E71,'D3 Forecast Stratas Dec25'!$I$4:$AH$4,'D3 Forecast Stratas Dec25'!$I$6:$AH$6,0)</f>
        <v>2.6619581040516369</v>
      </c>
      <c r="E71" s="77">
        <f t="shared" si="0"/>
        <v>2028</v>
      </c>
    </row>
    <row r="72" spans="2:5" x14ac:dyDescent="0.5">
      <c r="B72" s="79">
        <f t="shared" si="2"/>
        <v>46965</v>
      </c>
      <c r="C72" s="75" t="s">
        <v>15</v>
      </c>
      <c r="D72" s="81">
        <f>_xlfn.XLOOKUP(E72,'D3 Forecast Stratas Dec25'!$I$4:$AH$4,'D3 Forecast Stratas Dec25'!$I$6:$AH$6,0)</f>
        <v>2.6619581040516369</v>
      </c>
      <c r="E72" s="77">
        <f t="shared" si="0"/>
        <v>2028</v>
      </c>
    </row>
    <row r="73" spans="2:5" x14ac:dyDescent="0.5">
      <c r="B73" s="79">
        <f t="shared" si="2"/>
        <v>46996</v>
      </c>
      <c r="C73" s="75" t="s">
        <v>15</v>
      </c>
      <c r="D73" s="81">
        <f>_xlfn.XLOOKUP(E73,'D3 Forecast Stratas Dec25'!$I$4:$AH$4,'D3 Forecast Stratas Dec25'!$I$6:$AH$6,0)</f>
        <v>2.6619581040516369</v>
      </c>
      <c r="E73" s="77">
        <f t="shared" si="0"/>
        <v>2028</v>
      </c>
    </row>
    <row r="74" spans="2:5" x14ac:dyDescent="0.5">
      <c r="B74" s="79">
        <f t="shared" si="2"/>
        <v>47026</v>
      </c>
      <c r="C74" s="75" t="s">
        <v>15</v>
      </c>
      <c r="D74" s="81">
        <f>_xlfn.XLOOKUP(E74,'D3 Forecast Stratas Dec25'!$I$4:$AH$4,'D3 Forecast Stratas Dec25'!$I$6:$AH$6,0)</f>
        <v>2.6619581040516369</v>
      </c>
      <c r="E74" s="77">
        <f t="shared" si="0"/>
        <v>2028</v>
      </c>
    </row>
    <row r="75" spans="2:5" x14ac:dyDescent="0.5">
      <c r="B75" s="79">
        <f t="shared" si="2"/>
        <v>47057</v>
      </c>
      <c r="C75" s="75" t="s">
        <v>15</v>
      </c>
      <c r="D75" s="81">
        <f>_xlfn.XLOOKUP(E75,'D3 Forecast Stratas Dec25'!$I$4:$AH$4,'D3 Forecast Stratas Dec25'!$I$6:$AH$6,0)</f>
        <v>2.6619581040516369</v>
      </c>
      <c r="E75" s="77">
        <f t="shared" si="0"/>
        <v>2028</v>
      </c>
    </row>
    <row r="76" spans="2:5" x14ac:dyDescent="0.5">
      <c r="B76" s="79">
        <f t="shared" si="2"/>
        <v>47087</v>
      </c>
      <c r="C76" s="75" t="s">
        <v>15</v>
      </c>
      <c r="D76" s="81">
        <f>_xlfn.XLOOKUP(E76,'D3 Forecast Stratas Dec25'!$I$4:$AH$4,'D3 Forecast Stratas Dec25'!$I$6:$AH$6,0)</f>
        <v>2.6619581040516369</v>
      </c>
      <c r="E76" s="77">
        <f t="shared" si="0"/>
        <v>2028</v>
      </c>
    </row>
    <row r="77" spans="2:5" x14ac:dyDescent="0.5">
      <c r="B77" s="79">
        <f t="shared" si="2"/>
        <v>47118</v>
      </c>
      <c r="C77" s="75" t="s">
        <v>15</v>
      </c>
      <c r="D77" s="81">
        <f>_xlfn.XLOOKUP(E77,'D3 Forecast Stratas Dec25'!$I$4:$AH$4,'D3 Forecast Stratas Dec25'!$I$6:$AH$6,0)</f>
        <v>2.6619581040516369</v>
      </c>
      <c r="E77" s="77">
        <f t="shared" si="0"/>
        <v>2028</v>
      </c>
    </row>
    <row r="78" spans="2:5" x14ac:dyDescent="0.5">
      <c r="B78" s="79">
        <f t="shared" si="2"/>
        <v>47149</v>
      </c>
      <c r="C78" s="75" t="s">
        <v>15</v>
      </c>
      <c r="D78" s="81">
        <f>_xlfn.XLOOKUP(E78,'D3 Forecast Stratas Dec25'!$I$4:$AH$4,'D3 Forecast Stratas Dec25'!$I$6:$AH$6,0)</f>
        <v>2.7118203928073998</v>
      </c>
      <c r="E78" s="77">
        <f t="shared" si="0"/>
        <v>2029</v>
      </c>
    </row>
    <row r="79" spans="2:5" x14ac:dyDescent="0.5">
      <c r="B79" s="79">
        <f t="shared" si="2"/>
        <v>47177</v>
      </c>
      <c r="C79" s="75" t="s">
        <v>15</v>
      </c>
      <c r="D79" s="81">
        <f>_xlfn.XLOOKUP(E79,'D3 Forecast Stratas Dec25'!$I$4:$AH$4,'D3 Forecast Stratas Dec25'!$I$6:$AH$6,0)</f>
        <v>2.7118203928073998</v>
      </c>
      <c r="E79" s="77">
        <f t="shared" si="0"/>
        <v>2029</v>
      </c>
    </row>
    <row r="80" spans="2:5" x14ac:dyDescent="0.5">
      <c r="B80" s="79">
        <f t="shared" si="2"/>
        <v>47208</v>
      </c>
      <c r="C80" s="75" t="s">
        <v>15</v>
      </c>
      <c r="D80" s="81">
        <f>_xlfn.XLOOKUP(E80,'D3 Forecast Stratas Dec25'!$I$4:$AH$4,'D3 Forecast Stratas Dec25'!$I$6:$AH$6,0)</f>
        <v>2.7118203928073998</v>
      </c>
      <c r="E80" s="77">
        <f t="shared" si="0"/>
        <v>2029</v>
      </c>
    </row>
    <row r="81" spans="2:5" x14ac:dyDescent="0.5">
      <c r="B81" s="79">
        <f t="shared" si="2"/>
        <v>47238</v>
      </c>
      <c r="C81" s="75" t="s">
        <v>15</v>
      </c>
      <c r="D81" s="81">
        <f>_xlfn.XLOOKUP(E81,'D3 Forecast Stratas Dec25'!$I$4:$AH$4,'D3 Forecast Stratas Dec25'!$I$6:$AH$6,0)</f>
        <v>2.7118203928073998</v>
      </c>
      <c r="E81" s="77">
        <f t="shared" si="0"/>
        <v>2029</v>
      </c>
    </row>
    <row r="82" spans="2:5" x14ac:dyDescent="0.5">
      <c r="B82" s="79">
        <f t="shared" si="2"/>
        <v>47269</v>
      </c>
      <c r="C82" s="75" t="s">
        <v>15</v>
      </c>
      <c r="D82" s="81">
        <f>_xlfn.XLOOKUP(E82,'D3 Forecast Stratas Dec25'!$I$4:$AH$4,'D3 Forecast Stratas Dec25'!$I$6:$AH$6,0)</f>
        <v>2.7118203928073998</v>
      </c>
      <c r="E82" s="77">
        <f t="shared" ref="E82:E145" si="5">YEAR(B82)</f>
        <v>2029</v>
      </c>
    </row>
    <row r="83" spans="2:5" x14ac:dyDescent="0.5">
      <c r="B83" s="79">
        <f t="shared" si="2"/>
        <v>47299</v>
      </c>
      <c r="C83" s="75" t="s">
        <v>15</v>
      </c>
      <c r="D83" s="81">
        <f>_xlfn.XLOOKUP(E83,'D3 Forecast Stratas Dec25'!$I$4:$AH$4,'D3 Forecast Stratas Dec25'!$I$6:$AH$6,0)</f>
        <v>2.7118203928073998</v>
      </c>
      <c r="E83" s="77">
        <f t="shared" si="5"/>
        <v>2029</v>
      </c>
    </row>
    <row r="84" spans="2:5" x14ac:dyDescent="0.5">
      <c r="B84" s="79">
        <f t="shared" ref="B84:B147" si="6">EOMONTH(B83,1)</f>
        <v>47330</v>
      </c>
      <c r="C84" s="75" t="s">
        <v>15</v>
      </c>
      <c r="D84" s="81">
        <f>_xlfn.XLOOKUP(E84,'D3 Forecast Stratas Dec25'!$I$4:$AH$4,'D3 Forecast Stratas Dec25'!$I$6:$AH$6,0)</f>
        <v>2.7118203928073998</v>
      </c>
      <c r="E84" s="77">
        <f t="shared" si="5"/>
        <v>2029</v>
      </c>
    </row>
    <row r="85" spans="2:5" x14ac:dyDescent="0.5">
      <c r="B85" s="79">
        <f t="shared" si="6"/>
        <v>47361</v>
      </c>
      <c r="C85" s="75" t="s">
        <v>15</v>
      </c>
      <c r="D85" s="81">
        <f>_xlfn.XLOOKUP(E85,'D3 Forecast Stratas Dec25'!$I$4:$AH$4,'D3 Forecast Stratas Dec25'!$I$6:$AH$6,0)</f>
        <v>2.7118203928073998</v>
      </c>
      <c r="E85" s="77">
        <f t="shared" si="5"/>
        <v>2029</v>
      </c>
    </row>
    <row r="86" spans="2:5" x14ac:dyDescent="0.5">
      <c r="B86" s="79">
        <f t="shared" si="6"/>
        <v>47391</v>
      </c>
      <c r="C86" s="75" t="s">
        <v>15</v>
      </c>
      <c r="D86" s="81">
        <f>_xlfn.XLOOKUP(E86,'D3 Forecast Stratas Dec25'!$I$4:$AH$4,'D3 Forecast Stratas Dec25'!$I$6:$AH$6,0)</f>
        <v>2.7118203928073998</v>
      </c>
      <c r="E86" s="77">
        <f t="shared" si="5"/>
        <v>2029</v>
      </c>
    </row>
    <row r="87" spans="2:5" x14ac:dyDescent="0.5">
      <c r="B87" s="79">
        <f t="shared" si="6"/>
        <v>47422</v>
      </c>
      <c r="C87" s="75" t="s">
        <v>15</v>
      </c>
      <c r="D87" s="81">
        <f>_xlfn.XLOOKUP(E87,'D3 Forecast Stratas Dec25'!$I$4:$AH$4,'D3 Forecast Stratas Dec25'!$I$6:$AH$6,0)</f>
        <v>2.7118203928073998</v>
      </c>
      <c r="E87" s="77">
        <f t="shared" si="5"/>
        <v>2029</v>
      </c>
    </row>
    <row r="88" spans="2:5" x14ac:dyDescent="0.5">
      <c r="B88" s="79">
        <f t="shared" si="6"/>
        <v>47452</v>
      </c>
      <c r="C88" s="75" t="s">
        <v>15</v>
      </c>
      <c r="D88" s="81">
        <f>_xlfn.XLOOKUP(E88,'D3 Forecast Stratas Dec25'!$I$4:$AH$4,'D3 Forecast Stratas Dec25'!$I$6:$AH$6,0)</f>
        <v>2.7118203928073998</v>
      </c>
      <c r="E88" s="77">
        <f t="shared" si="5"/>
        <v>2029</v>
      </c>
    </row>
    <row r="89" spans="2:5" x14ac:dyDescent="0.5">
      <c r="B89" s="79">
        <f t="shared" si="6"/>
        <v>47483</v>
      </c>
      <c r="C89" s="75" t="s">
        <v>15</v>
      </c>
      <c r="D89" s="81">
        <f>_xlfn.XLOOKUP(E89,'D3 Forecast Stratas Dec25'!$I$4:$AH$4,'D3 Forecast Stratas Dec25'!$I$6:$AH$6,0)</f>
        <v>2.7118203928073998</v>
      </c>
      <c r="E89" s="77">
        <f t="shared" si="5"/>
        <v>2029</v>
      </c>
    </row>
    <row r="90" spans="2:5" x14ac:dyDescent="0.5">
      <c r="B90" s="79">
        <f t="shared" si="6"/>
        <v>47514</v>
      </c>
      <c r="C90" s="75" t="s">
        <v>15</v>
      </c>
      <c r="D90" s="81">
        <f>_xlfn.XLOOKUP(E90,'D3 Forecast Stratas Dec25'!$I$4:$AH$4,'D3 Forecast Stratas Dec25'!$I$6:$AH$6,0)</f>
        <v>2.7914812580932682</v>
      </c>
      <c r="E90" s="77">
        <f t="shared" si="5"/>
        <v>2030</v>
      </c>
    </row>
    <row r="91" spans="2:5" x14ac:dyDescent="0.5">
      <c r="B91" s="79">
        <f t="shared" si="6"/>
        <v>47542</v>
      </c>
      <c r="C91" s="75" t="s">
        <v>15</v>
      </c>
      <c r="D91" s="81">
        <f>_xlfn.XLOOKUP(E91,'D3 Forecast Stratas Dec25'!$I$4:$AH$4,'D3 Forecast Stratas Dec25'!$I$6:$AH$6,0)</f>
        <v>2.7914812580932682</v>
      </c>
      <c r="E91" s="77">
        <f t="shared" si="5"/>
        <v>2030</v>
      </c>
    </row>
    <row r="92" spans="2:5" x14ac:dyDescent="0.5">
      <c r="B92" s="79">
        <f t="shared" si="6"/>
        <v>47573</v>
      </c>
      <c r="C92" s="75" t="s">
        <v>15</v>
      </c>
      <c r="D92" s="81">
        <f>_xlfn.XLOOKUP(E92,'D3 Forecast Stratas Dec25'!$I$4:$AH$4,'D3 Forecast Stratas Dec25'!$I$6:$AH$6,0)</f>
        <v>2.7914812580932682</v>
      </c>
      <c r="E92" s="77">
        <f t="shared" si="5"/>
        <v>2030</v>
      </c>
    </row>
    <row r="93" spans="2:5" x14ac:dyDescent="0.5">
      <c r="B93" s="79">
        <f t="shared" si="6"/>
        <v>47603</v>
      </c>
      <c r="C93" s="75" t="s">
        <v>15</v>
      </c>
      <c r="D93" s="81">
        <f>_xlfn.XLOOKUP(E93,'D3 Forecast Stratas Dec25'!$I$4:$AH$4,'D3 Forecast Stratas Dec25'!$I$6:$AH$6,0)</f>
        <v>2.7914812580932682</v>
      </c>
      <c r="E93" s="77">
        <f t="shared" si="5"/>
        <v>2030</v>
      </c>
    </row>
    <row r="94" spans="2:5" x14ac:dyDescent="0.5">
      <c r="B94" s="79">
        <f t="shared" si="6"/>
        <v>47634</v>
      </c>
      <c r="C94" s="75" t="s">
        <v>15</v>
      </c>
      <c r="D94" s="81">
        <f>_xlfn.XLOOKUP(E94,'D3 Forecast Stratas Dec25'!$I$4:$AH$4,'D3 Forecast Stratas Dec25'!$I$6:$AH$6,0)</f>
        <v>2.7914812580932682</v>
      </c>
      <c r="E94" s="77">
        <f t="shared" si="5"/>
        <v>2030</v>
      </c>
    </row>
    <row r="95" spans="2:5" x14ac:dyDescent="0.5">
      <c r="B95" s="79">
        <f t="shared" si="6"/>
        <v>47664</v>
      </c>
      <c r="C95" s="75" t="s">
        <v>15</v>
      </c>
      <c r="D95" s="81">
        <f>_xlfn.XLOOKUP(E95,'D3 Forecast Stratas Dec25'!$I$4:$AH$4,'D3 Forecast Stratas Dec25'!$I$6:$AH$6,0)</f>
        <v>2.7914812580932682</v>
      </c>
      <c r="E95" s="77">
        <f t="shared" si="5"/>
        <v>2030</v>
      </c>
    </row>
    <row r="96" spans="2:5" x14ac:dyDescent="0.5">
      <c r="B96" s="79">
        <f t="shared" si="6"/>
        <v>47695</v>
      </c>
      <c r="C96" s="75" t="s">
        <v>15</v>
      </c>
      <c r="D96" s="81">
        <f>_xlfn.XLOOKUP(E96,'D3 Forecast Stratas Dec25'!$I$4:$AH$4,'D3 Forecast Stratas Dec25'!$I$6:$AH$6,0)</f>
        <v>2.7914812580932682</v>
      </c>
      <c r="E96" s="77">
        <f t="shared" si="5"/>
        <v>2030</v>
      </c>
    </row>
    <row r="97" spans="2:5" x14ac:dyDescent="0.5">
      <c r="B97" s="79">
        <f t="shared" si="6"/>
        <v>47726</v>
      </c>
      <c r="C97" s="75" t="s">
        <v>15</v>
      </c>
      <c r="D97" s="81">
        <f>_xlfn.XLOOKUP(E97,'D3 Forecast Stratas Dec25'!$I$4:$AH$4,'D3 Forecast Stratas Dec25'!$I$6:$AH$6,0)</f>
        <v>2.7914812580932682</v>
      </c>
      <c r="E97" s="77">
        <f t="shared" si="5"/>
        <v>2030</v>
      </c>
    </row>
    <row r="98" spans="2:5" x14ac:dyDescent="0.5">
      <c r="B98" s="79">
        <f t="shared" si="6"/>
        <v>47756</v>
      </c>
      <c r="C98" s="75" t="s">
        <v>15</v>
      </c>
      <c r="D98" s="81">
        <f>_xlfn.XLOOKUP(E98,'D3 Forecast Stratas Dec25'!$I$4:$AH$4,'D3 Forecast Stratas Dec25'!$I$6:$AH$6,0)</f>
        <v>2.7914812580932682</v>
      </c>
      <c r="E98" s="77">
        <f t="shared" si="5"/>
        <v>2030</v>
      </c>
    </row>
    <row r="99" spans="2:5" x14ac:dyDescent="0.5">
      <c r="B99" s="79">
        <f t="shared" si="6"/>
        <v>47787</v>
      </c>
      <c r="C99" s="75" t="s">
        <v>15</v>
      </c>
      <c r="D99" s="81">
        <f>_xlfn.XLOOKUP(E99,'D3 Forecast Stratas Dec25'!$I$4:$AH$4,'D3 Forecast Stratas Dec25'!$I$6:$AH$6,0)</f>
        <v>2.7914812580932682</v>
      </c>
      <c r="E99" s="77">
        <f t="shared" si="5"/>
        <v>2030</v>
      </c>
    </row>
    <row r="100" spans="2:5" x14ac:dyDescent="0.5">
      <c r="B100" s="79">
        <f t="shared" si="6"/>
        <v>47817</v>
      </c>
      <c r="C100" s="75" t="s">
        <v>15</v>
      </c>
      <c r="D100" s="81">
        <f>_xlfn.XLOOKUP(E100,'D3 Forecast Stratas Dec25'!$I$4:$AH$4,'D3 Forecast Stratas Dec25'!$I$6:$AH$6,0)</f>
        <v>2.7914812580932682</v>
      </c>
      <c r="E100" s="77">
        <f t="shared" si="5"/>
        <v>2030</v>
      </c>
    </row>
    <row r="101" spans="2:5" x14ac:dyDescent="0.5">
      <c r="B101" s="79">
        <f t="shared" si="6"/>
        <v>47848</v>
      </c>
      <c r="C101" s="75" t="s">
        <v>15</v>
      </c>
      <c r="D101" s="81">
        <f>_xlfn.XLOOKUP(E101,'D3 Forecast Stratas Dec25'!$I$4:$AH$4,'D3 Forecast Stratas Dec25'!$I$6:$AH$6,0)</f>
        <v>2.7914812580932682</v>
      </c>
      <c r="E101" s="77">
        <f t="shared" si="5"/>
        <v>2030</v>
      </c>
    </row>
    <row r="102" spans="2:5" x14ac:dyDescent="0.5">
      <c r="B102" s="79">
        <f t="shared" si="6"/>
        <v>47879</v>
      </c>
      <c r="C102" s="75" t="s">
        <v>15</v>
      </c>
      <c r="D102" s="81">
        <f>_xlfn.XLOOKUP(E102,'D3 Forecast Stratas Dec25'!$I$4:$AH$4,'D3 Forecast Stratas Dec25'!$I$6:$AH$6,0)</f>
        <v>2.9160810589464079</v>
      </c>
      <c r="E102" s="77">
        <f t="shared" si="5"/>
        <v>2031</v>
      </c>
    </row>
    <row r="103" spans="2:5" x14ac:dyDescent="0.5">
      <c r="B103" s="79">
        <f t="shared" si="6"/>
        <v>47907</v>
      </c>
      <c r="C103" s="75" t="s">
        <v>15</v>
      </c>
      <c r="D103" s="81">
        <f>_xlfn.XLOOKUP(E103,'D3 Forecast Stratas Dec25'!$I$4:$AH$4,'D3 Forecast Stratas Dec25'!$I$6:$AH$6,0)</f>
        <v>2.9160810589464079</v>
      </c>
      <c r="E103" s="77">
        <f t="shared" si="5"/>
        <v>2031</v>
      </c>
    </row>
    <row r="104" spans="2:5" x14ac:dyDescent="0.5">
      <c r="B104" s="79">
        <f t="shared" si="6"/>
        <v>47938</v>
      </c>
      <c r="C104" s="75" t="s">
        <v>15</v>
      </c>
      <c r="D104" s="81">
        <f>_xlfn.XLOOKUP(E104,'D3 Forecast Stratas Dec25'!$I$4:$AH$4,'D3 Forecast Stratas Dec25'!$I$6:$AH$6,0)</f>
        <v>2.9160810589464079</v>
      </c>
      <c r="E104" s="77">
        <f t="shared" si="5"/>
        <v>2031</v>
      </c>
    </row>
    <row r="105" spans="2:5" x14ac:dyDescent="0.5">
      <c r="B105" s="79">
        <f t="shared" si="6"/>
        <v>47968</v>
      </c>
      <c r="C105" s="75" t="s">
        <v>15</v>
      </c>
      <c r="D105" s="81">
        <f>_xlfn.XLOOKUP(E105,'D3 Forecast Stratas Dec25'!$I$4:$AH$4,'D3 Forecast Stratas Dec25'!$I$6:$AH$6,0)</f>
        <v>2.9160810589464079</v>
      </c>
      <c r="E105" s="77">
        <f t="shared" si="5"/>
        <v>2031</v>
      </c>
    </row>
    <row r="106" spans="2:5" x14ac:dyDescent="0.5">
      <c r="B106" s="79">
        <f t="shared" si="6"/>
        <v>47999</v>
      </c>
      <c r="C106" s="75" t="s">
        <v>15</v>
      </c>
      <c r="D106" s="81">
        <f>_xlfn.XLOOKUP(E106,'D3 Forecast Stratas Dec25'!$I$4:$AH$4,'D3 Forecast Stratas Dec25'!$I$6:$AH$6,0)</f>
        <v>2.9160810589464079</v>
      </c>
      <c r="E106" s="77">
        <f t="shared" si="5"/>
        <v>2031</v>
      </c>
    </row>
    <row r="107" spans="2:5" x14ac:dyDescent="0.5">
      <c r="B107" s="79">
        <f t="shared" si="6"/>
        <v>48029</v>
      </c>
      <c r="C107" s="75" t="s">
        <v>15</v>
      </c>
      <c r="D107" s="81">
        <f>_xlfn.XLOOKUP(E107,'D3 Forecast Stratas Dec25'!$I$4:$AH$4,'D3 Forecast Stratas Dec25'!$I$6:$AH$6,0)</f>
        <v>2.9160810589464079</v>
      </c>
      <c r="E107" s="77">
        <f t="shared" si="5"/>
        <v>2031</v>
      </c>
    </row>
    <row r="108" spans="2:5" x14ac:dyDescent="0.5">
      <c r="B108" s="79">
        <f t="shared" si="6"/>
        <v>48060</v>
      </c>
      <c r="C108" s="75" t="s">
        <v>15</v>
      </c>
      <c r="D108" s="81">
        <f>_xlfn.XLOOKUP(E108,'D3 Forecast Stratas Dec25'!$I$4:$AH$4,'D3 Forecast Stratas Dec25'!$I$6:$AH$6,0)</f>
        <v>2.9160810589464079</v>
      </c>
      <c r="E108" s="77">
        <f t="shared" si="5"/>
        <v>2031</v>
      </c>
    </row>
    <row r="109" spans="2:5" x14ac:dyDescent="0.5">
      <c r="B109" s="79">
        <f t="shared" si="6"/>
        <v>48091</v>
      </c>
      <c r="C109" s="75" t="s">
        <v>15</v>
      </c>
      <c r="D109" s="81">
        <f>_xlfn.XLOOKUP(E109,'D3 Forecast Stratas Dec25'!$I$4:$AH$4,'D3 Forecast Stratas Dec25'!$I$6:$AH$6,0)</f>
        <v>2.9160810589464079</v>
      </c>
      <c r="E109" s="77">
        <f t="shared" si="5"/>
        <v>2031</v>
      </c>
    </row>
    <row r="110" spans="2:5" x14ac:dyDescent="0.5">
      <c r="B110" s="79">
        <f t="shared" si="6"/>
        <v>48121</v>
      </c>
      <c r="C110" s="75" t="s">
        <v>15</v>
      </c>
      <c r="D110" s="81">
        <f>_xlfn.XLOOKUP(E110,'D3 Forecast Stratas Dec25'!$I$4:$AH$4,'D3 Forecast Stratas Dec25'!$I$6:$AH$6,0)</f>
        <v>2.9160810589464079</v>
      </c>
      <c r="E110" s="77">
        <f t="shared" si="5"/>
        <v>2031</v>
      </c>
    </row>
    <row r="111" spans="2:5" x14ac:dyDescent="0.5">
      <c r="B111" s="79">
        <f t="shared" si="6"/>
        <v>48152</v>
      </c>
      <c r="C111" s="75" t="s">
        <v>15</v>
      </c>
      <c r="D111" s="81">
        <f>_xlfn.XLOOKUP(E111,'D3 Forecast Stratas Dec25'!$I$4:$AH$4,'D3 Forecast Stratas Dec25'!$I$6:$AH$6,0)</f>
        <v>2.9160810589464079</v>
      </c>
      <c r="E111" s="77">
        <f t="shared" si="5"/>
        <v>2031</v>
      </c>
    </row>
    <row r="112" spans="2:5" x14ac:dyDescent="0.5">
      <c r="B112" s="79">
        <f t="shared" si="6"/>
        <v>48182</v>
      </c>
      <c r="C112" s="75" t="s">
        <v>15</v>
      </c>
      <c r="D112" s="81">
        <f>_xlfn.XLOOKUP(E112,'D3 Forecast Stratas Dec25'!$I$4:$AH$4,'D3 Forecast Stratas Dec25'!$I$6:$AH$6,0)</f>
        <v>2.9160810589464079</v>
      </c>
      <c r="E112" s="77">
        <f t="shared" si="5"/>
        <v>2031</v>
      </c>
    </row>
    <row r="113" spans="2:5" x14ac:dyDescent="0.5">
      <c r="B113" s="79">
        <f t="shared" si="6"/>
        <v>48213</v>
      </c>
      <c r="C113" s="75" t="s">
        <v>15</v>
      </c>
      <c r="D113" s="81">
        <f>_xlfn.XLOOKUP(E113,'D3 Forecast Stratas Dec25'!$I$4:$AH$4,'D3 Forecast Stratas Dec25'!$I$6:$AH$6,0)</f>
        <v>2.9160810589464079</v>
      </c>
      <c r="E113" s="77">
        <f t="shared" si="5"/>
        <v>2031</v>
      </c>
    </row>
    <row r="114" spans="2:5" x14ac:dyDescent="0.5">
      <c r="B114" s="79">
        <f t="shared" si="6"/>
        <v>48244</v>
      </c>
      <c r="C114" s="75" t="s">
        <v>15</v>
      </c>
      <c r="D114" s="81">
        <f>_xlfn.XLOOKUP(E114,'D3 Forecast Stratas Dec25'!$I$4:$AH$4,'D3 Forecast Stratas Dec25'!$I$6:$AH$6,0)</f>
        <v>2.9781765172612138</v>
      </c>
      <c r="E114" s="77">
        <f t="shared" si="5"/>
        <v>2032</v>
      </c>
    </row>
    <row r="115" spans="2:5" x14ac:dyDescent="0.5">
      <c r="B115" s="79">
        <f t="shared" si="6"/>
        <v>48273</v>
      </c>
      <c r="C115" s="75" t="s">
        <v>15</v>
      </c>
      <c r="D115" s="81">
        <f>_xlfn.XLOOKUP(E115,'D3 Forecast Stratas Dec25'!$I$4:$AH$4,'D3 Forecast Stratas Dec25'!$I$6:$AH$6,0)</f>
        <v>2.9781765172612138</v>
      </c>
      <c r="E115" s="77">
        <f t="shared" si="5"/>
        <v>2032</v>
      </c>
    </row>
    <row r="116" spans="2:5" x14ac:dyDescent="0.5">
      <c r="B116" s="79">
        <f t="shared" si="6"/>
        <v>48304</v>
      </c>
      <c r="C116" s="75" t="s">
        <v>15</v>
      </c>
      <c r="D116" s="81">
        <f>_xlfn.XLOOKUP(E116,'D3 Forecast Stratas Dec25'!$I$4:$AH$4,'D3 Forecast Stratas Dec25'!$I$6:$AH$6,0)</f>
        <v>2.9781765172612138</v>
      </c>
      <c r="E116" s="77">
        <f t="shared" si="5"/>
        <v>2032</v>
      </c>
    </row>
    <row r="117" spans="2:5" x14ac:dyDescent="0.5">
      <c r="B117" s="79">
        <f t="shared" si="6"/>
        <v>48334</v>
      </c>
      <c r="C117" s="75" t="s">
        <v>15</v>
      </c>
      <c r="D117" s="81">
        <f>_xlfn.XLOOKUP(E117,'D3 Forecast Stratas Dec25'!$I$4:$AH$4,'D3 Forecast Stratas Dec25'!$I$6:$AH$6,0)</f>
        <v>2.9781765172612138</v>
      </c>
      <c r="E117" s="77">
        <f t="shared" si="5"/>
        <v>2032</v>
      </c>
    </row>
    <row r="118" spans="2:5" x14ac:dyDescent="0.5">
      <c r="B118" s="79">
        <f t="shared" si="6"/>
        <v>48365</v>
      </c>
      <c r="C118" s="75" t="s">
        <v>15</v>
      </c>
      <c r="D118" s="81">
        <f>_xlfn.XLOOKUP(E118,'D3 Forecast Stratas Dec25'!$I$4:$AH$4,'D3 Forecast Stratas Dec25'!$I$6:$AH$6,0)</f>
        <v>2.9781765172612138</v>
      </c>
      <c r="E118" s="77">
        <f t="shared" si="5"/>
        <v>2032</v>
      </c>
    </row>
    <row r="119" spans="2:5" x14ac:dyDescent="0.5">
      <c r="B119" s="79">
        <f t="shared" si="6"/>
        <v>48395</v>
      </c>
      <c r="C119" s="75" t="s">
        <v>15</v>
      </c>
      <c r="D119" s="81">
        <f>_xlfn.XLOOKUP(E119,'D3 Forecast Stratas Dec25'!$I$4:$AH$4,'D3 Forecast Stratas Dec25'!$I$6:$AH$6,0)</f>
        <v>2.9781765172612138</v>
      </c>
      <c r="E119" s="77">
        <f t="shared" si="5"/>
        <v>2032</v>
      </c>
    </row>
    <row r="120" spans="2:5" x14ac:dyDescent="0.5">
      <c r="B120" s="79">
        <f t="shared" si="6"/>
        <v>48426</v>
      </c>
      <c r="C120" s="75" t="s">
        <v>15</v>
      </c>
      <c r="D120" s="81">
        <f>_xlfn.XLOOKUP(E120,'D3 Forecast Stratas Dec25'!$I$4:$AH$4,'D3 Forecast Stratas Dec25'!$I$6:$AH$6,0)</f>
        <v>2.9781765172612138</v>
      </c>
      <c r="E120" s="77">
        <f t="shared" si="5"/>
        <v>2032</v>
      </c>
    </row>
    <row r="121" spans="2:5" x14ac:dyDescent="0.5">
      <c r="B121" s="79">
        <f t="shared" si="6"/>
        <v>48457</v>
      </c>
      <c r="C121" s="75" t="s">
        <v>15</v>
      </c>
      <c r="D121" s="81">
        <f>_xlfn.XLOOKUP(E121,'D3 Forecast Stratas Dec25'!$I$4:$AH$4,'D3 Forecast Stratas Dec25'!$I$6:$AH$6,0)</f>
        <v>2.9781765172612138</v>
      </c>
      <c r="E121" s="77">
        <f t="shared" si="5"/>
        <v>2032</v>
      </c>
    </row>
    <row r="122" spans="2:5" x14ac:dyDescent="0.5">
      <c r="B122" s="79">
        <f t="shared" si="6"/>
        <v>48487</v>
      </c>
      <c r="C122" s="75" t="s">
        <v>15</v>
      </c>
      <c r="D122" s="81">
        <f>_xlfn.XLOOKUP(E122,'D3 Forecast Stratas Dec25'!$I$4:$AH$4,'D3 Forecast Stratas Dec25'!$I$6:$AH$6,0)</f>
        <v>2.9781765172612138</v>
      </c>
      <c r="E122" s="77">
        <f t="shared" si="5"/>
        <v>2032</v>
      </c>
    </row>
    <row r="123" spans="2:5" x14ac:dyDescent="0.5">
      <c r="B123" s="79">
        <f t="shared" si="6"/>
        <v>48518</v>
      </c>
      <c r="C123" s="75" t="s">
        <v>15</v>
      </c>
      <c r="D123" s="81">
        <f>_xlfn.XLOOKUP(E123,'D3 Forecast Stratas Dec25'!$I$4:$AH$4,'D3 Forecast Stratas Dec25'!$I$6:$AH$6,0)</f>
        <v>2.9781765172612138</v>
      </c>
      <c r="E123" s="77">
        <f t="shared" si="5"/>
        <v>2032</v>
      </c>
    </row>
    <row r="124" spans="2:5" x14ac:dyDescent="0.5">
      <c r="B124" s="79">
        <f t="shared" si="6"/>
        <v>48548</v>
      </c>
      <c r="C124" s="75" t="s">
        <v>15</v>
      </c>
      <c r="D124" s="81">
        <f>_xlfn.XLOOKUP(E124,'D3 Forecast Stratas Dec25'!$I$4:$AH$4,'D3 Forecast Stratas Dec25'!$I$6:$AH$6,0)</f>
        <v>2.9781765172612138</v>
      </c>
      <c r="E124" s="77">
        <f t="shared" si="5"/>
        <v>2032</v>
      </c>
    </row>
    <row r="125" spans="2:5" x14ac:dyDescent="0.5">
      <c r="B125" s="79">
        <f t="shared" si="6"/>
        <v>48579</v>
      </c>
      <c r="C125" s="75" t="s">
        <v>15</v>
      </c>
      <c r="D125" s="81">
        <f>_xlfn.XLOOKUP(E125,'D3 Forecast Stratas Dec25'!$I$4:$AH$4,'D3 Forecast Stratas Dec25'!$I$6:$AH$6,0)</f>
        <v>2.9781765172612138</v>
      </c>
      <c r="E125" s="77">
        <f t="shared" si="5"/>
        <v>2032</v>
      </c>
    </row>
    <row r="126" spans="2:5" x14ac:dyDescent="0.5">
      <c r="B126" s="79">
        <f t="shared" si="6"/>
        <v>48610</v>
      </c>
      <c r="C126" s="75" t="s">
        <v>15</v>
      </c>
      <c r="D126" s="81">
        <f>_xlfn.XLOOKUP(E126,'D3 Forecast Stratas Dec25'!$I$4:$AH$4,'D3 Forecast Stratas Dec25'!$I$6:$AH$6,0)</f>
        <v>2.9101358522712708</v>
      </c>
      <c r="E126" s="77">
        <f t="shared" si="5"/>
        <v>2033</v>
      </c>
    </row>
    <row r="127" spans="2:5" x14ac:dyDescent="0.5">
      <c r="B127" s="79">
        <f t="shared" si="6"/>
        <v>48638</v>
      </c>
      <c r="C127" s="75" t="s">
        <v>15</v>
      </c>
      <c r="D127" s="81">
        <f>_xlfn.XLOOKUP(E127,'D3 Forecast Stratas Dec25'!$I$4:$AH$4,'D3 Forecast Stratas Dec25'!$I$6:$AH$6,0)</f>
        <v>2.9101358522712708</v>
      </c>
      <c r="E127" s="77">
        <f t="shared" si="5"/>
        <v>2033</v>
      </c>
    </row>
    <row r="128" spans="2:5" x14ac:dyDescent="0.5">
      <c r="B128" s="79">
        <f t="shared" si="6"/>
        <v>48669</v>
      </c>
      <c r="C128" s="75" t="s">
        <v>15</v>
      </c>
      <c r="D128" s="81">
        <f>_xlfn.XLOOKUP(E128,'D3 Forecast Stratas Dec25'!$I$4:$AH$4,'D3 Forecast Stratas Dec25'!$I$6:$AH$6,0)</f>
        <v>2.9101358522712708</v>
      </c>
      <c r="E128" s="77">
        <f t="shared" si="5"/>
        <v>2033</v>
      </c>
    </row>
    <row r="129" spans="2:5" x14ac:dyDescent="0.5">
      <c r="B129" s="79">
        <f t="shared" si="6"/>
        <v>48699</v>
      </c>
      <c r="C129" s="75" t="s">
        <v>15</v>
      </c>
      <c r="D129" s="81">
        <f>_xlfn.XLOOKUP(E129,'D3 Forecast Stratas Dec25'!$I$4:$AH$4,'D3 Forecast Stratas Dec25'!$I$6:$AH$6,0)</f>
        <v>2.9101358522712708</v>
      </c>
      <c r="E129" s="77">
        <f t="shared" si="5"/>
        <v>2033</v>
      </c>
    </row>
    <row r="130" spans="2:5" x14ac:dyDescent="0.5">
      <c r="B130" s="79">
        <f t="shared" si="6"/>
        <v>48730</v>
      </c>
      <c r="C130" s="75" t="s">
        <v>15</v>
      </c>
      <c r="D130" s="81">
        <f>_xlfn.XLOOKUP(E130,'D3 Forecast Stratas Dec25'!$I$4:$AH$4,'D3 Forecast Stratas Dec25'!$I$6:$AH$6,0)</f>
        <v>2.9101358522712708</v>
      </c>
      <c r="E130" s="77">
        <f t="shared" si="5"/>
        <v>2033</v>
      </c>
    </row>
    <row r="131" spans="2:5" x14ac:dyDescent="0.5">
      <c r="B131" s="79">
        <f t="shared" si="6"/>
        <v>48760</v>
      </c>
      <c r="C131" s="75" t="s">
        <v>15</v>
      </c>
      <c r="D131" s="81">
        <f>_xlfn.XLOOKUP(E131,'D3 Forecast Stratas Dec25'!$I$4:$AH$4,'D3 Forecast Stratas Dec25'!$I$6:$AH$6,0)</f>
        <v>2.9101358522712708</v>
      </c>
      <c r="E131" s="77">
        <f t="shared" si="5"/>
        <v>2033</v>
      </c>
    </row>
    <row r="132" spans="2:5" x14ac:dyDescent="0.5">
      <c r="B132" s="79">
        <f t="shared" si="6"/>
        <v>48791</v>
      </c>
      <c r="C132" s="75" t="s">
        <v>15</v>
      </c>
      <c r="D132" s="81">
        <f>_xlfn.XLOOKUP(E132,'D3 Forecast Stratas Dec25'!$I$4:$AH$4,'D3 Forecast Stratas Dec25'!$I$6:$AH$6,0)</f>
        <v>2.9101358522712708</v>
      </c>
      <c r="E132" s="77">
        <f t="shared" si="5"/>
        <v>2033</v>
      </c>
    </row>
    <row r="133" spans="2:5" x14ac:dyDescent="0.5">
      <c r="B133" s="79">
        <f t="shared" si="6"/>
        <v>48822</v>
      </c>
      <c r="C133" s="75" t="s">
        <v>15</v>
      </c>
      <c r="D133" s="81">
        <f>_xlfn.XLOOKUP(E133,'D3 Forecast Stratas Dec25'!$I$4:$AH$4,'D3 Forecast Stratas Dec25'!$I$6:$AH$6,0)</f>
        <v>2.9101358522712708</v>
      </c>
      <c r="E133" s="77">
        <f t="shared" si="5"/>
        <v>2033</v>
      </c>
    </row>
    <row r="134" spans="2:5" x14ac:dyDescent="0.5">
      <c r="B134" s="79">
        <f t="shared" si="6"/>
        <v>48852</v>
      </c>
      <c r="C134" s="75" t="s">
        <v>15</v>
      </c>
      <c r="D134" s="81">
        <f>_xlfn.XLOOKUP(E134,'D3 Forecast Stratas Dec25'!$I$4:$AH$4,'D3 Forecast Stratas Dec25'!$I$6:$AH$6,0)</f>
        <v>2.9101358522712708</v>
      </c>
      <c r="E134" s="77">
        <f t="shared" si="5"/>
        <v>2033</v>
      </c>
    </row>
    <row r="135" spans="2:5" x14ac:dyDescent="0.5">
      <c r="B135" s="79">
        <f t="shared" si="6"/>
        <v>48883</v>
      </c>
      <c r="C135" s="75" t="s">
        <v>15</v>
      </c>
      <c r="D135" s="81">
        <f>_xlfn.XLOOKUP(E135,'D3 Forecast Stratas Dec25'!$I$4:$AH$4,'D3 Forecast Stratas Dec25'!$I$6:$AH$6,0)</f>
        <v>2.9101358522712708</v>
      </c>
      <c r="E135" s="77">
        <f t="shared" si="5"/>
        <v>2033</v>
      </c>
    </row>
    <row r="136" spans="2:5" x14ac:dyDescent="0.5">
      <c r="B136" s="79">
        <f t="shared" si="6"/>
        <v>48913</v>
      </c>
      <c r="C136" s="75" t="s">
        <v>15</v>
      </c>
      <c r="D136" s="81">
        <f>_xlfn.XLOOKUP(E136,'D3 Forecast Stratas Dec25'!$I$4:$AH$4,'D3 Forecast Stratas Dec25'!$I$6:$AH$6,0)</f>
        <v>2.9101358522712708</v>
      </c>
      <c r="E136" s="77">
        <f t="shared" si="5"/>
        <v>2033</v>
      </c>
    </row>
    <row r="137" spans="2:5" x14ac:dyDescent="0.5">
      <c r="B137" s="79">
        <f t="shared" si="6"/>
        <v>48944</v>
      </c>
      <c r="C137" s="75" t="s">
        <v>15</v>
      </c>
      <c r="D137" s="81">
        <f>_xlfn.XLOOKUP(E137,'D3 Forecast Stratas Dec25'!$I$4:$AH$4,'D3 Forecast Stratas Dec25'!$I$6:$AH$6,0)</f>
        <v>2.9101358522712708</v>
      </c>
      <c r="E137" s="77">
        <f t="shared" si="5"/>
        <v>2033</v>
      </c>
    </row>
    <row r="138" spans="2:5" x14ac:dyDescent="0.5">
      <c r="B138" s="79">
        <f t="shared" si="6"/>
        <v>48975</v>
      </c>
      <c r="C138" s="75" t="s">
        <v>15</v>
      </c>
      <c r="D138" s="81">
        <f>_xlfn.XLOOKUP(E138,'D3 Forecast Stratas Dec25'!$I$4:$AH$4,'D3 Forecast Stratas Dec25'!$I$6:$AH$6,0)</f>
        <v>2.879922386448337</v>
      </c>
      <c r="E138" s="77">
        <f t="shared" si="5"/>
        <v>2034</v>
      </c>
    </row>
    <row r="139" spans="2:5" x14ac:dyDescent="0.5">
      <c r="B139" s="79">
        <f t="shared" si="6"/>
        <v>49003</v>
      </c>
      <c r="C139" s="75" t="s">
        <v>15</v>
      </c>
      <c r="D139" s="81">
        <f>_xlfn.XLOOKUP(E139,'D3 Forecast Stratas Dec25'!$I$4:$AH$4,'D3 Forecast Stratas Dec25'!$I$6:$AH$6,0)</f>
        <v>2.879922386448337</v>
      </c>
      <c r="E139" s="77">
        <f t="shared" si="5"/>
        <v>2034</v>
      </c>
    </row>
    <row r="140" spans="2:5" x14ac:dyDescent="0.5">
      <c r="B140" s="79">
        <f t="shared" si="6"/>
        <v>49034</v>
      </c>
      <c r="C140" s="75" t="s">
        <v>15</v>
      </c>
      <c r="D140" s="81">
        <f>_xlfn.XLOOKUP(E140,'D3 Forecast Stratas Dec25'!$I$4:$AH$4,'D3 Forecast Stratas Dec25'!$I$6:$AH$6,0)</f>
        <v>2.879922386448337</v>
      </c>
      <c r="E140" s="77">
        <f t="shared" si="5"/>
        <v>2034</v>
      </c>
    </row>
    <row r="141" spans="2:5" x14ac:dyDescent="0.5">
      <c r="B141" s="79">
        <f t="shared" si="6"/>
        <v>49064</v>
      </c>
      <c r="C141" s="75" t="s">
        <v>15</v>
      </c>
      <c r="D141" s="81">
        <f>_xlfn.XLOOKUP(E141,'D3 Forecast Stratas Dec25'!$I$4:$AH$4,'D3 Forecast Stratas Dec25'!$I$6:$AH$6,0)</f>
        <v>2.879922386448337</v>
      </c>
      <c r="E141" s="77">
        <f t="shared" si="5"/>
        <v>2034</v>
      </c>
    </row>
    <row r="142" spans="2:5" x14ac:dyDescent="0.5">
      <c r="B142" s="79">
        <f t="shared" si="6"/>
        <v>49095</v>
      </c>
      <c r="C142" s="75" t="s">
        <v>15</v>
      </c>
      <c r="D142" s="81">
        <f>_xlfn.XLOOKUP(E142,'D3 Forecast Stratas Dec25'!$I$4:$AH$4,'D3 Forecast Stratas Dec25'!$I$6:$AH$6,0)</f>
        <v>2.879922386448337</v>
      </c>
      <c r="E142" s="77">
        <f t="shared" si="5"/>
        <v>2034</v>
      </c>
    </row>
    <row r="143" spans="2:5" x14ac:dyDescent="0.5">
      <c r="B143" s="79">
        <f t="shared" si="6"/>
        <v>49125</v>
      </c>
      <c r="C143" s="75" t="s">
        <v>15</v>
      </c>
      <c r="D143" s="81">
        <f>_xlfn.XLOOKUP(E143,'D3 Forecast Stratas Dec25'!$I$4:$AH$4,'D3 Forecast Stratas Dec25'!$I$6:$AH$6,0)</f>
        <v>2.879922386448337</v>
      </c>
      <c r="E143" s="77">
        <f t="shared" si="5"/>
        <v>2034</v>
      </c>
    </row>
    <row r="144" spans="2:5" x14ac:dyDescent="0.5">
      <c r="B144" s="79">
        <f t="shared" si="6"/>
        <v>49156</v>
      </c>
      <c r="C144" s="75" t="s">
        <v>15</v>
      </c>
      <c r="D144" s="81">
        <f>_xlfn.XLOOKUP(E144,'D3 Forecast Stratas Dec25'!$I$4:$AH$4,'D3 Forecast Stratas Dec25'!$I$6:$AH$6,0)</f>
        <v>2.879922386448337</v>
      </c>
      <c r="E144" s="77">
        <f t="shared" si="5"/>
        <v>2034</v>
      </c>
    </row>
    <row r="145" spans="2:5" x14ac:dyDescent="0.5">
      <c r="B145" s="79">
        <f t="shared" si="6"/>
        <v>49187</v>
      </c>
      <c r="C145" s="75" t="s">
        <v>15</v>
      </c>
      <c r="D145" s="81">
        <f>_xlfn.XLOOKUP(E145,'D3 Forecast Stratas Dec25'!$I$4:$AH$4,'D3 Forecast Stratas Dec25'!$I$6:$AH$6,0)</f>
        <v>2.879922386448337</v>
      </c>
      <c r="E145" s="77">
        <f t="shared" si="5"/>
        <v>2034</v>
      </c>
    </row>
    <row r="146" spans="2:5" x14ac:dyDescent="0.5">
      <c r="B146" s="79">
        <f t="shared" si="6"/>
        <v>49217</v>
      </c>
      <c r="C146" s="75" t="s">
        <v>15</v>
      </c>
      <c r="D146" s="81">
        <f>_xlfn.XLOOKUP(E146,'D3 Forecast Stratas Dec25'!$I$4:$AH$4,'D3 Forecast Stratas Dec25'!$I$6:$AH$6,0)</f>
        <v>2.879922386448337</v>
      </c>
      <c r="E146" s="77">
        <f t="shared" ref="E146:E209" si="7">YEAR(B146)</f>
        <v>2034</v>
      </c>
    </row>
    <row r="147" spans="2:5" x14ac:dyDescent="0.5">
      <c r="B147" s="79">
        <f t="shared" si="6"/>
        <v>49248</v>
      </c>
      <c r="C147" s="75" t="s">
        <v>15</v>
      </c>
      <c r="D147" s="81">
        <f>_xlfn.XLOOKUP(E147,'D3 Forecast Stratas Dec25'!$I$4:$AH$4,'D3 Forecast Stratas Dec25'!$I$6:$AH$6,0)</f>
        <v>2.879922386448337</v>
      </c>
      <c r="E147" s="77">
        <f t="shared" si="7"/>
        <v>2034</v>
      </c>
    </row>
    <row r="148" spans="2:5" x14ac:dyDescent="0.5">
      <c r="B148" s="79">
        <f t="shared" ref="B148:B211" si="8">EOMONTH(B147,1)</f>
        <v>49278</v>
      </c>
      <c r="C148" s="75" t="s">
        <v>15</v>
      </c>
      <c r="D148" s="81">
        <f>_xlfn.XLOOKUP(E148,'D3 Forecast Stratas Dec25'!$I$4:$AH$4,'D3 Forecast Stratas Dec25'!$I$6:$AH$6,0)</f>
        <v>2.879922386448337</v>
      </c>
      <c r="E148" s="77">
        <f t="shared" si="7"/>
        <v>2034</v>
      </c>
    </row>
    <row r="149" spans="2:5" x14ac:dyDescent="0.5">
      <c r="B149" s="79">
        <f t="shared" si="8"/>
        <v>49309</v>
      </c>
      <c r="C149" s="75" t="s">
        <v>15</v>
      </c>
      <c r="D149" s="81">
        <f>_xlfn.XLOOKUP(E149,'D3 Forecast Stratas Dec25'!$I$4:$AH$4,'D3 Forecast Stratas Dec25'!$I$6:$AH$6,0)</f>
        <v>2.879922386448337</v>
      </c>
      <c r="E149" s="77">
        <f t="shared" si="7"/>
        <v>2034</v>
      </c>
    </row>
    <row r="150" spans="2:5" x14ac:dyDescent="0.5">
      <c r="B150" s="79">
        <f t="shared" si="8"/>
        <v>49340</v>
      </c>
      <c r="C150" s="75" t="s">
        <v>15</v>
      </c>
      <c r="D150" s="81">
        <f>_xlfn.XLOOKUP(E150,'D3 Forecast Stratas Dec25'!$I$4:$AH$4,'D3 Forecast Stratas Dec25'!$I$6:$AH$6,0)</f>
        <v>2.8742293511089958</v>
      </c>
      <c r="E150" s="77">
        <f t="shared" si="7"/>
        <v>2035</v>
      </c>
    </row>
    <row r="151" spans="2:5" x14ac:dyDescent="0.5">
      <c r="B151" s="79">
        <f t="shared" si="8"/>
        <v>49368</v>
      </c>
      <c r="C151" s="75" t="s">
        <v>15</v>
      </c>
      <c r="D151" s="81">
        <f>_xlfn.XLOOKUP(E151,'D3 Forecast Stratas Dec25'!$I$4:$AH$4,'D3 Forecast Stratas Dec25'!$I$6:$AH$6,0)</f>
        <v>2.8742293511089958</v>
      </c>
      <c r="E151" s="77">
        <f t="shared" si="7"/>
        <v>2035</v>
      </c>
    </row>
    <row r="152" spans="2:5" x14ac:dyDescent="0.5">
      <c r="B152" s="79">
        <f t="shared" si="8"/>
        <v>49399</v>
      </c>
      <c r="C152" s="75" t="s">
        <v>15</v>
      </c>
      <c r="D152" s="81">
        <f>_xlfn.XLOOKUP(E152,'D3 Forecast Stratas Dec25'!$I$4:$AH$4,'D3 Forecast Stratas Dec25'!$I$6:$AH$6,0)</f>
        <v>2.8742293511089958</v>
      </c>
      <c r="E152" s="77">
        <f t="shared" si="7"/>
        <v>2035</v>
      </c>
    </row>
    <row r="153" spans="2:5" x14ac:dyDescent="0.5">
      <c r="B153" s="79">
        <f t="shared" si="8"/>
        <v>49429</v>
      </c>
      <c r="C153" s="75" t="s">
        <v>15</v>
      </c>
      <c r="D153" s="81">
        <f>_xlfn.XLOOKUP(E153,'D3 Forecast Stratas Dec25'!$I$4:$AH$4,'D3 Forecast Stratas Dec25'!$I$6:$AH$6,0)</f>
        <v>2.8742293511089958</v>
      </c>
      <c r="E153" s="77">
        <f t="shared" si="7"/>
        <v>2035</v>
      </c>
    </row>
    <row r="154" spans="2:5" x14ac:dyDescent="0.5">
      <c r="B154" s="79">
        <f t="shared" si="8"/>
        <v>49460</v>
      </c>
      <c r="C154" s="75" t="s">
        <v>15</v>
      </c>
      <c r="D154" s="81">
        <f>_xlfn.XLOOKUP(E154,'D3 Forecast Stratas Dec25'!$I$4:$AH$4,'D3 Forecast Stratas Dec25'!$I$6:$AH$6,0)</f>
        <v>2.8742293511089958</v>
      </c>
      <c r="E154" s="77">
        <f t="shared" si="7"/>
        <v>2035</v>
      </c>
    </row>
    <row r="155" spans="2:5" x14ac:dyDescent="0.5">
      <c r="B155" s="79">
        <f t="shared" si="8"/>
        <v>49490</v>
      </c>
      <c r="C155" s="75" t="s">
        <v>15</v>
      </c>
      <c r="D155" s="81">
        <f>_xlfn.XLOOKUP(E155,'D3 Forecast Stratas Dec25'!$I$4:$AH$4,'D3 Forecast Stratas Dec25'!$I$6:$AH$6,0)</f>
        <v>2.8742293511089958</v>
      </c>
      <c r="E155" s="77">
        <f t="shared" si="7"/>
        <v>2035</v>
      </c>
    </row>
    <row r="156" spans="2:5" x14ac:dyDescent="0.5">
      <c r="B156" s="79">
        <f t="shared" si="8"/>
        <v>49521</v>
      </c>
      <c r="C156" s="75" t="s">
        <v>15</v>
      </c>
      <c r="D156" s="81">
        <f>_xlfn.XLOOKUP(E156,'D3 Forecast Stratas Dec25'!$I$4:$AH$4,'D3 Forecast Stratas Dec25'!$I$6:$AH$6,0)</f>
        <v>2.8742293511089958</v>
      </c>
      <c r="E156" s="77">
        <f t="shared" si="7"/>
        <v>2035</v>
      </c>
    </row>
    <row r="157" spans="2:5" x14ac:dyDescent="0.5">
      <c r="B157" s="79">
        <f t="shared" si="8"/>
        <v>49552</v>
      </c>
      <c r="C157" s="75" t="s">
        <v>15</v>
      </c>
      <c r="D157" s="81">
        <f>_xlfn.XLOOKUP(E157,'D3 Forecast Stratas Dec25'!$I$4:$AH$4,'D3 Forecast Stratas Dec25'!$I$6:$AH$6,0)</f>
        <v>2.8742293511089958</v>
      </c>
      <c r="E157" s="77">
        <f t="shared" si="7"/>
        <v>2035</v>
      </c>
    </row>
    <row r="158" spans="2:5" x14ac:dyDescent="0.5">
      <c r="B158" s="79">
        <f t="shared" si="8"/>
        <v>49582</v>
      </c>
      <c r="C158" s="75" t="s">
        <v>15</v>
      </c>
      <c r="D158" s="81">
        <f>_xlfn.XLOOKUP(E158,'D3 Forecast Stratas Dec25'!$I$4:$AH$4,'D3 Forecast Stratas Dec25'!$I$6:$AH$6,0)</f>
        <v>2.8742293511089958</v>
      </c>
      <c r="E158" s="77">
        <f t="shared" si="7"/>
        <v>2035</v>
      </c>
    </row>
    <row r="159" spans="2:5" x14ac:dyDescent="0.5">
      <c r="B159" s="79">
        <f t="shared" si="8"/>
        <v>49613</v>
      </c>
      <c r="C159" s="75" t="s">
        <v>15</v>
      </c>
      <c r="D159" s="81">
        <f>_xlfn.XLOOKUP(E159,'D3 Forecast Stratas Dec25'!$I$4:$AH$4,'D3 Forecast Stratas Dec25'!$I$6:$AH$6,0)</f>
        <v>2.8742293511089958</v>
      </c>
      <c r="E159" s="77">
        <f t="shared" si="7"/>
        <v>2035</v>
      </c>
    </row>
    <row r="160" spans="2:5" x14ac:dyDescent="0.5">
      <c r="B160" s="79">
        <f t="shared" si="8"/>
        <v>49643</v>
      </c>
      <c r="C160" s="75" t="s">
        <v>15</v>
      </c>
      <c r="D160" s="81">
        <f>_xlfn.XLOOKUP(E160,'D3 Forecast Stratas Dec25'!$I$4:$AH$4,'D3 Forecast Stratas Dec25'!$I$6:$AH$6,0)</f>
        <v>2.8742293511089958</v>
      </c>
      <c r="E160" s="77">
        <f t="shared" si="7"/>
        <v>2035</v>
      </c>
    </row>
    <row r="161" spans="2:5" x14ac:dyDescent="0.5">
      <c r="B161" s="79">
        <f t="shared" si="8"/>
        <v>49674</v>
      </c>
      <c r="C161" s="75" t="s">
        <v>15</v>
      </c>
      <c r="D161" s="81">
        <f>_xlfn.XLOOKUP(E161,'D3 Forecast Stratas Dec25'!$I$4:$AH$4,'D3 Forecast Stratas Dec25'!$I$6:$AH$6,0)</f>
        <v>2.8742293511089958</v>
      </c>
      <c r="E161" s="77">
        <f t="shared" si="7"/>
        <v>2035</v>
      </c>
    </row>
    <row r="162" spans="2:5" x14ac:dyDescent="0.5">
      <c r="B162" s="79">
        <f t="shared" si="8"/>
        <v>49705</v>
      </c>
      <c r="C162" s="75" t="s">
        <v>15</v>
      </c>
      <c r="D162" s="81">
        <f>_xlfn.XLOOKUP(E162,'D3 Forecast Stratas Dec25'!$I$4:$AH$4,'D3 Forecast Stratas Dec25'!$I$6:$AH$6,0)</f>
        <v>2.9338871538336271</v>
      </c>
      <c r="E162" s="77">
        <f t="shared" si="7"/>
        <v>2036</v>
      </c>
    </row>
    <row r="163" spans="2:5" x14ac:dyDescent="0.5">
      <c r="B163" s="79">
        <f t="shared" si="8"/>
        <v>49734</v>
      </c>
      <c r="C163" s="75" t="s">
        <v>15</v>
      </c>
      <c r="D163" s="81">
        <f>_xlfn.XLOOKUP(E163,'D3 Forecast Stratas Dec25'!$I$4:$AH$4,'D3 Forecast Stratas Dec25'!$I$6:$AH$6,0)</f>
        <v>2.9338871538336271</v>
      </c>
      <c r="E163" s="77">
        <f t="shared" si="7"/>
        <v>2036</v>
      </c>
    </row>
    <row r="164" spans="2:5" x14ac:dyDescent="0.5">
      <c r="B164" s="79">
        <f t="shared" si="8"/>
        <v>49765</v>
      </c>
      <c r="C164" s="75" t="s">
        <v>15</v>
      </c>
      <c r="D164" s="81">
        <f>_xlfn.XLOOKUP(E164,'D3 Forecast Stratas Dec25'!$I$4:$AH$4,'D3 Forecast Stratas Dec25'!$I$6:$AH$6,0)</f>
        <v>2.9338871538336271</v>
      </c>
      <c r="E164" s="77">
        <f t="shared" si="7"/>
        <v>2036</v>
      </c>
    </row>
    <row r="165" spans="2:5" x14ac:dyDescent="0.5">
      <c r="B165" s="79">
        <f t="shared" si="8"/>
        <v>49795</v>
      </c>
      <c r="C165" s="75" t="s">
        <v>15</v>
      </c>
      <c r="D165" s="81">
        <f>_xlfn.XLOOKUP(E165,'D3 Forecast Stratas Dec25'!$I$4:$AH$4,'D3 Forecast Stratas Dec25'!$I$6:$AH$6,0)</f>
        <v>2.9338871538336271</v>
      </c>
      <c r="E165" s="77">
        <f t="shared" si="7"/>
        <v>2036</v>
      </c>
    </row>
    <row r="166" spans="2:5" x14ac:dyDescent="0.5">
      <c r="B166" s="79">
        <f t="shared" si="8"/>
        <v>49826</v>
      </c>
      <c r="C166" s="75" t="s">
        <v>15</v>
      </c>
      <c r="D166" s="81">
        <f>_xlfn.XLOOKUP(E166,'D3 Forecast Stratas Dec25'!$I$4:$AH$4,'D3 Forecast Stratas Dec25'!$I$6:$AH$6,0)</f>
        <v>2.9338871538336271</v>
      </c>
      <c r="E166" s="77">
        <f t="shared" si="7"/>
        <v>2036</v>
      </c>
    </row>
    <row r="167" spans="2:5" x14ac:dyDescent="0.5">
      <c r="B167" s="79">
        <f t="shared" si="8"/>
        <v>49856</v>
      </c>
      <c r="C167" s="75" t="s">
        <v>15</v>
      </c>
      <c r="D167" s="81">
        <f>_xlfn.XLOOKUP(E167,'D3 Forecast Stratas Dec25'!$I$4:$AH$4,'D3 Forecast Stratas Dec25'!$I$6:$AH$6,0)</f>
        <v>2.9338871538336271</v>
      </c>
      <c r="E167" s="77">
        <f t="shared" si="7"/>
        <v>2036</v>
      </c>
    </row>
    <row r="168" spans="2:5" x14ac:dyDescent="0.5">
      <c r="B168" s="79">
        <f t="shared" si="8"/>
        <v>49887</v>
      </c>
      <c r="C168" s="75" t="s">
        <v>15</v>
      </c>
      <c r="D168" s="81">
        <f>_xlfn.XLOOKUP(E168,'D3 Forecast Stratas Dec25'!$I$4:$AH$4,'D3 Forecast Stratas Dec25'!$I$6:$AH$6,0)</f>
        <v>2.9338871538336271</v>
      </c>
      <c r="E168" s="77">
        <f t="shared" si="7"/>
        <v>2036</v>
      </c>
    </row>
    <row r="169" spans="2:5" x14ac:dyDescent="0.5">
      <c r="B169" s="79">
        <f t="shared" si="8"/>
        <v>49918</v>
      </c>
      <c r="C169" s="75" t="s">
        <v>15</v>
      </c>
      <c r="D169" s="81">
        <f>_xlfn.XLOOKUP(E169,'D3 Forecast Stratas Dec25'!$I$4:$AH$4,'D3 Forecast Stratas Dec25'!$I$6:$AH$6,0)</f>
        <v>2.9338871538336271</v>
      </c>
      <c r="E169" s="77">
        <f t="shared" si="7"/>
        <v>2036</v>
      </c>
    </row>
    <row r="170" spans="2:5" x14ac:dyDescent="0.5">
      <c r="B170" s="79">
        <f t="shared" si="8"/>
        <v>49948</v>
      </c>
      <c r="C170" s="75" t="s">
        <v>15</v>
      </c>
      <c r="D170" s="81">
        <f>_xlfn.XLOOKUP(E170,'D3 Forecast Stratas Dec25'!$I$4:$AH$4,'D3 Forecast Stratas Dec25'!$I$6:$AH$6,0)</f>
        <v>2.9338871538336271</v>
      </c>
      <c r="E170" s="77">
        <f t="shared" si="7"/>
        <v>2036</v>
      </c>
    </row>
    <row r="171" spans="2:5" x14ac:dyDescent="0.5">
      <c r="B171" s="79">
        <f t="shared" si="8"/>
        <v>49979</v>
      </c>
      <c r="C171" s="75" t="s">
        <v>15</v>
      </c>
      <c r="D171" s="81">
        <f>_xlfn.XLOOKUP(E171,'D3 Forecast Stratas Dec25'!$I$4:$AH$4,'D3 Forecast Stratas Dec25'!$I$6:$AH$6,0)</f>
        <v>2.9338871538336271</v>
      </c>
      <c r="E171" s="77">
        <f t="shared" si="7"/>
        <v>2036</v>
      </c>
    </row>
    <row r="172" spans="2:5" x14ac:dyDescent="0.5">
      <c r="B172" s="79">
        <f t="shared" si="8"/>
        <v>50009</v>
      </c>
      <c r="C172" s="75" t="s">
        <v>15</v>
      </c>
      <c r="D172" s="81">
        <f>_xlfn.XLOOKUP(E172,'D3 Forecast Stratas Dec25'!$I$4:$AH$4,'D3 Forecast Stratas Dec25'!$I$6:$AH$6,0)</f>
        <v>2.9338871538336271</v>
      </c>
      <c r="E172" s="77">
        <f t="shared" si="7"/>
        <v>2036</v>
      </c>
    </row>
    <row r="173" spans="2:5" x14ac:dyDescent="0.5">
      <c r="B173" s="79">
        <f t="shared" si="8"/>
        <v>50040</v>
      </c>
      <c r="C173" s="75" t="s">
        <v>15</v>
      </c>
      <c r="D173" s="81">
        <f>_xlfn.XLOOKUP(E173,'D3 Forecast Stratas Dec25'!$I$4:$AH$4,'D3 Forecast Stratas Dec25'!$I$6:$AH$6,0)</f>
        <v>2.9338871538336271</v>
      </c>
      <c r="E173" s="77">
        <f t="shared" si="7"/>
        <v>2036</v>
      </c>
    </row>
    <row r="174" spans="2:5" x14ac:dyDescent="0.5">
      <c r="B174" s="79">
        <f t="shared" si="8"/>
        <v>50071</v>
      </c>
      <c r="C174" s="75" t="s">
        <v>15</v>
      </c>
      <c r="D174" s="81">
        <f>_xlfn.XLOOKUP(E174,'D3 Forecast Stratas Dec25'!$I$4:$AH$4,'D3 Forecast Stratas Dec25'!$I$6:$AH$6,0)</f>
        <v>2.994783220103427</v>
      </c>
      <c r="E174" s="77">
        <f t="shared" si="7"/>
        <v>2037</v>
      </c>
    </row>
    <row r="175" spans="2:5" x14ac:dyDescent="0.5">
      <c r="B175" s="79">
        <f t="shared" si="8"/>
        <v>50099</v>
      </c>
      <c r="C175" s="75" t="s">
        <v>15</v>
      </c>
      <c r="D175" s="81">
        <f>_xlfn.XLOOKUP(E175,'D3 Forecast Stratas Dec25'!$I$4:$AH$4,'D3 Forecast Stratas Dec25'!$I$6:$AH$6,0)</f>
        <v>2.994783220103427</v>
      </c>
      <c r="E175" s="77">
        <f t="shared" si="7"/>
        <v>2037</v>
      </c>
    </row>
    <row r="176" spans="2:5" x14ac:dyDescent="0.5">
      <c r="B176" s="79">
        <f t="shared" si="8"/>
        <v>50130</v>
      </c>
      <c r="C176" s="75" t="s">
        <v>15</v>
      </c>
      <c r="D176" s="81">
        <f>_xlfn.XLOOKUP(E176,'D3 Forecast Stratas Dec25'!$I$4:$AH$4,'D3 Forecast Stratas Dec25'!$I$6:$AH$6,0)</f>
        <v>2.994783220103427</v>
      </c>
      <c r="E176" s="77">
        <f t="shared" si="7"/>
        <v>2037</v>
      </c>
    </row>
    <row r="177" spans="2:5" x14ac:dyDescent="0.5">
      <c r="B177" s="79">
        <f t="shared" si="8"/>
        <v>50160</v>
      </c>
      <c r="C177" s="75" t="s">
        <v>15</v>
      </c>
      <c r="D177" s="81">
        <f>_xlfn.XLOOKUP(E177,'D3 Forecast Stratas Dec25'!$I$4:$AH$4,'D3 Forecast Stratas Dec25'!$I$6:$AH$6,0)</f>
        <v>2.994783220103427</v>
      </c>
      <c r="E177" s="77">
        <f t="shared" si="7"/>
        <v>2037</v>
      </c>
    </row>
    <row r="178" spans="2:5" x14ac:dyDescent="0.5">
      <c r="B178" s="79">
        <f t="shared" si="8"/>
        <v>50191</v>
      </c>
      <c r="C178" s="75" t="s">
        <v>15</v>
      </c>
      <c r="D178" s="81">
        <f>_xlfn.XLOOKUP(E178,'D3 Forecast Stratas Dec25'!$I$4:$AH$4,'D3 Forecast Stratas Dec25'!$I$6:$AH$6,0)</f>
        <v>2.994783220103427</v>
      </c>
      <c r="E178" s="77">
        <f t="shared" si="7"/>
        <v>2037</v>
      </c>
    </row>
    <row r="179" spans="2:5" x14ac:dyDescent="0.5">
      <c r="B179" s="79">
        <f t="shared" si="8"/>
        <v>50221</v>
      </c>
      <c r="C179" s="75" t="s">
        <v>15</v>
      </c>
      <c r="D179" s="81">
        <f>_xlfn.XLOOKUP(E179,'D3 Forecast Stratas Dec25'!$I$4:$AH$4,'D3 Forecast Stratas Dec25'!$I$6:$AH$6,0)</f>
        <v>2.994783220103427</v>
      </c>
      <c r="E179" s="77">
        <f t="shared" si="7"/>
        <v>2037</v>
      </c>
    </row>
    <row r="180" spans="2:5" x14ac:dyDescent="0.5">
      <c r="B180" s="79">
        <f t="shared" si="8"/>
        <v>50252</v>
      </c>
      <c r="C180" s="75" t="s">
        <v>15</v>
      </c>
      <c r="D180" s="81">
        <f>_xlfn.XLOOKUP(E180,'D3 Forecast Stratas Dec25'!$I$4:$AH$4,'D3 Forecast Stratas Dec25'!$I$6:$AH$6,0)</f>
        <v>2.994783220103427</v>
      </c>
      <c r="E180" s="77">
        <f t="shared" si="7"/>
        <v>2037</v>
      </c>
    </row>
    <row r="181" spans="2:5" x14ac:dyDescent="0.5">
      <c r="B181" s="79">
        <f t="shared" si="8"/>
        <v>50283</v>
      </c>
      <c r="C181" s="75" t="s">
        <v>15</v>
      </c>
      <c r="D181" s="81">
        <f>_xlfn.XLOOKUP(E181,'D3 Forecast Stratas Dec25'!$I$4:$AH$4,'D3 Forecast Stratas Dec25'!$I$6:$AH$6,0)</f>
        <v>2.994783220103427</v>
      </c>
      <c r="E181" s="77">
        <f t="shared" si="7"/>
        <v>2037</v>
      </c>
    </row>
    <row r="182" spans="2:5" x14ac:dyDescent="0.5">
      <c r="B182" s="79">
        <f t="shared" si="8"/>
        <v>50313</v>
      </c>
      <c r="C182" s="75" t="s">
        <v>15</v>
      </c>
      <c r="D182" s="81">
        <f>_xlfn.XLOOKUP(E182,'D3 Forecast Stratas Dec25'!$I$4:$AH$4,'D3 Forecast Stratas Dec25'!$I$6:$AH$6,0)</f>
        <v>2.994783220103427</v>
      </c>
      <c r="E182" s="77">
        <f t="shared" si="7"/>
        <v>2037</v>
      </c>
    </row>
    <row r="183" spans="2:5" x14ac:dyDescent="0.5">
      <c r="B183" s="79">
        <f t="shared" si="8"/>
        <v>50344</v>
      </c>
      <c r="C183" s="75" t="s">
        <v>15</v>
      </c>
      <c r="D183" s="81">
        <f>_xlfn.XLOOKUP(E183,'D3 Forecast Stratas Dec25'!$I$4:$AH$4,'D3 Forecast Stratas Dec25'!$I$6:$AH$6,0)</f>
        <v>2.994783220103427</v>
      </c>
      <c r="E183" s="77">
        <f t="shared" si="7"/>
        <v>2037</v>
      </c>
    </row>
    <row r="184" spans="2:5" x14ac:dyDescent="0.5">
      <c r="B184" s="79">
        <f t="shared" si="8"/>
        <v>50374</v>
      </c>
      <c r="C184" s="75" t="s">
        <v>15</v>
      </c>
      <c r="D184" s="81">
        <f>_xlfn.XLOOKUP(E184,'D3 Forecast Stratas Dec25'!$I$4:$AH$4,'D3 Forecast Stratas Dec25'!$I$6:$AH$6,0)</f>
        <v>2.994783220103427</v>
      </c>
      <c r="E184" s="77">
        <f t="shared" si="7"/>
        <v>2037</v>
      </c>
    </row>
    <row r="185" spans="2:5" x14ac:dyDescent="0.5">
      <c r="B185" s="79">
        <f t="shared" si="8"/>
        <v>50405</v>
      </c>
      <c r="C185" s="75" t="s">
        <v>15</v>
      </c>
      <c r="D185" s="81">
        <f>_xlfn.XLOOKUP(E185,'D3 Forecast Stratas Dec25'!$I$4:$AH$4,'D3 Forecast Stratas Dec25'!$I$6:$AH$6,0)</f>
        <v>2.994783220103427</v>
      </c>
      <c r="E185" s="77">
        <f t="shared" si="7"/>
        <v>2037</v>
      </c>
    </row>
    <row r="186" spans="2:5" x14ac:dyDescent="0.5">
      <c r="B186" s="79">
        <f t="shared" si="8"/>
        <v>50436</v>
      </c>
      <c r="C186" s="75" t="s">
        <v>15</v>
      </c>
      <c r="D186" s="81">
        <f>_xlfn.XLOOKUP(E186,'D3 Forecast Stratas Dec25'!$I$4:$AH$4,'D3 Forecast Stratas Dec25'!$I$6:$AH$6,0)</f>
        <v>3.0569432514450567</v>
      </c>
      <c r="E186" s="77">
        <f t="shared" si="7"/>
        <v>2038</v>
      </c>
    </row>
    <row r="187" spans="2:5" x14ac:dyDescent="0.5">
      <c r="B187" s="79">
        <f t="shared" si="8"/>
        <v>50464</v>
      </c>
      <c r="C187" s="75" t="s">
        <v>15</v>
      </c>
      <c r="D187" s="81">
        <f>_xlfn.XLOOKUP(E187,'D3 Forecast Stratas Dec25'!$I$4:$AH$4,'D3 Forecast Stratas Dec25'!$I$6:$AH$6,0)</f>
        <v>3.0569432514450567</v>
      </c>
      <c r="E187" s="77">
        <f t="shared" si="7"/>
        <v>2038</v>
      </c>
    </row>
    <row r="188" spans="2:5" x14ac:dyDescent="0.5">
      <c r="B188" s="79">
        <f t="shared" si="8"/>
        <v>50495</v>
      </c>
      <c r="C188" s="75" t="s">
        <v>15</v>
      </c>
      <c r="D188" s="81">
        <f>_xlfn.XLOOKUP(E188,'D3 Forecast Stratas Dec25'!$I$4:$AH$4,'D3 Forecast Stratas Dec25'!$I$6:$AH$6,0)</f>
        <v>3.0569432514450567</v>
      </c>
      <c r="E188" s="77">
        <f t="shared" si="7"/>
        <v>2038</v>
      </c>
    </row>
    <row r="189" spans="2:5" x14ac:dyDescent="0.5">
      <c r="B189" s="79">
        <f t="shared" si="8"/>
        <v>50525</v>
      </c>
      <c r="C189" s="75" t="s">
        <v>15</v>
      </c>
      <c r="D189" s="81">
        <f>_xlfn.XLOOKUP(E189,'D3 Forecast Stratas Dec25'!$I$4:$AH$4,'D3 Forecast Stratas Dec25'!$I$6:$AH$6,0)</f>
        <v>3.0569432514450567</v>
      </c>
      <c r="E189" s="77">
        <f t="shared" si="7"/>
        <v>2038</v>
      </c>
    </row>
    <row r="190" spans="2:5" x14ac:dyDescent="0.5">
      <c r="B190" s="79">
        <f t="shared" si="8"/>
        <v>50556</v>
      </c>
      <c r="C190" s="75" t="s">
        <v>15</v>
      </c>
      <c r="D190" s="81">
        <f>_xlfn.XLOOKUP(E190,'D3 Forecast Stratas Dec25'!$I$4:$AH$4,'D3 Forecast Stratas Dec25'!$I$6:$AH$6,0)</f>
        <v>3.0569432514450567</v>
      </c>
      <c r="E190" s="77">
        <f t="shared" si="7"/>
        <v>2038</v>
      </c>
    </row>
    <row r="191" spans="2:5" x14ac:dyDescent="0.5">
      <c r="B191" s="79">
        <f t="shared" si="8"/>
        <v>50586</v>
      </c>
      <c r="C191" s="75" t="s">
        <v>15</v>
      </c>
      <c r="D191" s="81">
        <f>_xlfn.XLOOKUP(E191,'D3 Forecast Stratas Dec25'!$I$4:$AH$4,'D3 Forecast Stratas Dec25'!$I$6:$AH$6,0)</f>
        <v>3.0569432514450567</v>
      </c>
      <c r="E191" s="77">
        <f t="shared" si="7"/>
        <v>2038</v>
      </c>
    </row>
    <row r="192" spans="2:5" x14ac:dyDescent="0.5">
      <c r="B192" s="79">
        <f t="shared" si="8"/>
        <v>50617</v>
      </c>
      <c r="C192" s="75" t="s">
        <v>15</v>
      </c>
      <c r="D192" s="81">
        <f>_xlfn.XLOOKUP(E192,'D3 Forecast Stratas Dec25'!$I$4:$AH$4,'D3 Forecast Stratas Dec25'!$I$6:$AH$6,0)</f>
        <v>3.0569432514450567</v>
      </c>
      <c r="E192" s="77">
        <f t="shared" si="7"/>
        <v>2038</v>
      </c>
    </row>
    <row r="193" spans="2:5" x14ac:dyDescent="0.5">
      <c r="B193" s="79">
        <f t="shared" si="8"/>
        <v>50648</v>
      </c>
      <c r="C193" s="75" t="s">
        <v>15</v>
      </c>
      <c r="D193" s="81">
        <f>_xlfn.XLOOKUP(E193,'D3 Forecast Stratas Dec25'!$I$4:$AH$4,'D3 Forecast Stratas Dec25'!$I$6:$AH$6,0)</f>
        <v>3.0569432514450567</v>
      </c>
      <c r="E193" s="77">
        <f t="shared" si="7"/>
        <v>2038</v>
      </c>
    </row>
    <row r="194" spans="2:5" x14ac:dyDescent="0.5">
      <c r="B194" s="79">
        <f t="shared" si="8"/>
        <v>50678</v>
      </c>
      <c r="C194" s="75" t="s">
        <v>15</v>
      </c>
      <c r="D194" s="81">
        <f>_xlfn.XLOOKUP(E194,'D3 Forecast Stratas Dec25'!$I$4:$AH$4,'D3 Forecast Stratas Dec25'!$I$6:$AH$6,0)</f>
        <v>3.0569432514450567</v>
      </c>
      <c r="E194" s="77">
        <f t="shared" si="7"/>
        <v>2038</v>
      </c>
    </row>
    <row r="195" spans="2:5" x14ac:dyDescent="0.5">
      <c r="B195" s="79">
        <f t="shared" si="8"/>
        <v>50709</v>
      </c>
      <c r="C195" s="75" t="s">
        <v>15</v>
      </c>
      <c r="D195" s="81">
        <f>_xlfn.XLOOKUP(E195,'D3 Forecast Stratas Dec25'!$I$4:$AH$4,'D3 Forecast Stratas Dec25'!$I$6:$AH$6,0)</f>
        <v>3.0569432514450567</v>
      </c>
      <c r="E195" s="77">
        <f t="shared" si="7"/>
        <v>2038</v>
      </c>
    </row>
    <row r="196" spans="2:5" x14ac:dyDescent="0.5">
      <c r="B196" s="79">
        <f t="shared" si="8"/>
        <v>50739</v>
      </c>
      <c r="C196" s="75" t="s">
        <v>15</v>
      </c>
      <c r="D196" s="81">
        <f>_xlfn.XLOOKUP(E196,'D3 Forecast Stratas Dec25'!$I$4:$AH$4,'D3 Forecast Stratas Dec25'!$I$6:$AH$6,0)</f>
        <v>3.0569432514450567</v>
      </c>
      <c r="E196" s="77">
        <f t="shared" si="7"/>
        <v>2038</v>
      </c>
    </row>
    <row r="197" spans="2:5" x14ac:dyDescent="0.5">
      <c r="B197" s="79">
        <f t="shared" si="8"/>
        <v>50770</v>
      </c>
      <c r="C197" s="75" t="s">
        <v>15</v>
      </c>
      <c r="D197" s="81">
        <f>_xlfn.XLOOKUP(E197,'D3 Forecast Stratas Dec25'!$I$4:$AH$4,'D3 Forecast Stratas Dec25'!$I$6:$AH$6,0)</f>
        <v>3.0569432514450567</v>
      </c>
      <c r="E197" s="77">
        <f t="shared" si="7"/>
        <v>2038</v>
      </c>
    </row>
    <row r="198" spans="2:5" x14ac:dyDescent="0.5">
      <c r="B198" s="79">
        <f t="shared" si="8"/>
        <v>50801</v>
      </c>
      <c r="C198" s="75" t="s">
        <v>15</v>
      </c>
      <c r="D198" s="81">
        <f>_xlfn.XLOOKUP(E198,'D3 Forecast Stratas Dec25'!$I$4:$AH$4,'D3 Forecast Stratas Dec25'!$I$6:$AH$6,0)</f>
        <v>3.1203934828487325</v>
      </c>
      <c r="E198" s="77">
        <f t="shared" si="7"/>
        <v>2039</v>
      </c>
    </row>
    <row r="199" spans="2:5" x14ac:dyDescent="0.5">
      <c r="B199" s="79">
        <f t="shared" si="8"/>
        <v>50829</v>
      </c>
      <c r="C199" s="75" t="s">
        <v>15</v>
      </c>
      <c r="D199" s="81">
        <f>_xlfn.XLOOKUP(E199,'D3 Forecast Stratas Dec25'!$I$4:$AH$4,'D3 Forecast Stratas Dec25'!$I$6:$AH$6,0)</f>
        <v>3.1203934828487325</v>
      </c>
      <c r="E199" s="77">
        <f t="shared" si="7"/>
        <v>2039</v>
      </c>
    </row>
    <row r="200" spans="2:5" x14ac:dyDescent="0.5">
      <c r="B200" s="79">
        <f t="shared" si="8"/>
        <v>50860</v>
      </c>
      <c r="C200" s="75" t="s">
        <v>15</v>
      </c>
      <c r="D200" s="81">
        <f>_xlfn.XLOOKUP(E200,'D3 Forecast Stratas Dec25'!$I$4:$AH$4,'D3 Forecast Stratas Dec25'!$I$6:$AH$6,0)</f>
        <v>3.1203934828487325</v>
      </c>
      <c r="E200" s="77">
        <f t="shared" si="7"/>
        <v>2039</v>
      </c>
    </row>
    <row r="201" spans="2:5" x14ac:dyDescent="0.5">
      <c r="B201" s="79">
        <f t="shared" si="8"/>
        <v>50890</v>
      </c>
      <c r="C201" s="75" t="s">
        <v>15</v>
      </c>
      <c r="D201" s="81">
        <f>_xlfn.XLOOKUP(E201,'D3 Forecast Stratas Dec25'!$I$4:$AH$4,'D3 Forecast Stratas Dec25'!$I$6:$AH$6,0)</f>
        <v>3.1203934828487325</v>
      </c>
      <c r="E201" s="77">
        <f t="shared" si="7"/>
        <v>2039</v>
      </c>
    </row>
    <row r="202" spans="2:5" x14ac:dyDescent="0.5">
      <c r="B202" s="79">
        <f t="shared" si="8"/>
        <v>50921</v>
      </c>
      <c r="C202" s="75" t="s">
        <v>15</v>
      </c>
      <c r="D202" s="81">
        <f>_xlfn.XLOOKUP(E202,'D3 Forecast Stratas Dec25'!$I$4:$AH$4,'D3 Forecast Stratas Dec25'!$I$6:$AH$6,0)</f>
        <v>3.1203934828487325</v>
      </c>
      <c r="E202" s="77">
        <f t="shared" si="7"/>
        <v>2039</v>
      </c>
    </row>
    <row r="203" spans="2:5" x14ac:dyDescent="0.5">
      <c r="B203" s="79">
        <f t="shared" si="8"/>
        <v>50951</v>
      </c>
      <c r="C203" s="75" t="s">
        <v>15</v>
      </c>
      <c r="D203" s="81">
        <f>_xlfn.XLOOKUP(E203,'D3 Forecast Stratas Dec25'!$I$4:$AH$4,'D3 Forecast Stratas Dec25'!$I$6:$AH$6,0)</f>
        <v>3.1203934828487325</v>
      </c>
      <c r="E203" s="77">
        <f t="shared" si="7"/>
        <v>2039</v>
      </c>
    </row>
    <row r="204" spans="2:5" x14ac:dyDescent="0.5">
      <c r="B204" s="79">
        <f t="shared" si="8"/>
        <v>50982</v>
      </c>
      <c r="C204" s="75" t="s">
        <v>15</v>
      </c>
      <c r="D204" s="81">
        <f>_xlfn.XLOOKUP(E204,'D3 Forecast Stratas Dec25'!$I$4:$AH$4,'D3 Forecast Stratas Dec25'!$I$6:$AH$6,0)</f>
        <v>3.1203934828487325</v>
      </c>
      <c r="E204" s="77">
        <f t="shared" si="7"/>
        <v>2039</v>
      </c>
    </row>
    <row r="205" spans="2:5" x14ac:dyDescent="0.5">
      <c r="B205" s="79">
        <f t="shared" si="8"/>
        <v>51013</v>
      </c>
      <c r="C205" s="75" t="s">
        <v>15</v>
      </c>
      <c r="D205" s="81">
        <f>_xlfn.XLOOKUP(E205,'D3 Forecast Stratas Dec25'!$I$4:$AH$4,'D3 Forecast Stratas Dec25'!$I$6:$AH$6,0)</f>
        <v>3.1203934828487325</v>
      </c>
      <c r="E205" s="77">
        <f t="shared" si="7"/>
        <v>2039</v>
      </c>
    </row>
    <row r="206" spans="2:5" x14ac:dyDescent="0.5">
      <c r="B206" s="79">
        <f t="shared" si="8"/>
        <v>51043</v>
      </c>
      <c r="C206" s="75" t="s">
        <v>15</v>
      </c>
      <c r="D206" s="81">
        <f>_xlfn.XLOOKUP(E206,'D3 Forecast Stratas Dec25'!$I$4:$AH$4,'D3 Forecast Stratas Dec25'!$I$6:$AH$6,0)</f>
        <v>3.1203934828487325</v>
      </c>
      <c r="E206" s="77">
        <f t="shared" si="7"/>
        <v>2039</v>
      </c>
    </row>
    <row r="207" spans="2:5" x14ac:dyDescent="0.5">
      <c r="B207" s="79">
        <f t="shared" si="8"/>
        <v>51074</v>
      </c>
      <c r="C207" s="75" t="s">
        <v>15</v>
      </c>
      <c r="D207" s="81">
        <f>_xlfn.XLOOKUP(E207,'D3 Forecast Stratas Dec25'!$I$4:$AH$4,'D3 Forecast Stratas Dec25'!$I$6:$AH$6,0)</f>
        <v>3.1203934828487325</v>
      </c>
      <c r="E207" s="77">
        <f t="shared" si="7"/>
        <v>2039</v>
      </c>
    </row>
    <row r="208" spans="2:5" x14ac:dyDescent="0.5">
      <c r="B208" s="79">
        <f t="shared" si="8"/>
        <v>51104</v>
      </c>
      <c r="C208" s="75" t="s">
        <v>15</v>
      </c>
      <c r="D208" s="81">
        <f>_xlfn.XLOOKUP(E208,'D3 Forecast Stratas Dec25'!$I$4:$AH$4,'D3 Forecast Stratas Dec25'!$I$6:$AH$6,0)</f>
        <v>3.1203934828487325</v>
      </c>
      <c r="E208" s="77">
        <f t="shared" si="7"/>
        <v>2039</v>
      </c>
    </row>
    <row r="209" spans="2:5" x14ac:dyDescent="0.5">
      <c r="B209" s="79">
        <f t="shared" si="8"/>
        <v>51135</v>
      </c>
      <c r="C209" s="75" t="s">
        <v>15</v>
      </c>
      <c r="D209" s="81">
        <f>_xlfn.XLOOKUP(E209,'D3 Forecast Stratas Dec25'!$I$4:$AH$4,'D3 Forecast Stratas Dec25'!$I$6:$AH$6,0)</f>
        <v>3.1203934828487325</v>
      </c>
      <c r="E209" s="77">
        <f t="shared" si="7"/>
        <v>2039</v>
      </c>
    </row>
    <row r="210" spans="2:5" x14ac:dyDescent="0.5">
      <c r="B210" s="79">
        <f t="shared" si="8"/>
        <v>51166</v>
      </c>
      <c r="C210" s="75" t="s">
        <v>15</v>
      </c>
      <c r="D210" s="81">
        <f>_xlfn.XLOOKUP(E210,'D3 Forecast Stratas Dec25'!$I$4:$AH$4,'D3 Forecast Stratas Dec25'!$I$6:$AH$6,0)</f>
        <v>3.1851606938408508</v>
      </c>
      <c r="E210" s="77">
        <f t="shared" ref="E210:E273" si="9">YEAR(B210)</f>
        <v>2040</v>
      </c>
    </row>
    <row r="211" spans="2:5" x14ac:dyDescent="0.5">
      <c r="B211" s="79">
        <f t="shared" si="8"/>
        <v>51195</v>
      </c>
      <c r="C211" s="75" t="s">
        <v>15</v>
      </c>
      <c r="D211" s="81">
        <f>_xlfn.XLOOKUP(E211,'D3 Forecast Stratas Dec25'!$I$4:$AH$4,'D3 Forecast Stratas Dec25'!$I$6:$AH$6,0)</f>
        <v>3.1851606938408508</v>
      </c>
      <c r="E211" s="77">
        <f t="shared" si="9"/>
        <v>2040</v>
      </c>
    </row>
    <row r="212" spans="2:5" x14ac:dyDescent="0.5">
      <c r="B212" s="79">
        <f t="shared" ref="B212:B275" si="10">EOMONTH(B211,1)</f>
        <v>51226</v>
      </c>
      <c r="C212" s="75" t="s">
        <v>15</v>
      </c>
      <c r="D212" s="81">
        <f>_xlfn.XLOOKUP(E212,'D3 Forecast Stratas Dec25'!$I$4:$AH$4,'D3 Forecast Stratas Dec25'!$I$6:$AH$6,0)</f>
        <v>3.1851606938408508</v>
      </c>
      <c r="E212" s="77">
        <f t="shared" si="9"/>
        <v>2040</v>
      </c>
    </row>
    <row r="213" spans="2:5" x14ac:dyDescent="0.5">
      <c r="B213" s="79">
        <f t="shared" si="10"/>
        <v>51256</v>
      </c>
      <c r="C213" s="75" t="s">
        <v>15</v>
      </c>
      <c r="D213" s="81">
        <f>_xlfn.XLOOKUP(E213,'D3 Forecast Stratas Dec25'!$I$4:$AH$4,'D3 Forecast Stratas Dec25'!$I$6:$AH$6,0)</f>
        <v>3.1851606938408508</v>
      </c>
      <c r="E213" s="77">
        <f t="shared" si="9"/>
        <v>2040</v>
      </c>
    </row>
    <row r="214" spans="2:5" x14ac:dyDescent="0.5">
      <c r="B214" s="79">
        <f t="shared" si="10"/>
        <v>51287</v>
      </c>
      <c r="C214" s="75" t="s">
        <v>15</v>
      </c>
      <c r="D214" s="81">
        <f>_xlfn.XLOOKUP(E214,'D3 Forecast Stratas Dec25'!$I$4:$AH$4,'D3 Forecast Stratas Dec25'!$I$6:$AH$6,0)</f>
        <v>3.1851606938408508</v>
      </c>
      <c r="E214" s="77">
        <f t="shared" si="9"/>
        <v>2040</v>
      </c>
    </row>
    <row r="215" spans="2:5" x14ac:dyDescent="0.5">
      <c r="B215" s="79">
        <f t="shared" si="10"/>
        <v>51317</v>
      </c>
      <c r="C215" s="75" t="s">
        <v>15</v>
      </c>
      <c r="D215" s="81">
        <f>_xlfn.XLOOKUP(E215,'D3 Forecast Stratas Dec25'!$I$4:$AH$4,'D3 Forecast Stratas Dec25'!$I$6:$AH$6,0)</f>
        <v>3.1851606938408508</v>
      </c>
      <c r="E215" s="77">
        <f t="shared" si="9"/>
        <v>2040</v>
      </c>
    </row>
    <row r="216" spans="2:5" x14ac:dyDescent="0.5">
      <c r="B216" s="79">
        <f t="shared" si="10"/>
        <v>51348</v>
      </c>
      <c r="C216" s="75" t="s">
        <v>15</v>
      </c>
      <c r="D216" s="81">
        <f>_xlfn.XLOOKUP(E216,'D3 Forecast Stratas Dec25'!$I$4:$AH$4,'D3 Forecast Stratas Dec25'!$I$6:$AH$6,0)</f>
        <v>3.1851606938408508</v>
      </c>
      <c r="E216" s="77">
        <f t="shared" si="9"/>
        <v>2040</v>
      </c>
    </row>
    <row r="217" spans="2:5" x14ac:dyDescent="0.5">
      <c r="B217" s="79">
        <f t="shared" si="10"/>
        <v>51379</v>
      </c>
      <c r="C217" s="75" t="s">
        <v>15</v>
      </c>
      <c r="D217" s="81">
        <f>_xlfn.XLOOKUP(E217,'D3 Forecast Stratas Dec25'!$I$4:$AH$4,'D3 Forecast Stratas Dec25'!$I$6:$AH$6,0)</f>
        <v>3.1851606938408508</v>
      </c>
      <c r="E217" s="77">
        <f t="shared" si="9"/>
        <v>2040</v>
      </c>
    </row>
    <row r="218" spans="2:5" x14ac:dyDescent="0.5">
      <c r="B218" s="79">
        <f t="shared" si="10"/>
        <v>51409</v>
      </c>
      <c r="C218" s="75" t="s">
        <v>15</v>
      </c>
      <c r="D218" s="81">
        <f>_xlfn.XLOOKUP(E218,'D3 Forecast Stratas Dec25'!$I$4:$AH$4,'D3 Forecast Stratas Dec25'!$I$6:$AH$6,0)</f>
        <v>3.1851606938408508</v>
      </c>
      <c r="E218" s="77">
        <f t="shared" si="9"/>
        <v>2040</v>
      </c>
    </row>
    <row r="219" spans="2:5" x14ac:dyDescent="0.5">
      <c r="B219" s="79">
        <f t="shared" si="10"/>
        <v>51440</v>
      </c>
      <c r="C219" s="75" t="s">
        <v>15</v>
      </c>
      <c r="D219" s="81">
        <f>_xlfn.XLOOKUP(E219,'D3 Forecast Stratas Dec25'!$I$4:$AH$4,'D3 Forecast Stratas Dec25'!$I$6:$AH$6,0)</f>
        <v>3.1851606938408508</v>
      </c>
      <c r="E219" s="77">
        <f t="shared" si="9"/>
        <v>2040</v>
      </c>
    </row>
    <row r="220" spans="2:5" x14ac:dyDescent="0.5">
      <c r="B220" s="79">
        <f t="shared" si="10"/>
        <v>51470</v>
      </c>
      <c r="C220" s="75" t="s">
        <v>15</v>
      </c>
      <c r="D220" s="81">
        <f>_xlfn.XLOOKUP(E220,'D3 Forecast Stratas Dec25'!$I$4:$AH$4,'D3 Forecast Stratas Dec25'!$I$6:$AH$6,0)</f>
        <v>3.1851606938408508</v>
      </c>
      <c r="E220" s="77">
        <f t="shared" si="9"/>
        <v>2040</v>
      </c>
    </row>
    <row r="221" spans="2:5" x14ac:dyDescent="0.5">
      <c r="B221" s="79">
        <f t="shared" si="10"/>
        <v>51501</v>
      </c>
      <c r="C221" s="75" t="s">
        <v>15</v>
      </c>
      <c r="D221" s="81">
        <f>_xlfn.XLOOKUP(E221,'D3 Forecast Stratas Dec25'!$I$4:$AH$4,'D3 Forecast Stratas Dec25'!$I$6:$AH$6,0)</f>
        <v>3.1851606938408508</v>
      </c>
      <c r="E221" s="77">
        <f t="shared" si="9"/>
        <v>2040</v>
      </c>
    </row>
    <row r="222" spans="2:5" x14ac:dyDescent="0.5">
      <c r="B222" s="79">
        <f t="shared" si="10"/>
        <v>51532</v>
      </c>
      <c r="C222" s="75" t="s">
        <v>15</v>
      </c>
      <c r="D222" s="81">
        <f>_xlfn.XLOOKUP(E222,'D3 Forecast Stratas Dec25'!$I$4:$AH$4,'D3 Forecast Stratas Dec25'!$I$6:$AH$6,0)</f>
        <v>3.2512722197864368</v>
      </c>
      <c r="E222" s="77">
        <f t="shared" si="9"/>
        <v>2041</v>
      </c>
    </row>
    <row r="223" spans="2:5" x14ac:dyDescent="0.5">
      <c r="B223" s="79">
        <f t="shared" si="10"/>
        <v>51560</v>
      </c>
      <c r="C223" s="75" t="s">
        <v>15</v>
      </c>
      <c r="D223" s="81">
        <f>_xlfn.XLOOKUP(E223,'D3 Forecast Stratas Dec25'!$I$4:$AH$4,'D3 Forecast Stratas Dec25'!$I$6:$AH$6,0)</f>
        <v>3.2512722197864368</v>
      </c>
      <c r="E223" s="77">
        <f t="shared" si="9"/>
        <v>2041</v>
      </c>
    </row>
    <row r="224" spans="2:5" x14ac:dyDescent="0.5">
      <c r="B224" s="79">
        <f t="shared" si="10"/>
        <v>51591</v>
      </c>
      <c r="C224" s="75" t="s">
        <v>15</v>
      </c>
      <c r="D224" s="81">
        <f>_xlfn.XLOOKUP(E224,'D3 Forecast Stratas Dec25'!$I$4:$AH$4,'D3 Forecast Stratas Dec25'!$I$6:$AH$6,0)</f>
        <v>3.2512722197864368</v>
      </c>
      <c r="E224" s="77">
        <f t="shared" si="9"/>
        <v>2041</v>
      </c>
    </row>
    <row r="225" spans="2:5" x14ac:dyDescent="0.5">
      <c r="B225" s="79">
        <f t="shared" si="10"/>
        <v>51621</v>
      </c>
      <c r="C225" s="75" t="s">
        <v>15</v>
      </c>
      <c r="D225" s="81">
        <f>_xlfn.XLOOKUP(E225,'D3 Forecast Stratas Dec25'!$I$4:$AH$4,'D3 Forecast Stratas Dec25'!$I$6:$AH$6,0)</f>
        <v>3.2512722197864368</v>
      </c>
      <c r="E225" s="77">
        <f t="shared" si="9"/>
        <v>2041</v>
      </c>
    </row>
    <row r="226" spans="2:5" x14ac:dyDescent="0.5">
      <c r="B226" s="79">
        <f t="shared" si="10"/>
        <v>51652</v>
      </c>
      <c r="C226" s="75" t="s">
        <v>15</v>
      </c>
      <c r="D226" s="81">
        <f>_xlfn.XLOOKUP(E226,'D3 Forecast Stratas Dec25'!$I$4:$AH$4,'D3 Forecast Stratas Dec25'!$I$6:$AH$6,0)</f>
        <v>3.2512722197864368</v>
      </c>
      <c r="E226" s="77">
        <f t="shared" si="9"/>
        <v>2041</v>
      </c>
    </row>
    <row r="227" spans="2:5" x14ac:dyDescent="0.5">
      <c r="B227" s="79">
        <f t="shared" si="10"/>
        <v>51682</v>
      </c>
      <c r="C227" s="75" t="s">
        <v>15</v>
      </c>
      <c r="D227" s="81">
        <f>_xlfn.XLOOKUP(E227,'D3 Forecast Stratas Dec25'!$I$4:$AH$4,'D3 Forecast Stratas Dec25'!$I$6:$AH$6,0)</f>
        <v>3.2512722197864368</v>
      </c>
      <c r="E227" s="77">
        <f t="shared" si="9"/>
        <v>2041</v>
      </c>
    </row>
    <row r="228" spans="2:5" x14ac:dyDescent="0.5">
      <c r="B228" s="79">
        <f t="shared" si="10"/>
        <v>51713</v>
      </c>
      <c r="C228" s="75" t="s">
        <v>15</v>
      </c>
      <c r="D228" s="81">
        <f>_xlfn.XLOOKUP(E228,'D3 Forecast Stratas Dec25'!$I$4:$AH$4,'D3 Forecast Stratas Dec25'!$I$6:$AH$6,0)</f>
        <v>3.2512722197864368</v>
      </c>
      <c r="E228" s="77">
        <f t="shared" si="9"/>
        <v>2041</v>
      </c>
    </row>
    <row r="229" spans="2:5" x14ac:dyDescent="0.5">
      <c r="B229" s="79">
        <f t="shared" si="10"/>
        <v>51744</v>
      </c>
      <c r="C229" s="75" t="s">
        <v>15</v>
      </c>
      <c r="D229" s="81">
        <f>_xlfn.XLOOKUP(E229,'D3 Forecast Stratas Dec25'!$I$4:$AH$4,'D3 Forecast Stratas Dec25'!$I$6:$AH$6,0)</f>
        <v>3.2512722197864368</v>
      </c>
      <c r="E229" s="77">
        <f t="shared" si="9"/>
        <v>2041</v>
      </c>
    </row>
    <row r="230" spans="2:5" x14ac:dyDescent="0.5">
      <c r="B230" s="79">
        <f t="shared" si="10"/>
        <v>51774</v>
      </c>
      <c r="C230" s="75" t="s">
        <v>15</v>
      </c>
      <c r="D230" s="81">
        <f>_xlfn.XLOOKUP(E230,'D3 Forecast Stratas Dec25'!$I$4:$AH$4,'D3 Forecast Stratas Dec25'!$I$6:$AH$6,0)</f>
        <v>3.2512722197864368</v>
      </c>
      <c r="E230" s="77">
        <f t="shared" si="9"/>
        <v>2041</v>
      </c>
    </row>
    <row r="231" spans="2:5" x14ac:dyDescent="0.5">
      <c r="B231" s="79">
        <f t="shared" si="10"/>
        <v>51805</v>
      </c>
      <c r="C231" s="75" t="s">
        <v>15</v>
      </c>
      <c r="D231" s="81">
        <f>_xlfn.XLOOKUP(E231,'D3 Forecast Stratas Dec25'!$I$4:$AH$4,'D3 Forecast Stratas Dec25'!$I$6:$AH$6,0)</f>
        <v>3.2512722197864368</v>
      </c>
      <c r="E231" s="77">
        <f t="shared" si="9"/>
        <v>2041</v>
      </c>
    </row>
    <row r="232" spans="2:5" x14ac:dyDescent="0.5">
      <c r="B232" s="79">
        <f t="shared" si="10"/>
        <v>51835</v>
      </c>
      <c r="C232" s="75" t="s">
        <v>15</v>
      </c>
      <c r="D232" s="81">
        <f>_xlfn.XLOOKUP(E232,'D3 Forecast Stratas Dec25'!$I$4:$AH$4,'D3 Forecast Stratas Dec25'!$I$6:$AH$6,0)</f>
        <v>3.2512722197864368</v>
      </c>
      <c r="E232" s="77">
        <f t="shared" si="9"/>
        <v>2041</v>
      </c>
    </row>
    <row r="233" spans="2:5" x14ac:dyDescent="0.5">
      <c r="B233" s="79">
        <f t="shared" si="10"/>
        <v>51866</v>
      </c>
      <c r="C233" s="75" t="s">
        <v>15</v>
      </c>
      <c r="D233" s="81">
        <f>_xlfn.XLOOKUP(E233,'D3 Forecast Stratas Dec25'!$I$4:$AH$4,'D3 Forecast Stratas Dec25'!$I$6:$AH$6,0)</f>
        <v>3.2512722197864368</v>
      </c>
      <c r="E233" s="77">
        <f t="shared" si="9"/>
        <v>2041</v>
      </c>
    </row>
    <row r="234" spans="2:5" x14ac:dyDescent="0.5">
      <c r="B234" s="79">
        <f t="shared" si="10"/>
        <v>51897</v>
      </c>
      <c r="C234" s="75" t="s">
        <v>15</v>
      </c>
      <c r="D234" s="81">
        <f>_xlfn.XLOOKUP(E234,'D3 Forecast Stratas Dec25'!$I$4:$AH$4,'D3 Forecast Stratas Dec25'!$I$6:$AH$6,0)</f>
        <v>3.3187559634261898</v>
      </c>
      <c r="E234" s="77">
        <f t="shared" si="9"/>
        <v>2042</v>
      </c>
    </row>
    <row r="235" spans="2:5" x14ac:dyDescent="0.5">
      <c r="B235" s="79">
        <f t="shared" si="10"/>
        <v>51925</v>
      </c>
      <c r="C235" s="75" t="s">
        <v>15</v>
      </c>
      <c r="D235" s="81">
        <f>_xlfn.XLOOKUP(E235,'D3 Forecast Stratas Dec25'!$I$4:$AH$4,'D3 Forecast Stratas Dec25'!$I$6:$AH$6,0)</f>
        <v>3.3187559634261898</v>
      </c>
      <c r="E235" s="77">
        <f t="shared" si="9"/>
        <v>2042</v>
      </c>
    </row>
    <row r="236" spans="2:5" x14ac:dyDescent="0.5">
      <c r="B236" s="79">
        <f t="shared" si="10"/>
        <v>51956</v>
      </c>
      <c r="C236" s="75" t="s">
        <v>15</v>
      </c>
      <c r="D236" s="81">
        <f>_xlfn.XLOOKUP(E236,'D3 Forecast Stratas Dec25'!$I$4:$AH$4,'D3 Forecast Stratas Dec25'!$I$6:$AH$6,0)</f>
        <v>3.3187559634261898</v>
      </c>
      <c r="E236" s="77">
        <f t="shared" si="9"/>
        <v>2042</v>
      </c>
    </row>
    <row r="237" spans="2:5" x14ac:dyDescent="0.5">
      <c r="B237" s="79">
        <f t="shared" si="10"/>
        <v>51986</v>
      </c>
      <c r="C237" s="75" t="s">
        <v>15</v>
      </c>
      <c r="D237" s="81">
        <f>_xlfn.XLOOKUP(E237,'D3 Forecast Stratas Dec25'!$I$4:$AH$4,'D3 Forecast Stratas Dec25'!$I$6:$AH$6,0)</f>
        <v>3.3187559634261898</v>
      </c>
      <c r="E237" s="77">
        <f t="shared" si="9"/>
        <v>2042</v>
      </c>
    </row>
    <row r="238" spans="2:5" x14ac:dyDescent="0.5">
      <c r="B238" s="79">
        <f t="shared" si="10"/>
        <v>52017</v>
      </c>
      <c r="C238" s="75" t="s">
        <v>15</v>
      </c>
      <c r="D238" s="81">
        <f>_xlfn.XLOOKUP(E238,'D3 Forecast Stratas Dec25'!$I$4:$AH$4,'D3 Forecast Stratas Dec25'!$I$6:$AH$6,0)</f>
        <v>3.3187559634261898</v>
      </c>
      <c r="E238" s="77">
        <f t="shared" si="9"/>
        <v>2042</v>
      </c>
    </row>
    <row r="239" spans="2:5" x14ac:dyDescent="0.5">
      <c r="B239" s="79">
        <f t="shared" si="10"/>
        <v>52047</v>
      </c>
      <c r="C239" s="75" t="s">
        <v>15</v>
      </c>
      <c r="D239" s="81">
        <f>_xlfn.XLOOKUP(E239,'D3 Forecast Stratas Dec25'!$I$4:$AH$4,'D3 Forecast Stratas Dec25'!$I$6:$AH$6,0)</f>
        <v>3.3187559634261898</v>
      </c>
      <c r="E239" s="77">
        <f t="shared" si="9"/>
        <v>2042</v>
      </c>
    </row>
    <row r="240" spans="2:5" x14ac:dyDescent="0.5">
      <c r="B240" s="79">
        <f t="shared" si="10"/>
        <v>52078</v>
      </c>
      <c r="C240" s="75" t="s">
        <v>15</v>
      </c>
      <c r="D240" s="81">
        <f>_xlfn.XLOOKUP(E240,'D3 Forecast Stratas Dec25'!$I$4:$AH$4,'D3 Forecast Stratas Dec25'!$I$6:$AH$6,0)</f>
        <v>3.3187559634261898</v>
      </c>
      <c r="E240" s="77">
        <f t="shared" si="9"/>
        <v>2042</v>
      </c>
    </row>
    <row r="241" spans="2:5" x14ac:dyDescent="0.5">
      <c r="B241" s="79">
        <f t="shared" si="10"/>
        <v>52109</v>
      </c>
      <c r="C241" s="75" t="s">
        <v>15</v>
      </c>
      <c r="D241" s="81">
        <f>_xlfn.XLOOKUP(E241,'D3 Forecast Stratas Dec25'!$I$4:$AH$4,'D3 Forecast Stratas Dec25'!$I$6:$AH$6,0)</f>
        <v>3.3187559634261898</v>
      </c>
      <c r="E241" s="77">
        <f t="shared" si="9"/>
        <v>2042</v>
      </c>
    </row>
    <row r="242" spans="2:5" x14ac:dyDescent="0.5">
      <c r="B242" s="79">
        <f t="shared" si="10"/>
        <v>52139</v>
      </c>
      <c r="C242" s="75" t="s">
        <v>15</v>
      </c>
      <c r="D242" s="81">
        <f>_xlfn.XLOOKUP(E242,'D3 Forecast Stratas Dec25'!$I$4:$AH$4,'D3 Forecast Stratas Dec25'!$I$6:$AH$6,0)</f>
        <v>3.3187559634261898</v>
      </c>
      <c r="E242" s="77">
        <f t="shared" si="9"/>
        <v>2042</v>
      </c>
    </row>
    <row r="243" spans="2:5" x14ac:dyDescent="0.5">
      <c r="B243" s="79">
        <f t="shared" si="10"/>
        <v>52170</v>
      </c>
      <c r="C243" s="75" t="s">
        <v>15</v>
      </c>
      <c r="D243" s="81">
        <f>_xlfn.XLOOKUP(E243,'D3 Forecast Stratas Dec25'!$I$4:$AH$4,'D3 Forecast Stratas Dec25'!$I$6:$AH$6,0)</f>
        <v>3.3187559634261898</v>
      </c>
      <c r="E243" s="77">
        <f t="shared" si="9"/>
        <v>2042</v>
      </c>
    </row>
    <row r="244" spans="2:5" x14ac:dyDescent="0.5">
      <c r="B244" s="79">
        <f t="shared" si="10"/>
        <v>52200</v>
      </c>
      <c r="C244" s="75" t="s">
        <v>15</v>
      </c>
      <c r="D244" s="81">
        <f>_xlfn.XLOOKUP(E244,'D3 Forecast Stratas Dec25'!$I$4:$AH$4,'D3 Forecast Stratas Dec25'!$I$6:$AH$6,0)</f>
        <v>3.3187559634261898</v>
      </c>
      <c r="E244" s="77">
        <f t="shared" si="9"/>
        <v>2042</v>
      </c>
    </row>
    <row r="245" spans="2:5" x14ac:dyDescent="0.5">
      <c r="B245" s="79">
        <f t="shared" si="10"/>
        <v>52231</v>
      </c>
      <c r="C245" s="75" t="s">
        <v>15</v>
      </c>
      <c r="D245" s="81">
        <f>_xlfn.XLOOKUP(E245,'D3 Forecast Stratas Dec25'!$I$4:$AH$4,'D3 Forecast Stratas Dec25'!$I$6:$AH$6,0)</f>
        <v>3.3187559634261898</v>
      </c>
      <c r="E245" s="77">
        <f t="shared" si="9"/>
        <v>2042</v>
      </c>
    </row>
    <row r="246" spans="2:5" x14ac:dyDescent="0.5">
      <c r="B246" s="79">
        <f t="shared" si="10"/>
        <v>52262</v>
      </c>
      <c r="C246" s="75" t="s">
        <v>15</v>
      </c>
      <c r="D246" s="81">
        <f>_xlfn.XLOOKUP(E246,'D3 Forecast Stratas Dec25'!$I$4:$AH$4,'D3 Forecast Stratas Dec25'!$I$6:$AH$6,0)</f>
        <v>3.387640406652991</v>
      </c>
      <c r="E246" s="77">
        <f t="shared" si="9"/>
        <v>2043</v>
      </c>
    </row>
    <row r="247" spans="2:5" x14ac:dyDescent="0.5">
      <c r="B247" s="79">
        <f t="shared" si="10"/>
        <v>52290</v>
      </c>
      <c r="C247" s="75" t="s">
        <v>15</v>
      </c>
      <c r="D247" s="81">
        <f>_xlfn.XLOOKUP(E247,'D3 Forecast Stratas Dec25'!$I$4:$AH$4,'D3 Forecast Stratas Dec25'!$I$6:$AH$6,0)</f>
        <v>3.387640406652991</v>
      </c>
      <c r="E247" s="77">
        <f t="shared" si="9"/>
        <v>2043</v>
      </c>
    </row>
    <row r="248" spans="2:5" x14ac:dyDescent="0.5">
      <c r="B248" s="79">
        <f t="shared" si="10"/>
        <v>52321</v>
      </c>
      <c r="C248" s="75" t="s">
        <v>15</v>
      </c>
      <c r="D248" s="81">
        <f>_xlfn.XLOOKUP(E248,'D3 Forecast Stratas Dec25'!$I$4:$AH$4,'D3 Forecast Stratas Dec25'!$I$6:$AH$6,0)</f>
        <v>3.387640406652991</v>
      </c>
      <c r="E248" s="77">
        <f t="shared" si="9"/>
        <v>2043</v>
      </c>
    </row>
    <row r="249" spans="2:5" x14ac:dyDescent="0.5">
      <c r="B249" s="79">
        <f t="shared" si="10"/>
        <v>52351</v>
      </c>
      <c r="C249" s="75" t="s">
        <v>15</v>
      </c>
      <c r="D249" s="81">
        <f>_xlfn.XLOOKUP(E249,'D3 Forecast Stratas Dec25'!$I$4:$AH$4,'D3 Forecast Stratas Dec25'!$I$6:$AH$6,0)</f>
        <v>3.387640406652991</v>
      </c>
      <c r="E249" s="77">
        <f t="shared" si="9"/>
        <v>2043</v>
      </c>
    </row>
    <row r="250" spans="2:5" x14ac:dyDescent="0.5">
      <c r="B250" s="79">
        <f t="shared" si="10"/>
        <v>52382</v>
      </c>
      <c r="C250" s="75" t="s">
        <v>15</v>
      </c>
      <c r="D250" s="81">
        <f>_xlfn.XLOOKUP(E250,'D3 Forecast Stratas Dec25'!$I$4:$AH$4,'D3 Forecast Stratas Dec25'!$I$6:$AH$6,0)</f>
        <v>3.387640406652991</v>
      </c>
      <c r="E250" s="77">
        <f t="shared" si="9"/>
        <v>2043</v>
      </c>
    </row>
    <row r="251" spans="2:5" x14ac:dyDescent="0.5">
      <c r="B251" s="79">
        <f t="shared" si="10"/>
        <v>52412</v>
      </c>
      <c r="C251" s="75" t="s">
        <v>15</v>
      </c>
      <c r="D251" s="81">
        <f>_xlfn.XLOOKUP(E251,'D3 Forecast Stratas Dec25'!$I$4:$AH$4,'D3 Forecast Stratas Dec25'!$I$6:$AH$6,0)</f>
        <v>3.387640406652991</v>
      </c>
      <c r="E251" s="77">
        <f t="shared" si="9"/>
        <v>2043</v>
      </c>
    </row>
    <row r="252" spans="2:5" x14ac:dyDescent="0.5">
      <c r="B252" s="79">
        <f t="shared" si="10"/>
        <v>52443</v>
      </c>
      <c r="C252" s="75" t="s">
        <v>15</v>
      </c>
      <c r="D252" s="81">
        <f>_xlfn.XLOOKUP(E252,'D3 Forecast Stratas Dec25'!$I$4:$AH$4,'D3 Forecast Stratas Dec25'!$I$6:$AH$6,0)</f>
        <v>3.387640406652991</v>
      </c>
      <c r="E252" s="77">
        <f t="shared" si="9"/>
        <v>2043</v>
      </c>
    </row>
    <row r="253" spans="2:5" x14ac:dyDescent="0.5">
      <c r="B253" s="79">
        <f t="shared" si="10"/>
        <v>52474</v>
      </c>
      <c r="C253" s="75" t="s">
        <v>15</v>
      </c>
      <c r="D253" s="81">
        <f>_xlfn.XLOOKUP(E253,'D3 Forecast Stratas Dec25'!$I$4:$AH$4,'D3 Forecast Stratas Dec25'!$I$6:$AH$6,0)</f>
        <v>3.387640406652991</v>
      </c>
      <c r="E253" s="77">
        <f t="shared" si="9"/>
        <v>2043</v>
      </c>
    </row>
    <row r="254" spans="2:5" x14ac:dyDescent="0.5">
      <c r="B254" s="79">
        <f t="shared" si="10"/>
        <v>52504</v>
      </c>
      <c r="C254" s="75" t="s">
        <v>15</v>
      </c>
      <c r="D254" s="81">
        <f>_xlfn.XLOOKUP(E254,'D3 Forecast Stratas Dec25'!$I$4:$AH$4,'D3 Forecast Stratas Dec25'!$I$6:$AH$6,0)</f>
        <v>3.387640406652991</v>
      </c>
      <c r="E254" s="77">
        <f t="shared" si="9"/>
        <v>2043</v>
      </c>
    </row>
    <row r="255" spans="2:5" x14ac:dyDescent="0.5">
      <c r="B255" s="79">
        <f t="shared" si="10"/>
        <v>52535</v>
      </c>
      <c r="C255" s="75" t="s">
        <v>15</v>
      </c>
      <c r="D255" s="81">
        <f>_xlfn.XLOOKUP(E255,'D3 Forecast Stratas Dec25'!$I$4:$AH$4,'D3 Forecast Stratas Dec25'!$I$6:$AH$6,0)</f>
        <v>3.387640406652991</v>
      </c>
      <c r="E255" s="77">
        <f t="shared" si="9"/>
        <v>2043</v>
      </c>
    </row>
    <row r="256" spans="2:5" x14ac:dyDescent="0.5">
      <c r="B256" s="79">
        <f t="shared" si="10"/>
        <v>52565</v>
      </c>
      <c r="C256" s="75" t="s">
        <v>15</v>
      </c>
      <c r="D256" s="81">
        <f>_xlfn.XLOOKUP(E256,'D3 Forecast Stratas Dec25'!$I$4:$AH$4,'D3 Forecast Stratas Dec25'!$I$6:$AH$6,0)</f>
        <v>3.387640406652991</v>
      </c>
      <c r="E256" s="77">
        <f t="shared" si="9"/>
        <v>2043</v>
      </c>
    </row>
    <row r="257" spans="2:5" x14ac:dyDescent="0.5">
      <c r="B257" s="79">
        <f t="shared" si="10"/>
        <v>52596</v>
      </c>
      <c r="C257" s="75" t="s">
        <v>15</v>
      </c>
      <c r="D257" s="81">
        <f>_xlfn.XLOOKUP(E257,'D3 Forecast Stratas Dec25'!$I$4:$AH$4,'D3 Forecast Stratas Dec25'!$I$6:$AH$6,0)</f>
        <v>3.387640406652991</v>
      </c>
      <c r="E257" s="77">
        <f t="shared" si="9"/>
        <v>2043</v>
      </c>
    </row>
    <row r="258" spans="2:5" x14ac:dyDescent="0.5">
      <c r="B258" s="79">
        <f t="shared" si="10"/>
        <v>52627</v>
      </c>
      <c r="C258" s="75" t="s">
        <v>15</v>
      </c>
      <c r="D258" s="81">
        <f>_xlfn.XLOOKUP(E258,'D3 Forecast Stratas Dec25'!$I$4:$AH$4,'D3 Forecast Stratas Dec25'!$I$6:$AH$6,0)</f>
        <v>3.4579546225328461</v>
      </c>
      <c r="E258" s="77">
        <f t="shared" si="9"/>
        <v>2044</v>
      </c>
    </row>
    <row r="259" spans="2:5" x14ac:dyDescent="0.5">
      <c r="B259" s="79">
        <f t="shared" si="10"/>
        <v>52656</v>
      </c>
      <c r="C259" s="75" t="s">
        <v>15</v>
      </c>
      <c r="D259" s="81">
        <f>_xlfn.XLOOKUP(E259,'D3 Forecast Stratas Dec25'!$I$4:$AH$4,'D3 Forecast Stratas Dec25'!$I$6:$AH$6,0)</f>
        <v>3.4579546225328461</v>
      </c>
      <c r="E259" s="77">
        <f t="shared" si="9"/>
        <v>2044</v>
      </c>
    </row>
    <row r="260" spans="2:5" x14ac:dyDescent="0.5">
      <c r="B260" s="79">
        <f t="shared" si="10"/>
        <v>52687</v>
      </c>
      <c r="C260" s="75" t="s">
        <v>15</v>
      </c>
      <c r="D260" s="81">
        <f>_xlfn.XLOOKUP(E260,'D3 Forecast Stratas Dec25'!$I$4:$AH$4,'D3 Forecast Stratas Dec25'!$I$6:$AH$6,0)</f>
        <v>3.4579546225328461</v>
      </c>
      <c r="E260" s="77">
        <f t="shared" si="9"/>
        <v>2044</v>
      </c>
    </row>
    <row r="261" spans="2:5" x14ac:dyDescent="0.5">
      <c r="B261" s="79">
        <f t="shared" si="10"/>
        <v>52717</v>
      </c>
      <c r="C261" s="75" t="s">
        <v>15</v>
      </c>
      <c r="D261" s="81">
        <f>_xlfn.XLOOKUP(E261,'D3 Forecast Stratas Dec25'!$I$4:$AH$4,'D3 Forecast Stratas Dec25'!$I$6:$AH$6,0)</f>
        <v>3.4579546225328461</v>
      </c>
      <c r="E261" s="77">
        <f t="shared" si="9"/>
        <v>2044</v>
      </c>
    </row>
    <row r="262" spans="2:5" x14ac:dyDescent="0.5">
      <c r="B262" s="79">
        <f t="shared" si="10"/>
        <v>52748</v>
      </c>
      <c r="C262" s="75" t="s">
        <v>15</v>
      </c>
      <c r="D262" s="81">
        <f>_xlfn.XLOOKUP(E262,'D3 Forecast Stratas Dec25'!$I$4:$AH$4,'D3 Forecast Stratas Dec25'!$I$6:$AH$6,0)</f>
        <v>3.4579546225328461</v>
      </c>
      <c r="E262" s="77">
        <f t="shared" si="9"/>
        <v>2044</v>
      </c>
    </row>
    <row r="263" spans="2:5" x14ac:dyDescent="0.5">
      <c r="B263" s="79">
        <f t="shared" si="10"/>
        <v>52778</v>
      </c>
      <c r="C263" s="75" t="s">
        <v>15</v>
      </c>
      <c r="D263" s="81">
        <f>_xlfn.XLOOKUP(E263,'D3 Forecast Stratas Dec25'!$I$4:$AH$4,'D3 Forecast Stratas Dec25'!$I$6:$AH$6,0)</f>
        <v>3.4579546225328461</v>
      </c>
      <c r="E263" s="77">
        <f t="shared" si="9"/>
        <v>2044</v>
      </c>
    </row>
    <row r="264" spans="2:5" x14ac:dyDescent="0.5">
      <c r="B264" s="79">
        <f t="shared" si="10"/>
        <v>52809</v>
      </c>
      <c r="C264" s="75" t="s">
        <v>15</v>
      </c>
      <c r="D264" s="81">
        <f>_xlfn.XLOOKUP(E264,'D3 Forecast Stratas Dec25'!$I$4:$AH$4,'D3 Forecast Stratas Dec25'!$I$6:$AH$6,0)</f>
        <v>3.4579546225328461</v>
      </c>
      <c r="E264" s="77">
        <f t="shared" si="9"/>
        <v>2044</v>
      </c>
    </row>
    <row r="265" spans="2:5" x14ac:dyDescent="0.5">
      <c r="B265" s="79">
        <f t="shared" si="10"/>
        <v>52840</v>
      </c>
      <c r="C265" s="75" t="s">
        <v>15</v>
      </c>
      <c r="D265" s="81">
        <f>_xlfn.XLOOKUP(E265,'D3 Forecast Stratas Dec25'!$I$4:$AH$4,'D3 Forecast Stratas Dec25'!$I$6:$AH$6,0)</f>
        <v>3.4579546225328461</v>
      </c>
      <c r="E265" s="77">
        <f t="shared" si="9"/>
        <v>2044</v>
      </c>
    </row>
    <row r="266" spans="2:5" x14ac:dyDescent="0.5">
      <c r="B266" s="79">
        <f t="shared" si="10"/>
        <v>52870</v>
      </c>
      <c r="C266" s="75" t="s">
        <v>15</v>
      </c>
      <c r="D266" s="81">
        <f>_xlfn.XLOOKUP(E266,'D3 Forecast Stratas Dec25'!$I$4:$AH$4,'D3 Forecast Stratas Dec25'!$I$6:$AH$6,0)</f>
        <v>3.4579546225328461</v>
      </c>
      <c r="E266" s="77">
        <f t="shared" si="9"/>
        <v>2044</v>
      </c>
    </row>
    <row r="267" spans="2:5" x14ac:dyDescent="0.5">
      <c r="B267" s="79">
        <f t="shared" si="10"/>
        <v>52901</v>
      </c>
      <c r="C267" s="75" t="s">
        <v>15</v>
      </c>
      <c r="D267" s="81">
        <f>_xlfn.XLOOKUP(E267,'D3 Forecast Stratas Dec25'!$I$4:$AH$4,'D3 Forecast Stratas Dec25'!$I$6:$AH$6,0)</f>
        <v>3.4579546225328461</v>
      </c>
      <c r="E267" s="77">
        <f t="shared" si="9"/>
        <v>2044</v>
      </c>
    </row>
    <row r="268" spans="2:5" x14ac:dyDescent="0.5">
      <c r="B268" s="79">
        <f t="shared" si="10"/>
        <v>52931</v>
      </c>
      <c r="C268" s="75" t="s">
        <v>15</v>
      </c>
      <c r="D268" s="81">
        <f>_xlfn.XLOOKUP(E268,'D3 Forecast Stratas Dec25'!$I$4:$AH$4,'D3 Forecast Stratas Dec25'!$I$6:$AH$6,0)</f>
        <v>3.4579546225328461</v>
      </c>
      <c r="E268" s="77">
        <f t="shared" si="9"/>
        <v>2044</v>
      </c>
    </row>
    <row r="269" spans="2:5" x14ac:dyDescent="0.5">
      <c r="B269" s="79">
        <f t="shared" si="10"/>
        <v>52962</v>
      </c>
      <c r="C269" s="75" t="s">
        <v>15</v>
      </c>
      <c r="D269" s="81">
        <f>_xlfn.XLOOKUP(E269,'D3 Forecast Stratas Dec25'!$I$4:$AH$4,'D3 Forecast Stratas Dec25'!$I$6:$AH$6,0)</f>
        <v>3.4579546225328461</v>
      </c>
      <c r="E269" s="77">
        <f t="shared" si="9"/>
        <v>2044</v>
      </c>
    </row>
    <row r="270" spans="2:5" x14ac:dyDescent="0.5">
      <c r="B270" s="79">
        <f t="shared" si="10"/>
        <v>52993</v>
      </c>
      <c r="C270" s="75" t="s">
        <v>15</v>
      </c>
      <c r="D270" s="81">
        <f>_xlfn.XLOOKUP(E270,'D3 Forecast Stratas Dec25'!$I$4:$AH$4,'D3 Forecast Stratas Dec25'!$I$6:$AH$6,0)</f>
        <v>3.5297282875753364</v>
      </c>
      <c r="E270" s="77">
        <f t="shared" si="9"/>
        <v>2045</v>
      </c>
    </row>
    <row r="271" spans="2:5" x14ac:dyDescent="0.5">
      <c r="B271" s="79">
        <f t="shared" si="10"/>
        <v>53021</v>
      </c>
      <c r="C271" s="75" t="s">
        <v>15</v>
      </c>
      <c r="D271" s="81">
        <f>_xlfn.XLOOKUP(E271,'D3 Forecast Stratas Dec25'!$I$4:$AH$4,'D3 Forecast Stratas Dec25'!$I$6:$AH$6,0)</f>
        <v>3.5297282875753364</v>
      </c>
      <c r="E271" s="77">
        <f t="shared" si="9"/>
        <v>2045</v>
      </c>
    </row>
    <row r="272" spans="2:5" x14ac:dyDescent="0.5">
      <c r="B272" s="79">
        <f t="shared" si="10"/>
        <v>53052</v>
      </c>
      <c r="C272" s="75" t="s">
        <v>15</v>
      </c>
      <c r="D272" s="81">
        <f>_xlfn.XLOOKUP(E272,'D3 Forecast Stratas Dec25'!$I$4:$AH$4,'D3 Forecast Stratas Dec25'!$I$6:$AH$6,0)</f>
        <v>3.5297282875753364</v>
      </c>
      <c r="E272" s="77">
        <f t="shared" si="9"/>
        <v>2045</v>
      </c>
    </row>
    <row r="273" spans="2:5" x14ac:dyDescent="0.5">
      <c r="B273" s="79">
        <f t="shared" si="10"/>
        <v>53082</v>
      </c>
      <c r="C273" s="75" t="s">
        <v>15</v>
      </c>
      <c r="D273" s="81">
        <f>_xlfn.XLOOKUP(E273,'D3 Forecast Stratas Dec25'!$I$4:$AH$4,'D3 Forecast Stratas Dec25'!$I$6:$AH$6,0)</f>
        <v>3.5297282875753364</v>
      </c>
      <c r="E273" s="77">
        <f t="shared" si="9"/>
        <v>2045</v>
      </c>
    </row>
    <row r="274" spans="2:5" x14ac:dyDescent="0.5">
      <c r="B274" s="79">
        <f t="shared" si="10"/>
        <v>53113</v>
      </c>
      <c r="C274" s="75" t="s">
        <v>15</v>
      </c>
      <c r="D274" s="81">
        <f>_xlfn.XLOOKUP(E274,'D3 Forecast Stratas Dec25'!$I$4:$AH$4,'D3 Forecast Stratas Dec25'!$I$6:$AH$6,0)</f>
        <v>3.5297282875753364</v>
      </c>
      <c r="E274" s="77">
        <f t="shared" ref="E274:E337" si="11">YEAR(B274)</f>
        <v>2045</v>
      </c>
    </row>
    <row r="275" spans="2:5" x14ac:dyDescent="0.5">
      <c r="B275" s="79">
        <f t="shared" si="10"/>
        <v>53143</v>
      </c>
      <c r="C275" s="75" t="s">
        <v>15</v>
      </c>
      <c r="D275" s="81">
        <f>_xlfn.XLOOKUP(E275,'D3 Forecast Stratas Dec25'!$I$4:$AH$4,'D3 Forecast Stratas Dec25'!$I$6:$AH$6,0)</f>
        <v>3.5297282875753364</v>
      </c>
      <c r="E275" s="77">
        <f t="shared" si="11"/>
        <v>2045</v>
      </c>
    </row>
    <row r="276" spans="2:5" x14ac:dyDescent="0.5">
      <c r="B276" s="79">
        <f t="shared" ref="B276:B339" si="12">EOMONTH(B275,1)</f>
        <v>53174</v>
      </c>
      <c r="C276" s="75" t="s">
        <v>15</v>
      </c>
      <c r="D276" s="81">
        <f>_xlfn.XLOOKUP(E276,'D3 Forecast Stratas Dec25'!$I$4:$AH$4,'D3 Forecast Stratas Dec25'!$I$6:$AH$6,0)</f>
        <v>3.5297282875753364</v>
      </c>
      <c r="E276" s="77">
        <f t="shared" si="11"/>
        <v>2045</v>
      </c>
    </row>
    <row r="277" spans="2:5" x14ac:dyDescent="0.5">
      <c r="B277" s="79">
        <f t="shared" si="12"/>
        <v>53205</v>
      </c>
      <c r="C277" s="75" t="s">
        <v>15</v>
      </c>
      <c r="D277" s="81">
        <f>_xlfn.XLOOKUP(E277,'D3 Forecast Stratas Dec25'!$I$4:$AH$4,'D3 Forecast Stratas Dec25'!$I$6:$AH$6,0)</f>
        <v>3.5297282875753364</v>
      </c>
      <c r="E277" s="77">
        <f t="shared" si="11"/>
        <v>2045</v>
      </c>
    </row>
    <row r="278" spans="2:5" x14ac:dyDescent="0.5">
      <c r="B278" s="79">
        <f t="shared" si="12"/>
        <v>53235</v>
      </c>
      <c r="C278" s="75" t="s">
        <v>15</v>
      </c>
      <c r="D278" s="81">
        <f>_xlfn.XLOOKUP(E278,'D3 Forecast Stratas Dec25'!$I$4:$AH$4,'D3 Forecast Stratas Dec25'!$I$6:$AH$6,0)</f>
        <v>3.5297282875753364</v>
      </c>
      <c r="E278" s="77">
        <f t="shared" si="11"/>
        <v>2045</v>
      </c>
    </row>
    <row r="279" spans="2:5" x14ac:dyDescent="0.5">
      <c r="B279" s="79">
        <f t="shared" si="12"/>
        <v>53266</v>
      </c>
      <c r="C279" s="75" t="s">
        <v>15</v>
      </c>
      <c r="D279" s="81">
        <f>_xlfn.XLOOKUP(E279,'D3 Forecast Stratas Dec25'!$I$4:$AH$4,'D3 Forecast Stratas Dec25'!$I$6:$AH$6,0)</f>
        <v>3.5297282875753364</v>
      </c>
      <c r="E279" s="77">
        <f t="shared" si="11"/>
        <v>2045</v>
      </c>
    </row>
    <row r="280" spans="2:5" x14ac:dyDescent="0.5">
      <c r="B280" s="79">
        <f t="shared" si="12"/>
        <v>53296</v>
      </c>
      <c r="C280" s="75" t="s">
        <v>15</v>
      </c>
      <c r="D280" s="81">
        <f>_xlfn.XLOOKUP(E280,'D3 Forecast Stratas Dec25'!$I$4:$AH$4,'D3 Forecast Stratas Dec25'!$I$6:$AH$6,0)</f>
        <v>3.5297282875753364</v>
      </c>
      <c r="E280" s="77">
        <f t="shared" si="11"/>
        <v>2045</v>
      </c>
    </row>
    <row r="281" spans="2:5" x14ac:dyDescent="0.5">
      <c r="B281" s="79">
        <f t="shared" si="12"/>
        <v>53327</v>
      </c>
      <c r="C281" s="75" t="s">
        <v>15</v>
      </c>
      <c r="D281" s="81">
        <f>_xlfn.XLOOKUP(E281,'D3 Forecast Stratas Dec25'!$I$4:$AH$4,'D3 Forecast Stratas Dec25'!$I$6:$AH$6,0)</f>
        <v>3.5297282875753364</v>
      </c>
      <c r="E281" s="77">
        <f t="shared" si="11"/>
        <v>2045</v>
      </c>
    </row>
    <row r="282" spans="2:5" x14ac:dyDescent="0.5">
      <c r="B282" s="79">
        <f t="shared" si="12"/>
        <v>53358</v>
      </c>
      <c r="C282" s="75" t="s">
        <v>15</v>
      </c>
      <c r="D282" s="81">
        <f>_xlfn.XLOOKUP(E282,'D3 Forecast Stratas Dec25'!$I$4:$AH$4,'D3 Forecast Stratas Dec25'!$I$6:$AH$6,0)</f>
        <v>3.6029916942587565</v>
      </c>
      <c r="E282" s="77">
        <f t="shared" si="11"/>
        <v>2046</v>
      </c>
    </row>
    <row r="283" spans="2:5" x14ac:dyDescent="0.5">
      <c r="B283" s="79">
        <f t="shared" si="12"/>
        <v>53386</v>
      </c>
      <c r="C283" s="75" t="s">
        <v>15</v>
      </c>
      <c r="D283" s="81">
        <f>_xlfn.XLOOKUP(E283,'D3 Forecast Stratas Dec25'!$I$4:$AH$4,'D3 Forecast Stratas Dec25'!$I$6:$AH$6,0)</f>
        <v>3.6029916942587565</v>
      </c>
      <c r="E283" s="77">
        <f t="shared" si="11"/>
        <v>2046</v>
      </c>
    </row>
    <row r="284" spans="2:5" x14ac:dyDescent="0.5">
      <c r="B284" s="79">
        <f t="shared" si="12"/>
        <v>53417</v>
      </c>
      <c r="C284" s="75" t="s">
        <v>15</v>
      </c>
      <c r="D284" s="81">
        <f>_xlfn.XLOOKUP(E284,'D3 Forecast Stratas Dec25'!$I$4:$AH$4,'D3 Forecast Stratas Dec25'!$I$6:$AH$6,0)</f>
        <v>3.6029916942587565</v>
      </c>
      <c r="E284" s="77">
        <f t="shared" si="11"/>
        <v>2046</v>
      </c>
    </row>
    <row r="285" spans="2:5" x14ac:dyDescent="0.5">
      <c r="B285" s="79">
        <f t="shared" si="12"/>
        <v>53447</v>
      </c>
      <c r="C285" s="75" t="s">
        <v>15</v>
      </c>
      <c r="D285" s="81">
        <f>_xlfn.XLOOKUP(E285,'D3 Forecast Stratas Dec25'!$I$4:$AH$4,'D3 Forecast Stratas Dec25'!$I$6:$AH$6,0)</f>
        <v>3.6029916942587565</v>
      </c>
      <c r="E285" s="77">
        <f t="shared" si="11"/>
        <v>2046</v>
      </c>
    </row>
    <row r="286" spans="2:5" x14ac:dyDescent="0.5">
      <c r="B286" s="79">
        <f t="shared" si="12"/>
        <v>53478</v>
      </c>
      <c r="C286" s="75" t="s">
        <v>15</v>
      </c>
      <c r="D286" s="81">
        <f>_xlfn.XLOOKUP(E286,'D3 Forecast Stratas Dec25'!$I$4:$AH$4,'D3 Forecast Stratas Dec25'!$I$6:$AH$6,0)</f>
        <v>3.6029916942587565</v>
      </c>
      <c r="E286" s="77">
        <f t="shared" si="11"/>
        <v>2046</v>
      </c>
    </row>
    <row r="287" spans="2:5" x14ac:dyDescent="0.5">
      <c r="B287" s="79">
        <f t="shared" si="12"/>
        <v>53508</v>
      </c>
      <c r="C287" s="75" t="s">
        <v>15</v>
      </c>
      <c r="D287" s="81">
        <f>_xlfn.XLOOKUP(E287,'D3 Forecast Stratas Dec25'!$I$4:$AH$4,'D3 Forecast Stratas Dec25'!$I$6:$AH$6,0)</f>
        <v>3.6029916942587565</v>
      </c>
      <c r="E287" s="77">
        <f t="shared" si="11"/>
        <v>2046</v>
      </c>
    </row>
    <row r="288" spans="2:5" x14ac:dyDescent="0.5">
      <c r="B288" s="79">
        <f t="shared" si="12"/>
        <v>53539</v>
      </c>
      <c r="C288" s="75" t="s">
        <v>15</v>
      </c>
      <c r="D288" s="81">
        <f>_xlfn.XLOOKUP(E288,'D3 Forecast Stratas Dec25'!$I$4:$AH$4,'D3 Forecast Stratas Dec25'!$I$6:$AH$6,0)</f>
        <v>3.6029916942587565</v>
      </c>
      <c r="E288" s="77">
        <f t="shared" si="11"/>
        <v>2046</v>
      </c>
    </row>
    <row r="289" spans="2:5" x14ac:dyDescent="0.5">
      <c r="B289" s="79">
        <f t="shared" si="12"/>
        <v>53570</v>
      </c>
      <c r="C289" s="75" t="s">
        <v>15</v>
      </c>
      <c r="D289" s="81">
        <f>_xlfn.XLOOKUP(E289,'D3 Forecast Stratas Dec25'!$I$4:$AH$4,'D3 Forecast Stratas Dec25'!$I$6:$AH$6,0)</f>
        <v>3.6029916942587565</v>
      </c>
      <c r="E289" s="77">
        <f t="shared" si="11"/>
        <v>2046</v>
      </c>
    </row>
    <row r="290" spans="2:5" x14ac:dyDescent="0.5">
      <c r="B290" s="79">
        <f t="shared" si="12"/>
        <v>53600</v>
      </c>
      <c r="C290" s="75" t="s">
        <v>15</v>
      </c>
      <c r="D290" s="81">
        <f>_xlfn.XLOOKUP(E290,'D3 Forecast Stratas Dec25'!$I$4:$AH$4,'D3 Forecast Stratas Dec25'!$I$6:$AH$6,0)</f>
        <v>3.6029916942587565</v>
      </c>
      <c r="E290" s="77">
        <f t="shared" si="11"/>
        <v>2046</v>
      </c>
    </row>
    <row r="291" spans="2:5" x14ac:dyDescent="0.5">
      <c r="B291" s="79">
        <f t="shared" si="12"/>
        <v>53631</v>
      </c>
      <c r="C291" s="75" t="s">
        <v>15</v>
      </c>
      <c r="D291" s="81">
        <f>_xlfn.XLOOKUP(E291,'D3 Forecast Stratas Dec25'!$I$4:$AH$4,'D3 Forecast Stratas Dec25'!$I$6:$AH$6,0)</f>
        <v>3.6029916942587565</v>
      </c>
      <c r="E291" s="77">
        <f t="shared" si="11"/>
        <v>2046</v>
      </c>
    </row>
    <row r="292" spans="2:5" x14ac:dyDescent="0.5">
      <c r="B292" s="79">
        <f t="shared" si="12"/>
        <v>53661</v>
      </c>
      <c r="C292" s="75" t="s">
        <v>15</v>
      </c>
      <c r="D292" s="81">
        <f>_xlfn.XLOOKUP(E292,'D3 Forecast Stratas Dec25'!$I$4:$AH$4,'D3 Forecast Stratas Dec25'!$I$6:$AH$6,0)</f>
        <v>3.6029916942587565</v>
      </c>
      <c r="E292" s="77">
        <f t="shared" si="11"/>
        <v>2046</v>
      </c>
    </row>
    <row r="293" spans="2:5" x14ac:dyDescent="0.5">
      <c r="B293" s="79">
        <f t="shared" si="12"/>
        <v>53692</v>
      </c>
      <c r="C293" s="75" t="s">
        <v>15</v>
      </c>
      <c r="D293" s="81">
        <f>_xlfn.XLOOKUP(E293,'D3 Forecast Stratas Dec25'!$I$4:$AH$4,'D3 Forecast Stratas Dec25'!$I$6:$AH$6,0)</f>
        <v>3.6029916942587565</v>
      </c>
      <c r="E293" s="77">
        <f t="shared" si="11"/>
        <v>2046</v>
      </c>
    </row>
    <row r="294" spans="2:5" x14ac:dyDescent="0.5">
      <c r="B294" s="79">
        <f t="shared" si="12"/>
        <v>53723</v>
      </c>
      <c r="C294" s="75" t="s">
        <v>15</v>
      </c>
      <c r="D294" s="81">
        <f>_xlfn.XLOOKUP(E294,'D3 Forecast Stratas Dec25'!$I$4:$AH$4,'D3 Forecast Stratas Dec25'!$I$6:$AH$6,0)</f>
        <v>3.6777757638152235</v>
      </c>
      <c r="E294" s="77">
        <f t="shared" si="11"/>
        <v>2047</v>
      </c>
    </row>
    <row r="295" spans="2:5" x14ac:dyDescent="0.5">
      <c r="B295" s="79">
        <f t="shared" si="12"/>
        <v>53751</v>
      </c>
      <c r="C295" s="75" t="s">
        <v>15</v>
      </c>
      <c r="D295" s="81">
        <f>_xlfn.XLOOKUP(E295,'D3 Forecast Stratas Dec25'!$I$4:$AH$4,'D3 Forecast Stratas Dec25'!$I$6:$AH$6,0)</f>
        <v>3.6777757638152235</v>
      </c>
      <c r="E295" s="77">
        <f t="shared" si="11"/>
        <v>2047</v>
      </c>
    </row>
    <row r="296" spans="2:5" x14ac:dyDescent="0.5">
      <c r="B296" s="79">
        <f t="shared" si="12"/>
        <v>53782</v>
      </c>
      <c r="C296" s="75" t="s">
        <v>15</v>
      </c>
      <c r="D296" s="81">
        <f>_xlfn.XLOOKUP(E296,'D3 Forecast Stratas Dec25'!$I$4:$AH$4,'D3 Forecast Stratas Dec25'!$I$6:$AH$6,0)</f>
        <v>3.6777757638152235</v>
      </c>
      <c r="E296" s="77">
        <f t="shared" si="11"/>
        <v>2047</v>
      </c>
    </row>
    <row r="297" spans="2:5" x14ac:dyDescent="0.5">
      <c r="B297" s="79">
        <f t="shared" si="12"/>
        <v>53812</v>
      </c>
      <c r="C297" s="75" t="s">
        <v>15</v>
      </c>
      <c r="D297" s="81">
        <f>_xlfn.XLOOKUP(E297,'D3 Forecast Stratas Dec25'!$I$4:$AH$4,'D3 Forecast Stratas Dec25'!$I$6:$AH$6,0)</f>
        <v>3.6777757638152235</v>
      </c>
      <c r="E297" s="77">
        <f t="shared" si="11"/>
        <v>2047</v>
      </c>
    </row>
    <row r="298" spans="2:5" x14ac:dyDescent="0.5">
      <c r="B298" s="79">
        <f t="shared" si="12"/>
        <v>53843</v>
      </c>
      <c r="C298" s="75" t="s">
        <v>15</v>
      </c>
      <c r="D298" s="81">
        <f>_xlfn.XLOOKUP(E298,'D3 Forecast Stratas Dec25'!$I$4:$AH$4,'D3 Forecast Stratas Dec25'!$I$6:$AH$6,0)</f>
        <v>3.6777757638152235</v>
      </c>
      <c r="E298" s="77">
        <f t="shared" si="11"/>
        <v>2047</v>
      </c>
    </row>
    <row r="299" spans="2:5" x14ac:dyDescent="0.5">
      <c r="B299" s="79">
        <f t="shared" si="12"/>
        <v>53873</v>
      </c>
      <c r="C299" s="75" t="s">
        <v>15</v>
      </c>
      <c r="D299" s="81">
        <f>_xlfn.XLOOKUP(E299,'D3 Forecast Stratas Dec25'!$I$4:$AH$4,'D3 Forecast Stratas Dec25'!$I$6:$AH$6,0)</f>
        <v>3.6777757638152235</v>
      </c>
      <c r="E299" s="77">
        <f t="shared" si="11"/>
        <v>2047</v>
      </c>
    </row>
    <row r="300" spans="2:5" x14ac:dyDescent="0.5">
      <c r="B300" s="79">
        <f t="shared" si="12"/>
        <v>53904</v>
      </c>
      <c r="C300" s="75" t="s">
        <v>15</v>
      </c>
      <c r="D300" s="81">
        <f>_xlfn.XLOOKUP(E300,'D3 Forecast Stratas Dec25'!$I$4:$AH$4,'D3 Forecast Stratas Dec25'!$I$6:$AH$6,0)</f>
        <v>3.6777757638152235</v>
      </c>
      <c r="E300" s="77">
        <f t="shared" si="11"/>
        <v>2047</v>
      </c>
    </row>
    <row r="301" spans="2:5" x14ac:dyDescent="0.5">
      <c r="B301" s="79">
        <f t="shared" si="12"/>
        <v>53935</v>
      </c>
      <c r="C301" s="75" t="s">
        <v>15</v>
      </c>
      <c r="D301" s="81">
        <f>_xlfn.XLOOKUP(E301,'D3 Forecast Stratas Dec25'!$I$4:$AH$4,'D3 Forecast Stratas Dec25'!$I$6:$AH$6,0)</f>
        <v>3.6777757638152235</v>
      </c>
      <c r="E301" s="77">
        <f t="shared" si="11"/>
        <v>2047</v>
      </c>
    </row>
    <row r="302" spans="2:5" x14ac:dyDescent="0.5">
      <c r="B302" s="79">
        <f t="shared" si="12"/>
        <v>53965</v>
      </c>
      <c r="C302" s="75" t="s">
        <v>15</v>
      </c>
      <c r="D302" s="81">
        <f>_xlfn.XLOOKUP(E302,'D3 Forecast Stratas Dec25'!$I$4:$AH$4,'D3 Forecast Stratas Dec25'!$I$6:$AH$6,0)</f>
        <v>3.6777757638152235</v>
      </c>
      <c r="E302" s="77">
        <f t="shared" si="11"/>
        <v>2047</v>
      </c>
    </row>
    <row r="303" spans="2:5" x14ac:dyDescent="0.5">
      <c r="B303" s="79">
        <f t="shared" si="12"/>
        <v>53996</v>
      </c>
      <c r="C303" s="75" t="s">
        <v>15</v>
      </c>
      <c r="D303" s="81">
        <f>_xlfn.XLOOKUP(E303,'D3 Forecast Stratas Dec25'!$I$4:$AH$4,'D3 Forecast Stratas Dec25'!$I$6:$AH$6,0)</f>
        <v>3.6777757638152235</v>
      </c>
      <c r="E303" s="77">
        <f t="shared" si="11"/>
        <v>2047</v>
      </c>
    </row>
    <row r="304" spans="2:5" x14ac:dyDescent="0.5">
      <c r="B304" s="79">
        <f t="shared" si="12"/>
        <v>54026</v>
      </c>
      <c r="C304" s="75" t="s">
        <v>15</v>
      </c>
      <c r="D304" s="81">
        <f>_xlfn.XLOOKUP(E304,'D3 Forecast Stratas Dec25'!$I$4:$AH$4,'D3 Forecast Stratas Dec25'!$I$6:$AH$6,0)</f>
        <v>3.6777757638152235</v>
      </c>
      <c r="E304" s="77">
        <f t="shared" si="11"/>
        <v>2047</v>
      </c>
    </row>
    <row r="305" spans="2:5" x14ac:dyDescent="0.5">
      <c r="B305" s="79">
        <f t="shared" si="12"/>
        <v>54057</v>
      </c>
      <c r="C305" s="75" t="s">
        <v>15</v>
      </c>
      <c r="D305" s="81">
        <f>_xlfn.XLOOKUP(E305,'D3 Forecast Stratas Dec25'!$I$4:$AH$4,'D3 Forecast Stratas Dec25'!$I$6:$AH$6,0)</f>
        <v>3.6777757638152235</v>
      </c>
      <c r="E305" s="77">
        <f t="shared" si="11"/>
        <v>2047</v>
      </c>
    </row>
    <row r="306" spans="2:5" x14ac:dyDescent="0.5">
      <c r="B306" s="79">
        <f t="shared" si="12"/>
        <v>54088</v>
      </c>
      <c r="C306" s="75" t="s">
        <v>15</v>
      </c>
      <c r="D306" s="81">
        <f>_xlfn.XLOOKUP(E306,'D3 Forecast Stratas Dec25'!$I$4:$AH$4,'D3 Forecast Stratas Dec25'!$I$6:$AH$6,0)</f>
        <v>3.7541120592811588</v>
      </c>
      <c r="E306" s="77">
        <f t="shared" si="11"/>
        <v>2048</v>
      </c>
    </row>
    <row r="307" spans="2:5" x14ac:dyDescent="0.5">
      <c r="B307" s="79">
        <f t="shared" si="12"/>
        <v>54117</v>
      </c>
      <c r="C307" s="75" t="s">
        <v>15</v>
      </c>
      <c r="D307" s="81">
        <f>_xlfn.XLOOKUP(E307,'D3 Forecast Stratas Dec25'!$I$4:$AH$4,'D3 Forecast Stratas Dec25'!$I$6:$AH$6,0)</f>
        <v>3.7541120592811588</v>
      </c>
      <c r="E307" s="77">
        <f t="shared" si="11"/>
        <v>2048</v>
      </c>
    </row>
    <row r="308" spans="2:5" x14ac:dyDescent="0.5">
      <c r="B308" s="79">
        <f t="shared" si="12"/>
        <v>54148</v>
      </c>
      <c r="C308" s="75" t="s">
        <v>15</v>
      </c>
      <c r="D308" s="81">
        <f>_xlfn.XLOOKUP(E308,'D3 Forecast Stratas Dec25'!$I$4:$AH$4,'D3 Forecast Stratas Dec25'!$I$6:$AH$6,0)</f>
        <v>3.7541120592811588</v>
      </c>
      <c r="E308" s="77">
        <f t="shared" si="11"/>
        <v>2048</v>
      </c>
    </row>
    <row r="309" spans="2:5" x14ac:dyDescent="0.5">
      <c r="B309" s="79">
        <f t="shared" si="12"/>
        <v>54178</v>
      </c>
      <c r="C309" s="75" t="s">
        <v>15</v>
      </c>
      <c r="D309" s="81">
        <f>_xlfn.XLOOKUP(E309,'D3 Forecast Stratas Dec25'!$I$4:$AH$4,'D3 Forecast Stratas Dec25'!$I$6:$AH$6,0)</f>
        <v>3.7541120592811588</v>
      </c>
      <c r="E309" s="77">
        <f t="shared" si="11"/>
        <v>2048</v>
      </c>
    </row>
    <row r="310" spans="2:5" x14ac:dyDescent="0.5">
      <c r="B310" s="79">
        <f t="shared" si="12"/>
        <v>54209</v>
      </c>
      <c r="C310" s="75" t="s">
        <v>15</v>
      </c>
      <c r="D310" s="81">
        <f>_xlfn.XLOOKUP(E310,'D3 Forecast Stratas Dec25'!$I$4:$AH$4,'D3 Forecast Stratas Dec25'!$I$6:$AH$6,0)</f>
        <v>3.7541120592811588</v>
      </c>
      <c r="E310" s="77">
        <f t="shared" si="11"/>
        <v>2048</v>
      </c>
    </row>
    <row r="311" spans="2:5" x14ac:dyDescent="0.5">
      <c r="B311" s="79">
        <f t="shared" si="12"/>
        <v>54239</v>
      </c>
      <c r="C311" s="75" t="s">
        <v>15</v>
      </c>
      <c r="D311" s="81">
        <f>_xlfn.XLOOKUP(E311,'D3 Forecast Stratas Dec25'!$I$4:$AH$4,'D3 Forecast Stratas Dec25'!$I$6:$AH$6,0)</f>
        <v>3.7541120592811588</v>
      </c>
      <c r="E311" s="77">
        <f t="shared" si="11"/>
        <v>2048</v>
      </c>
    </row>
    <row r="312" spans="2:5" x14ac:dyDescent="0.5">
      <c r="B312" s="79">
        <f t="shared" si="12"/>
        <v>54270</v>
      </c>
      <c r="C312" s="75" t="s">
        <v>15</v>
      </c>
      <c r="D312" s="81">
        <f>_xlfn.XLOOKUP(E312,'D3 Forecast Stratas Dec25'!$I$4:$AH$4,'D3 Forecast Stratas Dec25'!$I$6:$AH$6,0)</f>
        <v>3.7541120592811588</v>
      </c>
      <c r="E312" s="77">
        <f t="shared" si="11"/>
        <v>2048</v>
      </c>
    </row>
    <row r="313" spans="2:5" x14ac:dyDescent="0.5">
      <c r="B313" s="79">
        <f t="shared" si="12"/>
        <v>54301</v>
      </c>
      <c r="C313" s="75" t="s">
        <v>15</v>
      </c>
      <c r="D313" s="81">
        <f>_xlfn.XLOOKUP(E313,'D3 Forecast Stratas Dec25'!$I$4:$AH$4,'D3 Forecast Stratas Dec25'!$I$6:$AH$6,0)</f>
        <v>3.7541120592811588</v>
      </c>
      <c r="E313" s="77">
        <f t="shared" si="11"/>
        <v>2048</v>
      </c>
    </row>
    <row r="314" spans="2:5" x14ac:dyDescent="0.5">
      <c r="B314" s="79">
        <f t="shared" si="12"/>
        <v>54331</v>
      </c>
      <c r="C314" s="75" t="s">
        <v>15</v>
      </c>
      <c r="D314" s="81">
        <f>_xlfn.XLOOKUP(E314,'D3 Forecast Stratas Dec25'!$I$4:$AH$4,'D3 Forecast Stratas Dec25'!$I$6:$AH$6,0)</f>
        <v>3.7541120592811588</v>
      </c>
      <c r="E314" s="77">
        <f t="shared" si="11"/>
        <v>2048</v>
      </c>
    </row>
    <row r="315" spans="2:5" x14ac:dyDescent="0.5">
      <c r="B315" s="79">
        <f t="shared" si="12"/>
        <v>54362</v>
      </c>
      <c r="C315" s="75" t="s">
        <v>15</v>
      </c>
      <c r="D315" s="81">
        <f>_xlfn.XLOOKUP(E315,'D3 Forecast Stratas Dec25'!$I$4:$AH$4,'D3 Forecast Stratas Dec25'!$I$6:$AH$6,0)</f>
        <v>3.7541120592811588</v>
      </c>
      <c r="E315" s="77">
        <f t="shared" si="11"/>
        <v>2048</v>
      </c>
    </row>
    <row r="316" spans="2:5" x14ac:dyDescent="0.5">
      <c r="B316" s="79">
        <f t="shared" si="12"/>
        <v>54392</v>
      </c>
      <c r="C316" s="75" t="s">
        <v>15</v>
      </c>
      <c r="D316" s="81">
        <f>_xlfn.XLOOKUP(E316,'D3 Forecast Stratas Dec25'!$I$4:$AH$4,'D3 Forecast Stratas Dec25'!$I$6:$AH$6,0)</f>
        <v>3.7541120592811588</v>
      </c>
      <c r="E316" s="77">
        <f t="shared" si="11"/>
        <v>2048</v>
      </c>
    </row>
    <row r="317" spans="2:5" x14ac:dyDescent="0.5">
      <c r="B317" s="79">
        <f t="shared" si="12"/>
        <v>54423</v>
      </c>
      <c r="C317" s="75" t="s">
        <v>15</v>
      </c>
      <c r="D317" s="81">
        <f>_xlfn.XLOOKUP(E317,'D3 Forecast Stratas Dec25'!$I$4:$AH$4,'D3 Forecast Stratas Dec25'!$I$6:$AH$6,0)</f>
        <v>3.7541120592811588</v>
      </c>
      <c r="E317" s="77">
        <f t="shared" si="11"/>
        <v>2048</v>
      </c>
    </row>
    <row r="318" spans="2:5" x14ac:dyDescent="0.5">
      <c r="B318" s="79">
        <f t="shared" si="12"/>
        <v>54454</v>
      </c>
      <c r="C318" s="75" t="s">
        <v>15</v>
      </c>
      <c r="D318" s="81">
        <f>_xlfn.XLOOKUP(E318,'D3 Forecast Stratas Dec25'!$I$4:$AH$4,'D3 Forecast Stratas Dec25'!$I$6:$AH$6,0)</f>
        <v>3.8320327988186427</v>
      </c>
      <c r="E318" s="77">
        <f t="shared" si="11"/>
        <v>2049</v>
      </c>
    </row>
    <row r="319" spans="2:5" x14ac:dyDescent="0.5">
      <c r="B319" s="79">
        <f t="shared" si="12"/>
        <v>54482</v>
      </c>
      <c r="C319" s="75" t="s">
        <v>15</v>
      </c>
      <c r="D319" s="81">
        <f>_xlfn.XLOOKUP(E319,'D3 Forecast Stratas Dec25'!$I$4:$AH$4,'D3 Forecast Stratas Dec25'!$I$6:$AH$6,0)</f>
        <v>3.8320327988186427</v>
      </c>
      <c r="E319" s="77">
        <f t="shared" si="11"/>
        <v>2049</v>
      </c>
    </row>
    <row r="320" spans="2:5" x14ac:dyDescent="0.5">
      <c r="B320" s="79">
        <f t="shared" si="12"/>
        <v>54513</v>
      </c>
      <c r="C320" s="75" t="s">
        <v>15</v>
      </c>
      <c r="D320" s="81">
        <f>_xlfn.XLOOKUP(E320,'D3 Forecast Stratas Dec25'!$I$4:$AH$4,'D3 Forecast Stratas Dec25'!$I$6:$AH$6,0)</f>
        <v>3.8320327988186427</v>
      </c>
      <c r="E320" s="77">
        <f t="shared" si="11"/>
        <v>2049</v>
      </c>
    </row>
    <row r="321" spans="2:5" x14ac:dyDescent="0.5">
      <c r="B321" s="79">
        <f t="shared" si="12"/>
        <v>54543</v>
      </c>
      <c r="C321" s="75" t="s">
        <v>15</v>
      </c>
      <c r="D321" s="81">
        <f>_xlfn.XLOOKUP(E321,'D3 Forecast Stratas Dec25'!$I$4:$AH$4,'D3 Forecast Stratas Dec25'!$I$6:$AH$6,0)</f>
        <v>3.8320327988186427</v>
      </c>
      <c r="E321" s="77">
        <f t="shared" si="11"/>
        <v>2049</v>
      </c>
    </row>
    <row r="322" spans="2:5" x14ac:dyDescent="0.5">
      <c r="B322" s="79">
        <f t="shared" si="12"/>
        <v>54574</v>
      </c>
      <c r="C322" s="75" t="s">
        <v>15</v>
      </c>
      <c r="D322" s="81">
        <f>_xlfn.XLOOKUP(E322,'D3 Forecast Stratas Dec25'!$I$4:$AH$4,'D3 Forecast Stratas Dec25'!$I$6:$AH$6,0)</f>
        <v>3.8320327988186427</v>
      </c>
      <c r="E322" s="77">
        <f t="shared" si="11"/>
        <v>2049</v>
      </c>
    </row>
    <row r="323" spans="2:5" x14ac:dyDescent="0.5">
      <c r="B323" s="79">
        <f t="shared" si="12"/>
        <v>54604</v>
      </c>
      <c r="C323" s="75" t="s">
        <v>15</v>
      </c>
      <c r="D323" s="81">
        <f>_xlfn.XLOOKUP(E323,'D3 Forecast Stratas Dec25'!$I$4:$AH$4,'D3 Forecast Stratas Dec25'!$I$6:$AH$6,0)</f>
        <v>3.8320327988186427</v>
      </c>
      <c r="E323" s="77">
        <f t="shared" si="11"/>
        <v>2049</v>
      </c>
    </row>
    <row r="324" spans="2:5" x14ac:dyDescent="0.5">
      <c r="B324" s="79">
        <f t="shared" si="12"/>
        <v>54635</v>
      </c>
      <c r="C324" s="75" t="s">
        <v>15</v>
      </c>
      <c r="D324" s="81">
        <f>_xlfn.XLOOKUP(E324,'D3 Forecast Stratas Dec25'!$I$4:$AH$4,'D3 Forecast Stratas Dec25'!$I$6:$AH$6,0)</f>
        <v>3.8320327988186427</v>
      </c>
      <c r="E324" s="77">
        <f t="shared" si="11"/>
        <v>2049</v>
      </c>
    </row>
    <row r="325" spans="2:5" x14ac:dyDescent="0.5">
      <c r="B325" s="79">
        <f t="shared" si="12"/>
        <v>54666</v>
      </c>
      <c r="C325" s="75" t="s">
        <v>15</v>
      </c>
      <c r="D325" s="81">
        <f>_xlfn.XLOOKUP(E325,'D3 Forecast Stratas Dec25'!$I$4:$AH$4,'D3 Forecast Stratas Dec25'!$I$6:$AH$6,0)</f>
        <v>3.8320327988186427</v>
      </c>
      <c r="E325" s="77">
        <f t="shared" si="11"/>
        <v>2049</v>
      </c>
    </row>
    <row r="326" spans="2:5" x14ac:dyDescent="0.5">
      <c r="B326" s="79">
        <f t="shared" si="12"/>
        <v>54696</v>
      </c>
      <c r="C326" s="75" t="s">
        <v>15</v>
      </c>
      <c r="D326" s="81">
        <f>_xlfn.XLOOKUP(E326,'D3 Forecast Stratas Dec25'!$I$4:$AH$4,'D3 Forecast Stratas Dec25'!$I$6:$AH$6,0)</f>
        <v>3.8320327988186427</v>
      </c>
      <c r="E326" s="77">
        <f t="shared" si="11"/>
        <v>2049</v>
      </c>
    </row>
    <row r="327" spans="2:5" x14ac:dyDescent="0.5">
      <c r="B327" s="79">
        <f t="shared" si="12"/>
        <v>54727</v>
      </c>
      <c r="C327" s="75" t="s">
        <v>15</v>
      </c>
      <c r="D327" s="81">
        <f>_xlfn.XLOOKUP(E327,'D3 Forecast Stratas Dec25'!$I$4:$AH$4,'D3 Forecast Stratas Dec25'!$I$6:$AH$6,0)</f>
        <v>3.8320327988186427</v>
      </c>
      <c r="E327" s="77">
        <f t="shared" si="11"/>
        <v>2049</v>
      </c>
    </row>
    <row r="328" spans="2:5" x14ac:dyDescent="0.5">
      <c r="B328" s="79">
        <f t="shared" si="12"/>
        <v>54757</v>
      </c>
      <c r="C328" s="75" t="s">
        <v>15</v>
      </c>
      <c r="D328" s="81">
        <f>_xlfn.XLOOKUP(E328,'D3 Forecast Stratas Dec25'!$I$4:$AH$4,'D3 Forecast Stratas Dec25'!$I$6:$AH$6,0)</f>
        <v>3.8320327988186427</v>
      </c>
      <c r="E328" s="77">
        <f t="shared" si="11"/>
        <v>2049</v>
      </c>
    </row>
    <row r="329" spans="2:5" x14ac:dyDescent="0.5">
      <c r="B329" s="79">
        <f t="shared" si="12"/>
        <v>54788</v>
      </c>
      <c r="C329" s="75" t="s">
        <v>15</v>
      </c>
      <c r="D329" s="81">
        <f>_xlfn.XLOOKUP(E329,'D3 Forecast Stratas Dec25'!$I$4:$AH$4,'D3 Forecast Stratas Dec25'!$I$6:$AH$6,0)</f>
        <v>3.8320327988186427</v>
      </c>
      <c r="E329" s="77">
        <f t="shared" si="11"/>
        <v>2049</v>
      </c>
    </row>
    <row r="330" spans="2:5" x14ac:dyDescent="0.5">
      <c r="B330" s="79">
        <f t="shared" si="12"/>
        <v>54819</v>
      </c>
      <c r="C330" s="75" t="s">
        <v>15</v>
      </c>
      <c r="D330" s="81">
        <f>_xlfn.XLOOKUP(E330,'D3 Forecast Stratas Dec25'!$I$4:$AH$4,'D3 Forecast Stratas Dec25'!$I$6:$AH$6,0)</f>
        <v>3.9115708693132718</v>
      </c>
      <c r="E330" s="77">
        <f t="shared" si="11"/>
        <v>2050</v>
      </c>
    </row>
    <row r="331" spans="2:5" x14ac:dyDescent="0.5">
      <c r="B331" s="79">
        <f t="shared" si="12"/>
        <v>54847</v>
      </c>
      <c r="C331" s="75" t="s">
        <v>15</v>
      </c>
      <c r="D331" s="81">
        <f>_xlfn.XLOOKUP(E331,'D3 Forecast Stratas Dec25'!$I$4:$AH$4,'D3 Forecast Stratas Dec25'!$I$6:$AH$6,0)</f>
        <v>3.9115708693132718</v>
      </c>
      <c r="E331" s="77">
        <f t="shared" si="11"/>
        <v>2050</v>
      </c>
    </row>
    <row r="332" spans="2:5" x14ac:dyDescent="0.5">
      <c r="B332" s="79">
        <f t="shared" si="12"/>
        <v>54878</v>
      </c>
      <c r="C332" s="75" t="s">
        <v>15</v>
      </c>
      <c r="D332" s="81">
        <f>_xlfn.XLOOKUP(E332,'D3 Forecast Stratas Dec25'!$I$4:$AH$4,'D3 Forecast Stratas Dec25'!$I$6:$AH$6,0)</f>
        <v>3.9115708693132718</v>
      </c>
      <c r="E332" s="77">
        <f t="shared" si="11"/>
        <v>2050</v>
      </c>
    </row>
    <row r="333" spans="2:5" x14ac:dyDescent="0.5">
      <c r="B333" s="79">
        <f t="shared" si="12"/>
        <v>54908</v>
      </c>
      <c r="C333" s="75" t="s">
        <v>15</v>
      </c>
      <c r="D333" s="81">
        <f>_xlfn.XLOOKUP(E333,'D3 Forecast Stratas Dec25'!$I$4:$AH$4,'D3 Forecast Stratas Dec25'!$I$6:$AH$6,0)</f>
        <v>3.9115708693132718</v>
      </c>
      <c r="E333" s="77">
        <f t="shared" si="11"/>
        <v>2050</v>
      </c>
    </row>
    <row r="334" spans="2:5" x14ac:dyDescent="0.5">
      <c r="B334" s="79">
        <f t="shared" si="12"/>
        <v>54939</v>
      </c>
      <c r="C334" s="75" t="s">
        <v>15</v>
      </c>
      <c r="D334" s="81">
        <f>_xlfn.XLOOKUP(E334,'D3 Forecast Stratas Dec25'!$I$4:$AH$4,'D3 Forecast Stratas Dec25'!$I$6:$AH$6,0)</f>
        <v>3.9115708693132718</v>
      </c>
      <c r="E334" s="77">
        <f t="shared" si="11"/>
        <v>2050</v>
      </c>
    </row>
    <row r="335" spans="2:5" x14ac:dyDescent="0.5">
      <c r="B335" s="79">
        <f t="shared" si="12"/>
        <v>54969</v>
      </c>
      <c r="C335" s="75" t="s">
        <v>15</v>
      </c>
      <c r="D335" s="81">
        <f>_xlfn.XLOOKUP(E335,'D3 Forecast Stratas Dec25'!$I$4:$AH$4,'D3 Forecast Stratas Dec25'!$I$6:$AH$6,0)</f>
        <v>3.9115708693132718</v>
      </c>
      <c r="E335" s="77">
        <f t="shared" si="11"/>
        <v>2050</v>
      </c>
    </row>
    <row r="336" spans="2:5" x14ac:dyDescent="0.5">
      <c r="B336" s="79">
        <f t="shared" si="12"/>
        <v>55000</v>
      </c>
      <c r="C336" s="75" t="s">
        <v>15</v>
      </c>
      <c r="D336" s="81">
        <f>_xlfn.XLOOKUP(E336,'D3 Forecast Stratas Dec25'!$I$4:$AH$4,'D3 Forecast Stratas Dec25'!$I$6:$AH$6,0)</f>
        <v>3.9115708693132718</v>
      </c>
      <c r="E336" s="77">
        <f t="shared" si="11"/>
        <v>2050</v>
      </c>
    </row>
    <row r="337" spans="2:5" x14ac:dyDescent="0.5">
      <c r="B337" s="79">
        <f t="shared" si="12"/>
        <v>55031</v>
      </c>
      <c r="C337" s="75" t="s">
        <v>15</v>
      </c>
      <c r="D337" s="81">
        <f>_xlfn.XLOOKUP(E337,'D3 Forecast Stratas Dec25'!$I$4:$AH$4,'D3 Forecast Stratas Dec25'!$I$6:$AH$6,0)</f>
        <v>3.9115708693132718</v>
      </c>
      <c r="E337" s="77">
        <f t="shared" si="11"/>
        <v>2050</v>
      </c>
    </row>
    <row r="338" spans="2:5" x14ac:dyDescent="0.5">
      <c r="B338" s="79">
        <f t="shared" si="12"/>
        <v>55061</v>
      </c>
      <c r="C338" s="75" t="s">
        <v>15</v>
      </c>
      <c r="D338" s="81">
        <f>_xlfn.XLOOKUP(E338,'D3 Forecast Stratas Dec25'!$I$4:$AH$4,'D3 Forecast Stratas Dec25'!$I$6:$AH$6,0)</f>
        <v>3.9115708693132718</v>
      </c>
      <c r="E338" s="77">
        <f t="shared" ref="E338:E341" si="13">YEAR(B338)</f>
        <v>2050</v>
      </c>
    </row>
    <row r="339" spans="2:5" x14ac:dyDescent="0.5">
      <c r="B339" s="79">
        <f t="shared" si="12"/>
        <v>55092</v>
      </c>
      <c r="C339" s="75" t="s">
        <v>15</v>
      </c>
      <c r="D339" s="81">
        <f>_xlfn.XLOOKUP(E339,'D3 Forecast Stratas Dec25'!$I$4:$AH$4,'D3 Forecast Stratas Dec25'!$I$6:$AH$6,0)</f>
        <v>3.9115708693132718</v>
      </c>
      <c r="E339" s="77">
        <f t="shared" si="13"/>
        <v>2050</v>
      </c>
    </row>
    <row r="340" spans="2:5" x14ac:dyDescent="0.5">
      <c r="B340" s="79">
        <f t="shared" ref="B340:B341" si="14">EOMONTH(B339,1)</f>
        <v>55122</v>
      </c>
      <c r="C340" s="75" t="s">
        <v>15</v>
      </c>
      <c r="D340" s="81">
        <f>_xlfn.XLOOKUP(E340,'D3 Forecast Stratas Dec25'!$I$4:$AH$4,'D3 Forecast Stratas Dec25'!$I$6:$AH$6,0)</f>
        <v>3.9115708693132718</v>
      </c>
      <c r="E340" s="77">
        <f t="shared" si="13"/>
        <v>2050</v>
      </c>
    </row>
    <row r="341" spans="2:5" x14ac:dyDescent="0.5">
      <c r="B341" s="79">
        <f t="shared" si="14"/>
        <v>55153</v>
      </c>
      <c r="C341" s="75" t="s">
        <v>15</v>
      </c>
      <c r="D341" s="81">
        <f>_xlfn.XLOOKUP(E341,'D3 Forecast Stratas Dec25'!$I$4:$AH$4,'D3 Forecast Stratas Dec25'!$I$6:$AH$6,0)</f>
        <v>3.9115708693132718</v>
      </c>
      <c r="E341" s="77">
        <f t="shared" si="13"/>
        <v>2050</v>
      </c>
    </row>
    <row r="342" spans="2:5" x14ac:dyDescent="0.5">
      <c r="D342" s="396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5C57-6479-4A88-A822-A5D71AB563F0}">
  <dimension ref="A3:B17"/>
  <sheetViews>
    <sheetView workbookViewId="0">
      <selection activeCell="T52" sqref="T52"/>
    </sheetView>
  </sheetViews>
  <sheetFormatPr defaultRowHeight="14.35" x14ac:dyDescent="0.5"/>
  <cols>
    <col min="1" max="1" width="13.1171875" bestFit="1" customWidth="1"/>
    <col min="2" max="2" width="19.29296875" bestFit="1" customWidth="1"/>
  </cols>
  <sheetData>
    <row r="3" spans="1:2" x14ac:dyDescent="0.5">
      <c r="A3" s="358" t="s">
        <v>238</v>
      </c>
      <c r="B3" t="s">
        <v>239</v>
      </c>
    </row>
    <row r="4" spans="1:2" x14ac:dyDescent="0.5">
      <c r="A4" s="359">
        <v>2013</v>
      </c>
      <c r="B4" s="357">
        <v>0.73499999999999999</v>
      </c>
    </row>
    <row r="5" spans="1:2" x14ac:dyDescent="0.5">
      <c r="A5" s="359">
        <v>2014</v>
      </c>
      <c r="B5" s="357">
        <v>0.94537037037037053</v>
      </c>
    </row>
    <row r="6" spans="1:2" x14ac:dyDescent="0.5">
      <c r="A6" s="359">
        <v>2015</v>
      </c>
      <c r="B6" s="357">
        <v>1.1598290598290604</v>
      </c>
    </row>
    <row r="7" spans="1:2" x14ac:dyDescent="0.5">
      <c r="A7" s="359">
        <v>2016</v>
      </c>
      <c r="B7" s="357">
        <v>2.0779230769230783</v>
      </c>
    </row>
    <row r="8" spans="1:2" x14ac:dyDescent="0.5">
      <c r="A8" s="359">
        <v>2017</v>
      </c>
      <c r="B8" s="357">
        <v>2.4494690265486727</v>
      </c>
    </row>
    <row r="9" spans="1:2" x14ac:dyDescent="0.5">
      <c r="A9" s="359">
        <v>2018</v>
      </c>
      <c r="B9" s="357">
        <v>1.8759259259259262</v>
      </c>
    </row>
    <row r="10" spans="1:2" x14ac:dyDescent="0.5">
      <c r="A10" s="359">
        <v>2019</v>
      </c>
      <c r="B10" s="357">
        <v>1.4938524590163935</v>
      </c>
    </row>
    <row r="11" spans="1:2" x14ac:dyDescent="0.5">
      <c r="A11" s="359">
        <v>2020</v>
      </c>
      <c r="B11" s="357">
        <v>2.1900714285714296</v>
      </c>
    </row>
    <row r="12" spans="1:2" x14ac:dyDescent="0.5">
      <c r="A12" s="359">
        <v>2021</v>
      </c>
      <c r="B12" s="357">
        <v>2.780357142857143</v>
      </c>
    </row>
    <row r="13" spans="1:2" x14ac:dyDescent="0.5">
      <c r="A13" s="359">
        <v>2022</v>
      </c>
      <c r="B13" s="357">
        <v>2.7842567567567564</v>
      </c>
    </row>
    <row r="14" spans="1:2" x14ac:dyDescent="0.5">
      <c r="A14" s="359">
        <v>2023</v>
      </c>
      <c r="B14" s="357">
        <v>2.7536206896551727</v>
      </c>
    </row>
    <row r="15" spans="1:2" x14ac:dyDescent="0.5">
      <c r="A15" s="359">
        <v>2024</v>
      </c>
      <c r="B15" s="357">
        <v>2.8623015873015891</v>
      </c>
    </row>
    <row r="16" spans="1:2" x14ac:dyDescent="0.5">
      <c r="A16" s="359">
        <v>2025</v>
      </c>
      <c r="B16" s="357">
        <v>2.4357407407407408</v>
      </c>
    </row>
    <row r="17" spans="1:2" x14ac:dyDescent="0.5">
      <c r="A17" s="359" t="s">
        <v>240</v>
      </c>
      <c r="B17" s="357">
        <v>2.2164650145772593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5666-D14B-45C2-A42F-F1B8179A57D2}">
  <dimension ref="A1:AI10"/>
  <sheetViews>
    <sheetView topLeftCell="H1" workbookViewId="0">
      <selection activeCell="K6" sqref="K6"/>
    </sheetView>
  </sheetViews>
  <sheetFormatPr defaultRowHeight="14.35" x14ac:dyDescent="0.5"/>
  <cols>
    <col min="1" max="1" width="20.703125" bestFit="1" customWidth="1"/>
  </cols>
  <sheetData>
    <row r="1" spans="1:35" x14ac:dyDescent="0.5">
      <c r="I1" s="393">
        <f>AVERAGE(I6:S6)</f>
        <v>2.7416403141529582</v>
      </c>
    </row>
    <row r="2" spans="1:35" x14ac:dyDescent="0.5">
      <c r="I2">
        <v>2.62</v>
      </c>
    </row>
    <row r="4" spans="1:35" x14ac:dyDescent="0.5">
      <c r="I4">
        <f>YEAR(I5)</f>
        <v>2025</v>
      </c>
      <c r="J4">
        <f t="shared" ref="J4:S4" si="0">YEAR(J5)</f>
        <v>2026</v>
      </c>
      <c r="K4">
        <f t="shared" si="0"/>
        <v>2027</v>
      </c>
      <c r="L4">
        <f t="shared" si="0"/>
        <v>2028</v>
      </c>
      <c r="M4">
        <f t="shared" si="0"/>
        <v>2029</v>
      </c>
      <c r="N4">
        <f t="shared" si="0"/>
        <v>2030</v>
      </c>
      <c r="O4">
        <f t="shared" si="0"/>
        <v>2031</v>
      </c>
      <c r="P4">
        <f t="shared" si="0"/>
        <v>2032</v>
      </c>
      <c r="Q4">
        <f t="shared" si="0"/>
        <v>2033</v>
      </c>
      <c r="R4">
        <f t="shared" si="0"/>
        <v>2034</v>
      </c>
      <c r="S4">
        <f t="shared" si="0"/>
        <v>2035</v>
      </c>
      <c r="T4">
        <f>+S4+1</f>
        <v>2036</v>
      </c>
      <c r="U4">
        <f t="shared" ref="U4:AH4" si="1">+T4+1</f>
        <v>2037</v>
      </c>
      <c r="V4">
        <f t="shared" si="1"/>
        <v>2038</v>
      </c>
      <c r="W4">
        <f t="shared" si="1"/>
        <v>2039</v>
      </c>
      <c r="X4">
        <f t="shared" si="1"/>
        <v>2040</v>
      </c>
      <c r="Y4">
        <f t="shared" si="1"/>
        <v>2041</v>
      </c>
      <c r="Z4">
        <f t="shared" si="1"/>
        <v>2042</v>
      </c>
      <c r="AA4">
        <f t="shared" si="1"/>
        <v>2043</v>
      </c>
      <c r="AB4">
        <f t="shared" si="1"/>
        <v>2044</v>
      </c>
      <c r="AC4">
        <f t="shared" si="1"/>
        <v>2045</v>
      </c>
      <c r="AD4">
        <f t="shared" si="1"/>
        <v>2046</v>
      </c>
      <c r="AE4">
        <f t="shared" si="1"/>
        <v>2047</v>
      </c>
      <c r="AF4">
        <f t="shared" si="1"/>
        <v>2048</v>
      </c>
      <c r="AG4">
        <f t="shared" si="1"/>
        <v>2049</v>
      </c>
      <c r="AH4">
        <f t="shared" si="1"/>
        <v>2050</v>
      </c>
    </row>
    <row r="5" spans="1:35" x14ac:dyDescent="0.5">
      <c r="A5" t="s">
        <v>241</v>
      </c>
      <c r="B5" s="392">
        <v>43101</v>
      </c>
      <c r="C5" s="392">
        <v>43466</v>
      </c>
      <c r="D5" s="392">
        <v>43831</v>
      </c>
      <c r="E5" s="392">
        <v>44197</v>
      </c>
      <c r="F5" s="392">
        <v>44562</v>
      </c>
      <c r="G5" s="392">
        <v>44927</v>
      </c>
      <c r="H5" s="392">
        <v>45292</v>
      </c>
      <c r="I5" s="392">
        <v>45658</v>
      </c>
      <c r="J5" s="392">
        <v>46023</v>
      </c>
      <c r="K5" s="392">
        <v>46388</v>
      </c>
      <c r="L5" s="392">
        <v>46753</v>
      </c>
      <c r="M5" s="392">
        <v>47119</v>
      </c>
      <c r="N5" s="392">
        <v>47484</v>
      </c>
      <c r="O5" s="392">
        <v>47849</v>
      </c>
      <c r="P5" s="392">
        <v>48214</v>
      </c>
      <c r="Q5" s="392">
        <v>48580</v>
      </c>
      <c r="R5" s="392">
        <v>48945</v>
      </c>
      <c r="S5" s="392">
        <v>49310</v>
      </c>
    </row>
    <row r="6" spans="1:35" x14ac:dyDescent="0.5">
      <c r="B6" s="393">
        <v>2.3372915404040411</v>
      </c>
      <c r="C6" s="393">
        <v>1.2864744352869351</v>
      </c>
      <c r="D6" s="393">
        <v>1.3293614620673451</v>
      </c>
      <c r="E6" s="393">
        <v>2.694656314674674</v>
      </c>
      <c r="F6" s="393">
        <v>3.0613160369254548</v>
      </c>
      <c r="G6" s="393">
        <v>2.5342777777777781</v>
      </c>
      <c r="H6" s="393">
        <v>3.1019846945707412</v>
      </c>
      <c r="I6" s="395">
        <v>2.3404618400390458</v>
      </c>
      <c r="J6" s="395">
        <v>2.4896872943770032</v>
      </c>
      <c r="K6" s="395">
        <v>2.6040894002779571</v>
      </c>
      <c r="L6" s="395">
        <v>2.6619581040516369</v>
      </c>
      <c r="M6" s="395">
        <v>2.7118203928073998</v>
      </c>
      <c r="N6" s="395">
        <v>2.7914812580932682</v>
      </c>
      <c r="O6" s="395">
        <v>2.9160810589464079</v>
      </c>
      <c r="P6" s="395">
        <v>2.9781765172612138</v>
      </c>
      <c r="Q6" s="395">
        <v>2.9101358522712708</v>
      </c>
      <c r="R6" s="395">
        <v>2.879922386448337</v>
      </c>
      <c r="S6" s="395">
        <v>2.8742293511089958</v>
      </c>
      <c r="T6" s="357">
        <f>+S6*(1+$B$10)</f>
        <v>2.9338871538336271</v>
      </c>
      <c r="U6" s="357">
        <f t="shared" ref="U6:AH6" si="2">+T6*(1+$B$10)</f>
        <v>2.994783220103427</v>
      </c>
      <c r="V6" s="357">
        <f t="shared" si="2"/>
        <v>3.0569432514450567</v>
      </c>
      <c r="W6" s="357">
        <f t="shared" si="2"/>
        <v>3.1203934828487325</v>
      </c>
      <c r="X6" s="357">
        <f t="shared" si="2"/>
        <v>3.1851606938408508</v>
      </c>
      <c r="Y6" s="357">
        <f t="shared" si="2"/>
        <v>3.2512722197864368</v>
      </c>
      <c r="Z6" s="357">
        <f t="shared" si="2"/>
        <v>3.3187559634261898</v>
      </c>
      <c r="AA6" s="357">
        <f t="shared" si="2"/>
        <v>3.387640406652991</v>
      </c>
      <c r="AB6" s="357">
        <f t="shared" si="2"/>
        <v>3.4579546225328461</v>
      </c>
      <c r="AC6" s="357">
        <f t="shared" si="2"/>
        <v>3.5297282875753364</v>
      </c>
      <c r="AD6" s="357">
        <f t="shared" si="2"/>
        <v>3.6029916942587565</v>
      </c>
      <c r="AE6" s="357">
        <f t="shared" si="2"/>
        <v>3.6777757638152235</v>
      </c>
      <c r="AF6" s="357">
        <f t="shared" si="2"/>
        <v>3.7541120592811588</v>
      </c>
      <c r="AG6" s="357">
        <f t="shared" si="2"/>
        <v>3.8320327988186427</v>
      </c>
      <c r="AH6" s="357">
        <f t="shared" si="2"/>
        <v>3.9115708693132718</v>
      </c>
      <c r="AI6" s="357"/>
    </row>
    <row r="7" spans="1:35" x14ac:dyDescent="0.5">
      <c r="A7" t="s">
        <v>242</v>
      </c>
      <c r="B7" s="393">
        <v>2.3372915404040411</v>
      </c>
      <c r="C7" s="393">
        <v>1.2864744352869351</v>
      </c>
      <c r="D7" s="393">
        <v>1.3293614620673451</v>
      </c>
      <c r="E7" s="393">
        <v>2.694656314674674</v>
      </c>
      <c r="F7" s="393">
        <v>3.0613160369254548</v>
      </c>
      <c r="G7" s="393">
        <v>2.5342777777777781</v>
      </c>
      <c r="H7" s="393">
        <v>3.1019846945707412</v>
      </c>
      <c r="I7" s="393">
        <v>2.3404618400390458</v>
      </c>
      <c r="J7" s="393">
        <v>2.8536238137256191</v>
      </c>
      <c r="K7" s="393">
        <v>3.2024788618465529</v>
      </c>
      <c r="L7" s="393">
        <v>3.4086327816587758</v>
      </c>
      <c r="M7" s="393">
        <v>3.5523552991438789</v>
      </c>
      <c r="N7" s="393">
        <v>3.674441076597657</v>
      </c>
      <c r="O7" s="393">
        <v>3.7043814389755272</v>
      </c>
      <c r="P7" s="393">
        <v>3.72367840595785</v>
      </c>
      <c r="Q7" s="393">
        <v>3.710319702337078</v>
      </c>
      <c r="R7" s="393">
        <v>3.686555208698385</v>
      </c>
      <c r="S7" s="393">
        <v>3.667050856458459</v>
      </c>
    </row>
    <row r="8" spans="1:35" x14ac:dyDescent="0.5">
      <c r="A8" t="s">
        <v>243</v>
      </c>
      <c r="B8" s="393">
        <v>2.3372915404040411</v>
      </c>
      <c r="C8" s="393">
        <v>1.2864744352869351</v>
      </c>
      <c r="D8" s="393">
        <v>1.3293614620673451</v>
      </c>
      <c r="E8" s="393">
        <v>2.694656314674674</v>
      </c>
      <c r="F8" s="393">
        <v>3.0613160369254548</v>
      </c>
      <c r="G8" s="393">
        <v>2.5342777777777781</v>
      </c>
      <c r="H8" s="393">
        <v>3.1019846945707412</v>
      </c>
      <c r="I8" s="393">
        <v>2.3404618400390458</v>
      </c>
      <c r="J8" s="393">
        <v>1.883333333333334</v>
      </c>
      <c r="K8" s="393">
        <v>1.6514505533333339</v>
      </c>
      <c r="L8" s="393">
        <v>1.6793210934516081</v>
      </c>
      <c r="M8" s="393">
        <v>1.7045109098533819</v>
      </c>
      <c r="N8" s="393">
        <v>1.755646237148984</v>
      </c>
      <c r="O8" s="393">
        <v>1.802495363295608</v>
      </c>
      <c r="P8" s="393">
        <v>1.7598586678309169</v>
      </c>
      <c r="Q8" s="393">
        <v>1.6844132249229939</v>
      </c>
      <c r="R8" s="393">
        <v>1.6557108052208129</v>
      </c>
      <c r="S8" s="393">
        <v>1.621656248830404</v>
      </c>
    </row>
    <row r="10" spans="1:35" x14ac:dyDescent="0.5">
      <c r="A10" t="s">
        <v>244</v>
      </c>
      <c r="B10" s="394">
        <f>(S6/I6)^(1/10)-1</f>
        <v>2.0756103788868829E-2</v>
      </c>
      <c r="C10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6768-DE05-41E5-BBDD-715D53EE2FA3}">
  <sheetPr>
    <tabColor rgb="FFFFFF00"/>
    <pageSetUpPr fitToPage="1"/>
  </sheetPr>
  <dimension ref="A1:V82"/>
  <sheetViews>
    <sheetView showGridLines="0" zoomScale="85" zoomScaleNormal="85" workbookViewId="0">
      <selection activeCell="C23" sqref="C23"/>
    </sheetView>
  </sheetViews>
  <sheetFormatPr defaultColWidth="9" defaultRowHeight="14.35" x14ac:dyDescent="0.5"/>
  <cols>
    <col min="1" max="1" width="2" style="1" customWidth="1"/>
    <col min="2" max="2" width="3.703125" style="1" customWidth="1"/>
    <col min="3" max="3" width="41.29296875" style="1" bestFit="1" customWidth="1"/>
    <col min="4" max="8" width="11.41015625" style="1" customWidth="1"/>
    <col min="9" max="9" width="21.41015625" style="1" customWidth="1"/>
    <col min="10" max="10" width="7.5859375" style="1" customWidth="1"/>
    <col min="11" max="16384" width="9" style="1"/>
  </cols>
  <sheetData>
    <row r="1" spans="2:22" x14ac:dyDescent="0.5">
      <c r="C1" s="28">
        <f>+C2/20</f>
        <v>13.5</v>
      </c>
    </row>
    <row r="2" spans="2:22" x14ac:dyDescent="0.5">
      <c r="C2" s="17">
        <v>270</v>
      </c>
    </row>
    <row r="3" spans="2:22" x14ac:dyDescent="0.5">
      <c r="D3" s="17">
        <f>+D4-D5</f>
        <v>102943.76645012145</v>
      </c>
    </row>
    <row r="4" spans="2:22" x14ac:dyDescent="0.5">
      <c r="D4" s="17">
        <f>+'Bid Forms'!J23</f>
        <v>299564.80671951699</v>
      </c>
    </row>
    <row r="5" spans="2:22" x14ac:dyDescent="0.5">
      <c r="D5" s="17">
        <f>+D9*D7</f>
        <v>196621.04026939554</v>
      </c>
    </row>
    <row r="6" spans="2:22" x14ac:dyDescent="0.5">
      <c r="E6" s="10"/>
      <c r="F6" s="10"/>
      <c r="G6" s="10"/>
      <c r="H6" s="10"/>
    </row>
    <row r="7" spans="2:22" x14ac:dyDescent="0.5">
      <c r="B7" s="292">
        <v>0.06</v>
      </c>
      <c r="C7" s="1" t="s">
        <v>39</v>
      </c>
      <c r="D7" s="31">
        <v>6605.4959325249038</v>
      </c>
      <c r="E7" s="31">
        <v>7600</v>
      </c>
      <c r="F7" s="31">
        <v>8105</v>
      </c>
      <c r="G7" s="31">
        <v>8500</v>
      </c>
      <c r="H7" s="31">
        <v>9000</v>
      </c>
      <c r="J7" s="31"/>
      <c r="K7" s="31"/>
      <c r="L7" s="31"/>
      <c r="M7" s="31"/>
      <c r="N7" s="31"/>
      <c r="O7" s="31"/>
      <c r="P7" s="31"/>
    </row>
    <row r="8" spans="2:22" x14ac:dyDescent="0.5">
      <c r="B8" s="292">
        <v>7.0000000000000007E-2</v>
      </c>
      <c r="C8" s="1" t="s">
        <v>246</v>
      </c>
      <c r="D8" s="13">
        <v>2.5382689365384992</v>
      </c>
      <c r="E8" s="13">
        <v>3</v>
      </c>
      <c r="F8" s="13">
        <v>3</v>
      </c>
      <c r="G8" s="13">
        <v>3.25</v>
      </c>
      <c r="H8" s="13">
        <v>3.75</v>
      </c>
      <c r="J8" s="13"/>
      <c r="K8" s="13"/>
      <c r="L8" s="13"/>
      <c r="M8" s="13"/>
      <c r="N8" s="13"/>
      <c r="O8" s="13"/>
      <c r="P8" s="13"/>
    </row>
    <row r="9" spans="2:22" x14ac:dyDescent="0.5">
      <c r="C9" s="1" t="s">
        <v>247</v>
      </c>
      <c r="D9" s="13">
        <f>D8*11.727</f>
        <v>29.76627981878698</v>
      </c>
      <c r="E9" s="13">
        <f t="shared" ref="E9:H9" si="0">E8*11.727</f>
        <v>35.180999999999997</v>
      </c>
      <c r="F9" s="13">
        <f t="shared" si="0"/>
        <v>35.180999999999997</v>
      </c>
      <c r="G9" s="13">
        <f t="shared" si="0"/>
        <v>38.112749999999998</v>
      </c>
      <c r="H9" s="13">
        <f t="shared" si="0"/>
        <v>43.97625</v>
      </c>
      <c r="J9" s="13"/>
      <c r="K9" s="13"/>
      <c r="L9" s="13"/>
      <c r="M9" s="13"/>
      <c r="N9" s="13"/>
      <c r="O9" s="13"/>
      <c r="P9" s="13"/>
    </row>
    <row r="10" spans="2:22" x14ac:dyDescent="0.5">
      <c r="B10" s="10">
        <v>1.4999999999999999E-2</v>
      </c>
      <c r="C10" s="1" t="s">
        <v>153</v>
      </c>
      <c r="D10" s="13">
        <v>3.9328909535429259</v>
      </c>
      <c r="E10" s="13">
        <v>3.5</v>
      </c>
      <c r="F10" s="13">
        <f>E10*(1+$B10)</f>
        <v>3.5524999999999998</v>
      </c>
      <c r="G10" s="13">
        <v>3.65</v>
      </c>
      <c r="H10" s="13">
        <f>G10*(1+$B10)</f>
        <v>3.7047499999999998</v>
      </c>
      <c r="J10" s="13"/>
      <c r="K10" s="13"/>
      <c r="L10" s="13"/>
      <c r="M10" s="13"/>
      <c r="N10" s="13"/>
      <c r="O10" s="13"/>
      <c r="P10" s="13"/>
    </row>
    <row r="11" spans="2:22" x14ac:dyDescent="0.5">
      <c r="C11" s="1" t="s">
        <v>248</v>
      </c>
      <c r="D11" s="13">
        <f>-0.2*D9</f>
        <v>-5.9532559637573961</v>
      </c>
      <c r="E11" s="13">
        <f t="shared" ref="E11:H11" si="1">-0.2*E9</f>
        <v>-7.0362</v>
      </c>
      <c r="F11" s="13">
        <f t="shared" si="1"/>
        <v>-7.0362</v>
      </c>
      <c r="G11" s="13">
        <f t="shared" si="1"/>
        <v>-7.6225500000000004</v>
      </c>
      <c r="H11" s="13">
        <f t="shared" si="1"/>
        <v>-8.7952500000000011</v>
      </c>
      <c r="J11" s="13"/>
      <c r="K11" s="13"/>
      <c r="L11" s="13"/>
      <c r="M11" s="13"/>
      <c r="N11" s="13"/>
      <c r="O11" s="13"/>
      <c r="P11" s="13"/>
    </row>
    <row r="12" spans="2:22" x14ac:dyDescent="0.5">
      <c r="C12" s="1" t="s">
        <v>249</v>
      </c>
      <c r="D12" s="17">
        <f>D7*SUM(D9:D10)</f>
        <v>222599.73546608732</v>
      </c>
      <c r="E12" s="17">
        <f t="shared" ref="E12:H12" si="2">E7*SUM(E9:E10)</f>
        <v>293975.59999999998</v>
      </c>
      <c r="F12" s="17">
        <f t="shared" si="2"/>
        <v>313935.01750000002</v>
      </c>
      <c r="G12" s="17">
        <f t="shared" si="2"/>
        <v>354983.375</v>
      </c>
      <c r="H12" s="17">
        <f t="shared" si="2"/>
        <v>429129</v>
      </c>
    </row>
    <row r="13" spans="2:22" x14ac:dyDescent="0.5">
      <c r="C13" s="9" t="s">
        <v>17</v>
      </c>
      <c r="D13" s="17">
        <f>+D11*D7</f>
        <v>-39324.208053879105</v>
      </c>
      <c r="E13" s="17">
        <f t="shared" ref="E13:H13" si="3">+E11*E7</f>
        <v>-53475.12</v>
      </c>
      <c r="F13" s="17">
        <f t="shared" si="3"/>
        <v>-57028.400999999998</v>
      </c>
      <c r="G13" s="17">
        <f t="shared" si="3"/>
        <v>-64791.675000000003</v>
      </c>
      <c r="H13" s="17">
        <f t="shared" si="3"/>
        <v>-79157.250000000015</v>
      </c>
    </row>
    <row r="14" spans="2:22" ht="18.350000000000001" x14ac:dyDescent="0.5">
      <c r="B14" s="295"/>
      <c r="C14" s="295"/>
      <c r="D14" s="295"/>
      <c r="J14" s="330" t="s">
        <v>250</v>
      </c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</row>
    <row r="15" spans="2:22" x14ac:dyDescent="0.5">
      <c r="B15" s="295"/>
      <c r="C15" s="293"/>
      <c r="D15" s="293"/>
      <c r="E15" s="293"/>
      <c r="F15" s="293"/>
      <c r="G15" s="293"/>
      <c r="H15" s="293"/>
      <c r="K15" s="147" t="s">
        <v>251</v>
      </c>
      <c r="L15" s="147"/>
      <c r="M15" s="147"/>
      <c r="N15" s="147"/>
      <c r="O15" s="147"/>
      <c r="P15" s="147"/>
      <c r="Q15" s="147"/>
      <c r="R15" s="147"/>
      <c r="S15" s="147"/>
      <c r="T15" s="147"/>
      <c r="U15" s="147"/>
    </row>
    <row r="16" spans="2:22" x14ac:dyDescent="0.5">
      <c r="B16" s="295"/>
      <c r="C16" s="295"/>
      <c r="D16" s="295"/>
      <c r="E16" s="295"/>
      <c r="F16" s="295"/>
      <c r="G16" s="295"/>
      <c r="H16" s="295"/>
      <c r="J16" s="324">
        <f>+D35</f>
        <v>66.170494188545774</v>
      </c>
      <c r="K16" s="345">
        <v>6000</v>
      </c>
      <c r="L16" s="345">
        <f>+K16+250</f>
        <v>6250</v>
      </c>
      <c r="M16" s="345">
        <v>6605.4998999999998</v>
      </c>
      <c r="N16" s="345">
        <f t="shared" ref="N16:V16" si="4">+M16+250</f>
        <v>6855.4998999999998</v>
      </c>
      <c r="O16" s="345">
        <f t="shared" si="4"/>
        <v>7105.4998999999998</v>
      </c>
      <c r="P16" s="345">
        <f t="shared" si="4"/>
        <v>7355.4998999999998</v>
      </c>
      <c r="Q16" s="345">
        <f t="shared" si="4"/>
        <v>7605.4998999999998</v>
      </c>
      <c r="R16" s="345">
        <f t="shared" si="4"/>
        <v>7855.4998999999998</v>
      </c>
      <c r="S16" s="345">
        <f t="shared" si="4"/>
        <v>8105.4998999999998</v>
      </c>
      <c r="T16" s="345">
        <f t="shared" si="4"/>
        <v>8355.4998999999989</v>
      </c>
      <c r="U16" s="345">
        <f t="shared" si="4"/>
        <v>8605.4998999999989</v>
      </c>
      <c r="V16" s="345">
        <f t="shared" si="4"/>
        <v>8855.4998999999989</v>
      </c>
    </row>
    <row r="17" spans="1:22" ht="15.7" x14ac:dyDescent="0.55000000000000004">
      <c r="B17" s="295"/>
      <c r="C17" s="319" t="s">
        <v>161</v>
      </c>
      <c r="D17" s="320">
        <f>+D7</f>
        <v>6605.4959325249038</v>
      </c>
      <c r="E17" s="321">
        <f t="shared" ref="E17:H17" si="5">+E7</f>
        <v>7600</v>
      </c>
      <c r="F17" s="320">
        <f t="shared" si="5"/>
        <v>8105</v>
      </c>
      <c r="G17" s="321">
        <f t="shared" si="5"/>
        <v>8500</v>
      </c>
      <c r="H17" s="320">
        <f t="shared" si="5"/>
        <v>9000</v>
      </c>
      <c r="J17" s="13">
        <v>1.7</v>
      </c>
      <c r="K17" s="325">
        <f t="dataTable" ref="K17:V28" dt2D="1" dtr="1" r1="D7" r2="D8"/>
        <v>21.380391004880284</v>
      </c>
      <c r="L17" s="151">
        <v>24.859672921750295</v>
      </c>
      <c r="M17" s="151">
        <v>29.80721041582666</v>
      </c>
      <c r="N17" s="151">
        <v>33.286492332696689</v>
      </c>
      <c r="O17" s="151">
        <v>36.765774249566704</v>
      </c>
      <c r="P17" s="151">
        <v>40.245056166436711</v>
      </c>
      <c r="Q17" s="151">
        <v>43.724338083306726</v>
      </c>
      <c r="R17" s="151">
        <v>47.203620000176741</v>
      </c>
      <c r="S17" s="151">
        <v>50.68290191704677</v>
      </c>
      <c r="T17" s="151">
        <v>54.162183833916757</v>
      </c>
      <c r="U17" s="151">
        <v>57.641465750786772</v>
      </c>
      <c r="V17" s="151">
        <v>61.120747667656779</v>
      </c>
    </row>
    <row r="18" spans="1:22" ht="15.7" x14ac:dyDescent="0.55000000000000004">
      <c r="B18" s="295"/>
      <c r="C18" s="319" t="s">
        <v>252</v>
      </c>
      <c r="D18" s="322">
        <f>+D8</f>
        <v>2.5382689365384992</v>
      </c>
      <c r="E18" s="323">
        <f t="shared" ref="E18:H18" si="6">+E8</f>
        <v>3</v>
      </c>
      <c r="F18" s="322">
        <f t="shared" si="6"/>
        <v>3</v>
      </c>
      <c r="G18" s="323">
        <f t="shared" si="6"/>
        <v>3.25</v>
      </c>
      <c r="H18" s="322">
        <f t="shared" si="6"/>
        <v>3.75</v>
      </c>
      <c r="J18" s="13">
        <f>+J17+0.2</f>
        <v>1.9</v>
      </c>
      <c r="K18" s="325">
        <v>29.260935004880274</v>
      </c>
      <c r="L18" s="151">
        <v>33.068572921750295</v>
      </c>
      <c r="M18" s="151">
        <v>38.483032516484279</v>
      </c>
      <c r="N18" s="151">
        <v>42.290670433354279</v>
      </c>
      <c r="O18" s="151">
        <v>46.098308350224308</v>
      </c>
      <c r="P18" s="151">
        <v>49.905946267094315</v>
      </c>
      <c r="Q18" s="151">
        <v>53.713584183964336</v>
      </c>
      <c r="R18" s="151">
        <v>57.521222100834343</v>
      </c>
      <c r="S18" s="151">
        <v>61.328860017704343</v>
      </c>
      <c r="T18" s="151">
        <v>65.136497934574351</v>
      </c>
      <c r="U18" s="151">
        <v>68.944135851444358</v>
      </c>
      <c r="V18" s="151">
        <v>72.751773768314393</v>
      </c>
    </row>
    <row r="19" spans="1:22" x14ac:dyDescent="0.5">
      <c r="B19" s="295"/>
      <c r="C19" s="318" t="s">
        <v>253</v>
      </c>
      <c r="D19" s="305"/>
      <c r="E19" s="295"/>
      <c r="F19" s="305"/>
      <c r="G19" s="295"/>
      <c r="H19" s="305"/>
      <c r="J19" s="13">
        <f t="shared" ref="J19:J28" si="7">+J18+0.2</f>
        <v>2.1</v>
      </c>
      <c r="K19" s="325">
        <v>37.141479004880281</v>
      </c>
      <c r="L19" s="151">
        <v>41.277472921750302</v>
      </c>
      <c r="M19" s="151">
        <v>47.158854617141898</v>
      </c>
      <c r="N19" s="151">
        <v>51.294848534011912</v>
      </c>
      <c r="O19" s="151">
        <v>55.430842450881933</v>
      </c>
      <c r="P19" s="151">
        <v>59.566836367751925</v>
      </c>
      <c r="Q19" s="151">
        <v>63.702830284621946</v>
      </c>
      <c r="R19" s="151">
        <v>67.83882420149196</v>
      </c>
      <c r="S19" s="151">
        <v>71.974818118361966</v>
      </c>
      <c r="T19" s="151">
        <v>76.110812035231959</v>
      </c>
      <c r="U19" s="151">
        <v>80.24680595210198</v>
      </c>
      <c r="V19" s="151">
        <v>84.382799868971972</v>
      </c>
    </row>
    <row r="20" spans="1:22" ht="15" customHeight="1" x14ac:dyDescent="0.5">
      <c r="B20" s="295"/>
      <c r="C20" s="90" t="s">
        <v>187</v>
      </c>
      <c r="D20" s="306">
        <f>+D12/1000</f>
        <v>222.59973546608734</v>
      </c>
      <c r="E20" s="296">
        <f>+E12/1000</f>
        <v>293.97559999999999</v>
      </c>
      <c r="F20" s="306">
        <f>+F12/1000</f>
        <v>313.93501750000001</v>
      </c>
      <c r="G20" s="296">
        <f>+G12/1000</f>
        <v>354.98337500000002</v>
      </c>
      <c r="H20" s="306">
        <f>+H12/1000</f>
        <v>429.12900000000002</v>
      </c>
      <c r="J20" s="13">
        <f t="shared" si="7"/>
        <v>2.3000000000000003</v>
      </c>
      <c r="K20" s="325">
        <v>45.022023004880296</v>
      </c>
      <c r="L20" s="151">
        <v>49.486372921750309</v>
      </c>
      <c r="M20" s="151">
        <v>55.83467671779951</v>
      </c>
      <c r="N20" s="151">
        <v>60.299026634669524</v>
      </c>
      <c r="O20" s="151">
        <v>64.763376551539537</v>
      </c>
      <c r="P20" s="151">
        <v>69.227726468409543</v>
      </c>
      <c r="Q20" s="151">
        <v>73.692076385279549</v>
      </c>
      <c r="R20" s="151">
        <v>78.156426302149541</v>
      </c>
      <c r="S20" s="151">
        <v>82.620776219019575</v>
      </c>
      <c r="T20" s="151">
        <v>87.085126135889553</v>
      </c>
      <c r="U20" s="151">
        <v>91.549476052759601</v>
      </c>
      <c r="V20" s="151">
        <v>96.013825969629593</v>
      </c>
    </row>
    <row r="21" spans="1:22" ht="15" customHeight="1" x14ac:dyDescent="0.5">
      <c r="A21" s="90"/>
      <c r="B21" s="295"/>
      <c r="C21" s="90" t="s">
        <v>254</v>
      </c>
      <c r="D21" s="306">
        <f>D13/1000</f>
        <v>-39.324208053879104</v>
      </c>
      <c r="E21" s="296">
        <f>E13/1000</f>
        <v>-53.475120000000004</v>
      </c>
      <c r="F21" s="306">
        <f>F13/1000</f>
        <v>-57.028400999999995</v>
      </c>
      <c r="G21" s="296">
        <f>G13/1000</f>
        <v>-64.791674999999998</v>
      </c>
      <c r="H21" s="306">
        <f>H13/1000</f>
        <v>-79.157250000000019</v>
      </c>
      <c r="J21" s="13">
        <v>2.5449899999999999</v>
      </c>
      <c r="K21" s="325">
        <v>54.675295377680264</v>
      </c>
      <c r="L21" s="151">
        <v>59.541864976750276</v>
      </c>
      <c r="M21" s="151">
        <v>66.462124999999986</v>
      </c>
      <c r="N21" s="151">
        <v>71.328694599069991</v>
      </c>
      <c r="O21" s="151">
        <v>76.195264198140009</v>
      </c>
      <c r="P21" s="151">
        <v>81.061833797210014</v>
      </c>
      <c r="Q21" s="151">
        <v>85.928403396280046</v>
      </c>
      <c r="R21" s="151">
        <v>90.794972995350051</v>
      </c>
      <c r="S21" s="151">
        <v>95.661542594420041</v>
      </c>
      <c r="T21" s="151">
        <v>100.52811219349005</v>
      </c>
      <c r="U21" s="151">
        <v>105.39468179256005</v>
      </c>
      <c r="V21" s="151">
        <v>110.26125139163005</v>
      </c>
    </row>
    <row r="22" spans="1:22" ht="15" customHeight="1" x14ac:dyDescent="0.5">
      <c r="A22" s="90"/>
      <c r="B22" s="295"/>
      <c r="C22" s="297" t="s">
        <v>255</v>
      </c>
      <c r="D22" s="307">
        <f>SUM(D20:D21)</f>
        <v>183.27552741220825</v>
      </c>
      <c r="E22" s="298">
        <f t="shared" ref="E22:H22" si="8">SUM(E20:E21)</f>
        <v>240.50047999999998</v>
      </c>
      <c r="F22" s="307">
        <f t="shared" si="8"/>
        <v>256.90661650000004</v>
      </c>
      <c r="G22" s="298">
        <f t="shared" si="8"/>
        <v>290.19170000000003</v>
      </c>
      <c r="H22" s="307">
        <f t="shared" si="8"/>
        <v>349.97174999999999</v>
      </c>
      <c r="J22" s="13">
        <f t="shared" si="7"/>
        <v>2.74499</v>
      </c>
      <c r="K22" s="325">
        <v>62.555839377680272</v>
      </c>
      <c r="L22" s="151">
        <v>67.750764976750276</v>
      </c>
      <c r="M22" s="151">
        <v>75.137947100657613</v>
      </c>
      <c r="N22" s="151">
        <v>80.332872699727602</v>
      </c>
      <c r="O22" s="151">
        <v>85.527798298797649</v>
      </c>
      <c r="P22" s="151">
        <v>90.722723897867638</v>
      </c>
      <c r="Q22" s="151">
        <v>95.917649496937656</v>
      </c>
      <c r="R22" s="151">
        <v>101.11257509600769</v>
      </c>
      <c r="S22" s="151">
        <v>106.30750069507768</v>
      </c>
      <c r="T22" s="151">
        <v>111.5024262941477</v>
      </c>
      <c r="U22" s="151">
        <v>116.69735189321767</v>
      </c>
      <c r="V22" s="151">
        <v>121.89227749228772</v>
      </c>
    </row>
    <row r="23" spans="1:22" ht="15" customHeight="1" x14ac:dyDescent="0.5">
      <c r="A23" s="90"/>
      <c r="B23" s="295"/>
      <c r="C23" s="299"/>
      <c r="D23" s="306"/>
      <c r="E23" s="296"/>
      <c r="F23" s="306"/>
      <c r="G23" s="296"/>
      <c r="H23" s="306"/>
      <c r="J23" s="13">
        <v>2.82</v>
      </c>
      <c r="K23" s="325">
        <v>65.511437404880297</v>
      </c>
      <c r="L23" s="151">
        <v>70.829512921750279</v>
      </c>
      <c r="M23" s="151">
        <v>78.391814179509225</v>
      </c>
      <c r="N23" s="151">
        <v>83.709889696379236</v>
      </c>
      <c r="O23" s="151">
        <v>89.027965213249232</v>
      </c>
      <c r="P23" s="151">
        <v>94.346040730119299</v>
      </c>
      <c r="Q23" s="151">
        <v>99.664116246989281</v>
      </c>
      <c r="R23" s="151">
        <v>104.9821917638593</v>
      </c>
      <c r="S23" s="151">
        <v>110.30026728072927</v>
      </c>
      <c r="T23" s="151">
        <v>115.6183427975993</v>
      </c>
      <c r="U23" s="151">
        <v>120.93641831446931</v>
      </c>
      <c r="V23" s="151">
        <v>126.25449383133929</v>
      </c>
    </row>
    <row r="24" spans="1:22" ht="15" customHeight="1" x14ac:dyDescent="0.5">
      <c r="A24" s="90"/>
      <c r="B24" s="295"/>
      <c r="C24" s="299" t="s">
        <v>256</v>
      </c>
      <c r="D24" s="308">
        <f>+MIN($C$2,D22)</f>
        <v>183.27552741220825</v>
      </c>
      <c r="E24" s="308">
        <f t="shared" ref="E24:H24" si="9">+MIN($C$2,E22)</f>
        <v>240.50047999999998</v>
      </c>
      <c r="F24" s="308">
        <f t="shared" si="9"/>
        <v>256.90661650000004</v>
      </c>
      <c r="G24" s="308">
        <f t="shared" si="9"/>
        <v>270</v>
      </c>
      <c r="H24" s="308">
        <f t="shared" si="9"/>
        <v>270</v>
      </c>
      <c r="J24" s="13">
        <v>3</v>
      </c>
      <c r="K24" s="325">
        <v>72.603927004880262</v>
      </c>
      <c r="L24" s="151">
        <v>78.217522921750287</v>
      </c>
      <c r="M24" s="151">
        <v>86.200054070101061</v>
      </c>
      <c r="N24" s="151">
        <v>91.813649986971086</v>
      </c>
      <c r="O24" s="151">
        <v>97.427245903841097</v>
      </c>
      <c r="P24" s="151">
        <v>103.04084182071108</v>
      </c>
      <c r="Q24" s="151">
        <v>108.65443773758111</v>
      </c>
      <c r="R24" s="151">
        <v>114.26803365445112</v>
      </c>
      <c r="S24" s="151">
        <v>119.88162957132111</v>
      </c>
      <c r="T24" s="151">
        <v>125.4952254881911</v>
      </c>
      <c r="U24" s="151">
        <v>131.10882140506115</v>
      </c>
      <c r="V24" s="151">
        <v>136.72241732193115</v>
      </c>
    </row>
    <row r="25" spans="1:22" ht="15" customHeight="1" x14ac:dyDescent="0.5">
      <c r="A25" s="90"/>
      <c r="B25" s="295"/>
      <c r="C25" s="90" t="s">
        <v>257</v>
      </c>
      <c r="D25" s="306">
        <f>-INPUTS!S24/1000</f>
        <v>-36.835000000000001</v>
      </c>
      <c r="E25" s="296">
        <f>+D25</f>
        <v>-36.835000000000001</v>
      </c>
      <c r="F25" s="306">
        <f t="shared" ref="F25:H25" si="10">+E25</f>
        <v>-36.835000000000001</v>
      </c>
      <c r="G25" s="296">
        <f t="shared" si="10"/>
        <v>-36.835000000000001</v>
      </c>
      <c r="H25" s="306">
        <f t="shared" si="10"/>
        <v>-36.835000000000001</v>
      </c>
      <c r="J25" s="13">
        <f t="shared" si="7"/>
        <v>3.2</v>
      </c>
      <c r="K25" s="325">
        <v>80.484471004880277</v>
      </c>
      <c r="L25" s="151">
        <v>86.426422921750273</v>
      </c>
      <c r="M25" s="151">
        <v>94.875876170758673</v>
      </c>
      <c r="N25" s="151">
        <v>100.81782808762873</v>
      </c>
      <c r="O25" s="151">
        <v>106.75978000449868</v>
      </c>
      <c r="P25" s="151">
        <v>112.70173192136873</v>
      </c>
      <c r="Q25" s="151">
        <v>118.6436838382387</v>
      </c>
      <c r="R25" s="151">
        <v>124.58563575510874</v>
      </c>
      <c r="S25" s="151">
        <v>130.52758767197875</v>
      </c>
      <c r="T25" s="151">
        <v>136.46953958884873</v>
      </c>
      <c r="U25" s="151">
        <v>142.4114915057188</v>
      </c>
      <c r="V25" s="151">
        <v>148.35344342258875</v>
      </c>
    </row>
    <row r="26" spans="1:22" ht="15" customHeight="1" x14ac:dyDescent="0.5">
      <c r="A26" s="90"/>
      <c r="B26" s="295"/>
      <c r="C26" s="90" t="s">
        <v>104</v>
      </c>
      <c r="D26" s="306">
        <v>0</v>
      </c>
      <c r="E26" s="296">
        <v>0</v>
      </c>
      <c r="F26" s="306">
        <v>0</v>
      </c>
      <c r="G26" s="296">
        <v>0</v>
      </c>
      <c r="H26" s="306">
        <v>0</v>
      </c>
      <c r="I26" s="301"/>
      <c r="J26" s="13">
        <f t="shared" si="7"/>
        <v>3.4000000000000004</v>
      </c>
      <c r="K26" s="325">
        <v>88.36501500488032</v>
      </c>
      <c r="L26" s="151">
        <v>94.635322921750316</v>
      </c>
      <c r="M26" s="151">
        <v>103.55169827141629</v>
      </c>
      <c r="N26" s="151">
        <v>109.82200618828632</v>
      </c>
      <c r="O26" s="151">
        <v>116.09231410515632</v>
      </c>
      <c r="P26" s="151">
        <v>122.36262202202637</v>
      </c>
      <c r="Q26" s="151">
        <v>128.6329299388963</v>
      </c>
      <c r="R26" s="151">
        <v>134.90323785576635</v>
      </c>
      <c r="S26" s="151">
        <v>141.17354577263634</v>
      </c>
      <c r="T26" s="151">
        <v>147.4438536895064</v>
      </c>
      <c r="U26" s="151">
        <v>153.71416160637636</v>
      </c>
      <c r="V26" s="151">
        <v>159.98446952324642</v>
      </c>
    </row>
    <row r="27" spans="1:22" ht="15" customHeight="1" x14ac:dyDescent="0.5">
      <c r="A27" s="90"/>
      <c r="B27" s="295"/>
      <c r="C27" s="90" t="s">
        <v>258</v>
      </c>
      <c r="D27" s="306">
        <f>-Model!D44/1000</f>
        <v>-51.911250000000003</v>
      </c>
      <c r="E27" s="296">
        <f>+D27</f>
        <v>-51.911250000000003</v>
      </c>
      <c r="F27" s="306">
        <v>-65</v>
      </c>
      <c r="G27" s="296">
        <f t="shared" ref="G27:H27" si="11">+F27</f>
        <v>-65</v>
      </c>
      <c r="H27" s="306">
        <f t="shared" si="11"/>
        <v>-65</v>
      </c>
      <c r="J27" s="344">
        <f t="shared" si="7"/>
        <v>3.6000000000000005</v>
      </c>
      <c r="K27" s="325">
        <v>96.245559004880292</v>
      </c>
      <c r="L27" s="151">
        <v>102.84422292175027</v>
      </c>
      <c r="M27" s="151">
        <v>112.2275203720739</v>
      </c>
      <c r="N27" s="151">
        <v>118.82618428894391</v>
      </c>
      <c r="O27" s="151">
        <v>125.42484820581393</v>
      </c>
      <c r="P27" s="151">
        <v>132.02351212268394</v>
      </c>
      <c r="Q27" s="151">
        <v>138.62217603955398</v>
      </c>
      <c r="R27" s="151">
        <v>145.22083995642396</v>
      </c>
      <c r="S27" s="151">
        <v>151.81950387329397</v>
      </c>
      <c r="T27" s="151">
        <v>158.41816779016395</v>
      </c>
      <c r="U27" s="151">
        <v>165.01683170703393</v>
      </c>
      <c r="V27" s="151">
        <v>171.615495623904</v>
      </c>
    </row>
    <row r="28" spans="1:22" ht="15" customHeight="1" x14ac:dyDescent="0.5">
      <c r="A28" s="90"/>
      <c r="B28" s="295"/>
      <c r="C28" s="326" t="s">
        <v>259</v>
      </c>
      <c r="D28" s="327">
        <f>SUM(D24:D27)</f>
        <v>94.529277412208245</v>
      </c>
      <c r="E28" s="328">
        <f t="shared" ref="E28:H28" si="12">SUM(E24:E27)</f>
        <v>151.75422999999998</v>
      </c>
      <c r="F28" s="327">
        <f t="shared" si="12"/>
        <v>155.07161650000003</v>
      </c>
      <c r="G28" s="328">
        <f t="shared" si="12"/>
        <v>168.16499999999999</v>
      </c>
      <c r="H28" s="327">
        <f t="shared" si="12"/>
        <v>168.16499999999999</v>
      </c>
      <c r="J28" s="344">
        <f t="shared" si="7"/>
        <v>3.8000000000000007</v>
      </c>
      <c r="K28" s="325">
        <v>104.12610300488031</v>
      </c>
      <c r="L28" s="151">
        <v>111.0531229217503</v>
      </c>
      <c r="M28" s="151">
        <v>120.90334247273145</v>
      </c>
      <c r="N28" s="151">
        <v>127.83036238960153</v>
      </c>
      <c r="O28" s="151">
        <v>134.75738230647153</v>
      </c>
      <c r="P28" s="151">
        <v>141.68440222334152</v>
      </c>
      <c r="Q28" s="151">
        <v>148.61142214021157</v>
      </c>
      <c r="R28" s="151">
        <v>155.53844205708157</v>
      </c>
      <c r="S28" s="151">
        <v>162.46546197395159</v>
      </c>
      <c r="T28" s="151">
        <v>169.39248189082159</v>
      </c>
      <c r="U28" s="151">
        <v>176.31950180769158</v>
      </c>
      <c r="V28" s="151">
        <v>183.24652172456157</v>
      </c>
    </row>
    <row r="29" spans="1:22" x14ac:dyDescent="0.5">
      <c r="B29" s="295"/>
      <c r="C29" s="303" t="s">
        <v>260</v>
      </c>
      <c r="D29" s="309">
        <f>0.7*D28</f>
        <v>66.170494188545774</v>
      </c>
      <c r="E29" s="304">
        <f t="shared" ref="E29:H29" si="13">0.7*E28</f>
        <v>106.22796099999998</v>
      </c>
      <c r="F29" s="309">
        <f t="shared" si="13"/>
        <v>108.55013155000002</v>
      </c>
      <c r="G29" s="304">
        <f t="shared" si="13"/>
        <v>117.71549999999999</v>
      </c>
      <c r="H29" s="309">
        <f t="shared" si="13"/>
        <v>117.71549999999999</v>
      </c>
    </row>
    <row r="30" spans="1:22" ht="18.350000000000001" x14ac:dyDescent="0.5">
      <c r="B30" s="295"/>
      <c r="D30" s="275"/>
      <c r="F30" s="275"/>
      <c r="H30" s="279"/>
      <c r="J30" s="330" t="s">
        <v>261</v>
      </c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</row>
    <row r="31" spans="1:22" x14ac:dyDescent="0.5">
      <c r="B31" s="295"/>
      <c r="C31" s="299" t="s">
        <v>262</v>
      </c>
      <c r="D31" s="308">
        <f>+D22-D24</f>
        <v>0</v>
      </c>
      <c r="E31" s="300">
        <f t="shared" ref="E31:H31" si="14">+E22-E24</f>
        <v>0</v>
      </c>
      <c r="F31" s="308">
        <f t="shared" si="14"/>
        <v>0</v>
      </c>
      <c r="G31" s="300">
        <f t="shared" si="14"/>
        <v>20.191700000000026</v>
      </c>
      <c r="H31" s="308">
        <f t="shared" si="14"/>
        <v>79.971749999999986</v>
      </c>
      <c r="K31" s="147" t="s">
        <v>251</v>
      </c>
      <c r="L31" s="147"/>
      <c r="M31" s="147"/>
      <c r="N31" s="147"/>
      <c r="O31" s="147"/>
      <c r="P31" s="147"/>
      <c r="Q31" s="147"/>
      <c r="R31" s="147"/>
      <c r="S31" s="147"/>
      <c r="T31" s="147"/>
      <c r="U31" s="147"/>
    </row>
    <row r="32" spans="1:22" x14ac:dyDescent="0.5">
      <c r="C32" s="303" t="s">
        <v>263</v>
      </c>
      <c r="D32" s="309">
        <f>0.9*D31</f>
        <v>0</v>
      </c>
      <c r="E32" s="304">
        <f t="shared" ref="E32:H32" si="15">0.9*E31</f>
        <v>0</v>
      </c>
      <c r="F32" s="309">
        <f t="shared" si="15"/>
        <v>0</v>
      </c>
      <c r="G32" s="304">
        <f t="shared" si="15"/>
        <v>18.172530000000023</v>
      </c>
      <c r="H32" s="309">
        <f t="shared" si="15"/>
        <v>71.974574999999987</v>
      </c>
      <c r="J32" s="324">
        <f>+D34</f>
        <v>66.170494188545774</v>
      </c>
      <c r="K32" s="56">
        <v>6000</v>
      </c>
      <c r="L32" s="56">
        <f>+K32+250</f>
        <v>6250</v>
      </c>
      <c r="M32" s="56">
        <v>6605.4959325249038</v>
      </c>
      <c r="N32" s="56">
        <f t="shared" ref="N32:V32" si="16">+M32+250</f>
        <v>6855.4959325249038</v>
      </c>
      <c r="O32" s="56">
        <f t="shared" si="16"/>
        <v>7105.4959325249038</v>
      </c>
      <c r="P32" s="56">
        <f t="shared" si="16"/>
        <v>7355.4959325249038</v>
      </c>
      <c r="Q32" s="56">
        <f t="shared" si="16"/>
        <v>7605.4959325249038</v>
      </c>
      <c r="R32" s="56">
        <f t="shared" si="16"/>
        <v>7855.4959325249038</v>
      </c>
      <c r="S32" s="56">
        <f t="shared" si="16"/>
        <v>8105.4959325249038</v>
      </c>
      <c r="T32" s="56">
        <f t="shared" si="16"/>
        <v>8355.4959325249038</v>
      </c>
      <c r="U32" s="56">
        <f t="shared" si="16"/>
        <v>8605.4959325249038</v>
      </c>
      <c r="V32" s="56">
        <f t="shared" si="16"/>
        <v>8855.4959325249038</v>
      </c>
    </row>
    <row r="33" spans="3:22" x14ac:dyDescent="0.5">
      <c r="D33" s="275"/>
      <c r="F33" s="275"/>
      <c r="H33" s="279"/>
      <c r="J33" s="13">
        <v>1.7</v>
      </c>
      <c r="K33" s="331">
        <f t="dataTable" ref="K33:V44" dt2D="1" dtr="1" r1="D7" r2="D8" ca="1"/>
        <v>21.380391004880284</v>
      </c>
      <c r="L33" s="332">
        <v>24.859672921750295</v>
      </c>
      <c r="M33" s="332">
        <v>29.807155199969259</v>
      </c>
      <c r="N33" s="332">
        <v>33.286437116839267</v>
      </c>
      <c r="O33" s="332">
        <v>36.76571903370926</v>
      </c>
      <c r="P33" s="332">
        <v>40.245000950579289</v>
      </c>
      <c r="Q33" s="332">
        <v>43.724282867449297</v>
      </c>
      <c r="R33" s="332">
        <v>47.203564784319298</v>
      </c>
      <c r="S33" s="332">
        <v>50.682846701189348</v>
      </c>
      <c r="T33" s="332">
        <v>54.162128618059356</v>
      </c>
      <c r="U33" s="332">
        <v>57.641410534929364</v>
      </c>
      <c r="V33" s="332">
        <v>61.120692451799378</v>
      </c>
    </row>
    <row r="34" spans="3:22" x14ac:dyDescent="0.5">
      <c r="C34" s="50" t="s">
        <v>264</v>
      </c>
      <c r="D34" s="309">
        <f>+D29+D32</f>
        <v>66.170494188545774</v>
      </c>
      <c r="E34" s="304">
        <f t="shared" ref="E34:H34" si="17">+E29+E32</f>
        <v>106.22796099999998</v>
      </c>
      <c r="F34" s="309">
        <f t="shared" si="17"/>
        <v>108.55013155000002</v>
      </c>
      <c r="G34" s="304">
        <f t="shared" si="17"/>
        <v>135.88803000000001</v>
      </c>
      <c r="H34" s="309">
        <f t="shared" si="17"/>
        <v>189.69007499999998</v>
      </c>
      <c r="J34" s="13">
        <f>+J33+0.2</f>
        <v>1.9</v>
      </c>
      <c r="K34" s="333">
        <v>29.260935004880274</v>
      </c>
      <c r="L34" s="334">
        <v>33.068572921750295</v>
      </c>
      <c r="M34" s="334">
        <v>38.482972089649842</v>
      </c>
      <c r="N34" s="334">
        <v>42.290610006519827</v>
      </c>
      <c r="O34" s="334">
        <v>46.098247923389856</v>
      </c>
      <c r="P34" s="334">
        <v>49.905885840259877</v>
      </c>
      <c r="Q34" s="334">
        <v>53.713523757129884</v>
      </c>
      <c r="R34" s="334">
        <v>57.521161673999906</v>
      </c>
      <c r="S34" s="334">
        <v>61.328799590869913</v>
      </c>
      <c r="T34" s="334">
        <v>65.136437507739913</v>
      </c>
      <c r="U34" s="334">
        <v>68.94407542460992</v>
      </c>
      <c r="V34" s="334">
        <v>72.751713341479942</v>
      </c>
    </row>
    <row r="35" spans="3:22" x14ac:dyDescent="0.5">
      <c r="C35" s="8" t="s">
        <v>265</v>
      </c>
      <c r="D35" s="310">
        <f>+D29+D31*0.7</f>
        <v>66.170494188545774</v>
      </c>
      <c r="E35" s="302">
        <f t="shared" ref="E35:H35" si="18">+E29+E31*0.7</f>
        <v>106.22796099999998</v>
      </c>
      <c r="F35" s="310">
        <f t="shared" si="18"/>
        <v>108.55013155000002</v>
      </c>
      <c r="G35" s="302">
        <f t="shared" si="18"/>
        <v>131.84969000000001</v>
      </c>
      <c r="H35" s="310">
        <f t="shared" si="18"/>
        <v>173.69572499999998</v>
      </c>
      <c r="J35" s="13">
        <f t="shared" ref="J35:J44" si="19">+J34+0.2</f>
        <v>2.1</v>
      </c>
      <c r="K35" s="333">
        <v>37.141479004880281</v>
      </c>
      <c r="L35" s="334">
        <v>41.277472921750302</v>
      </c>
      <c r="M35" s="334">
        <v>47.158788979330453</v>
      </c>
      <c r="N35" s="334">
        <v>51.294782896200466</v>
      </c>
      <c r="O35" s="334">
        <v>55.430776813070487</v>
      </c>
      <c r="P35" s="334">
        <v>59.566770729940501</v>
      </c>
      <c r="Q35" s="334">
        <v>63.7027646468105</v>
      </c>
      <c r="R35" s="334">
        <v>67.838758563680514</v>
      </c>
      <c r="S35" s="334">
        <v>71.974752480550535</v>
      </c>
      <c r="T35" s="334">
        <v>76.110746397420527</v>
      </c>
      <c r="U35" s="334">
        <v>80.246740314290548</v>
      </c>
      <c r="V35" s="334">
        <v>84.382734231160569</v>
      </c>
    </row>
    <row r="36" spans="3:22" x14ac:dyDescent="0.5">
      <c r="C36" s="311" t="s">
        <v>266</v>
      </c>
      <c r="D36" s="312">
        <f>+D34-D35</f>
        <v>0</v>
      </c>
      <c r="E36" s="313">
        <f t="shared" ref="E36:H36" si="20">+E34-E35</f>
        <v>0</v>
      </c>
      <c r="F36" s="312">
        <f t="shared" si="20"/>
        <v>0</v>
      </c>
      <c r="G36" s="314">
        <f t="shared" si="20"/>
        <v>4.0383400000000051</v>
      </c>
      <c r="H36" s="315">
        <f t="shared" si="20"/>
        <v>15.994349999999997</v>
      </c>
      <c r="J36" s="13">
        <f t="shared" si="19"/>
        <v>2.3000000000000003</v>
      </c>
      <c r="K36" s="333">
        <v>45.022023004880296</v>
      </c>
      <c r="L36" s="334">
        <v>49.486372921750309</v>
      </c>
      <c r="M36" s="334">
        <v>55.834605869011035</v>
      </c>
      <c r="N36" s="334">
        <v>60.298955785881041</v>
      </c>
      <c r="O36" s="334">
        <v>64.763305702751083</v>
      </c>
      <c r="P36" s="334">
        <v>69.227655619621089</v>
      </c>
      <c r="Q36" s="334">
        <v>73.692005536491095</v>
      </c>
      <c r="R36" s="334">
        <v>78.156355453361087</v>
      </c>
      <c r="S36" s="334">
        <v>82.620705370231121</v>
      </c>
      <c r="T36" s="334">
        <v>87.085055287101127</v>
      </c>
      <c r="U36" s="334">
        <v>91.549405203971119</v>
      </c>
      <c r="V36" s="334">
        <v>96.01375512084114</v>
      </c>
    </row>
    <row r="37" spans="3:22" x14ac:dyDescent="0.5">
      <c r="C37" s="8" t="s">
        <v>267</v>
      </c>
      <c r="D37" s="310"/>
      <c r="E37" s="302"/>
      <c r="F37" s="316">
        <f>+F36/F35</f>
        <v>0</v>
      </c>
      <c r="G37" s="316">
        <f>+G36/G35</f>
        <v>3.062836173524568E-2</v>
      </c>
      <c r="H37" s="317">
        <f>+H36/H35</f>
        <v>9.2082577161873153E-2</v>
      </c>
      <c r="J37" s="13">
        <v>2.5382689365384992</v>
      </c>
      <c r="K37" s="333">
        <v>54.410467196004547</v>
      </c>
      <c r="L37" s="334">
        <v>59.266002287504726</v>
      </c>
      <c r="M37" s="334">
        <v>66.170494188545774</v>
      </c>
      <c r="N37" s="334">
        <v>71.026029280045933</v>
      </c>
      <c r="O37" s="334">
        <v>75.881564371546119</v>
      </c>
      <c r="P37" s="334">
        <v>80.73709946304632</v>
      </c>
      <c r="Q37" s="334">
        <v>85.592634554546478</v>
      </c>
      <c r="R37" s="334">
        <v>90.448169646046679</v>
      </c>
      <c r="S37" s="334">
        <v>95.303704737546909</v>
      </c>
      <c r="T37" s="334">
        <v>100.15923982904707</v>
      </c>
      <c r="U37" s="334">
        <v>105.01477492054728</v>
      </c>
      <c r="V37" s="334">
        <v>109.87031001204745</v>
      </c>
    </row>
    <row r="38" spans="3:22" x14ac:dyDescent="0.5">
      <c r="D38" s="296"/>
      <c r="E38" s="296"/>
      <c r="F38" s="296"/>
      <c r="G38" s="296"/>
      <c r="H38" s="296"/>
      <c r="J38" s="13">
        <f t="shared" si="19"/>
        <v>2.7382689365384993</v>
      </c>
      <c r="K38" s="333">
        <v>62.291011196004533</v>
      </c>
      <c r="L38" s="334">
        <v>67.474902287504705</v>
      </c>
      <c r="M38" s="334">
        <v>74.846311078226307</v>
      </c>
      <c r="N38" s="334">
        <v>80.030202169726508</v>
      </c>
      <c r="O38" s="334">
        <v>85.214093261226708</v>
      </c>
      <c r="P38" s="334">
        <v>90.397984352726866</v>
      </c>
      <c r="Q38" s="334">
        <v>95.581875444227066</v>
      </c>
      <c r="R38" s="334">
        <v>100.76576653572728</v>
      </c>
      <c r="S38" s="334">
        <v>105.94965762722745</v>
      </c>
      <c r="T38" s="334">
        <v>111.13354871872764</v>
      </c>
      <c r="U38" s="334">
        <v>116.31743981022782</v>
      </c>
      <c r="V38" s="334">
        <v>121.50133090172801</v>
      </c>
    </row>
    <row r="39" spans="3:22" x14ac:dyDescent="0.5">
      <c r="D39" s="296"/>
      <c r="E39" s="296"/>
      <c r="F39" s="296"/>
      <c r="G39" s="296"/>
      <c r="H39" s="296"/>
      <c r="J39" s="13">
        <v>2.82</v>
      </c>
      <c r="K39" s="333">
        <v>65.511437404880297</v>
      </c>
      <c r="L39" s="334">
        <v>70.829512921750279</v>
      </c>
      <c r="M39" s="334">
        <v>78.391729782180548</v>
      </c>
      <c r="N39" s="334">
        <v>83.709805299050572</v>
      </c>
      <c r="O39" s="334">
        <v>89.027880815920582</v>
      </c>
      <c r="P39" s="334">
        <v>94.345956332790564</v>
      </c>
      <c r="Q39" s="334">
        <v>99.664031849660574</v>
      </c>
      <c r="R39" s="334">
        <v>104.98210736653064</v>
      </c>
      <c r="S39" s="334">
        <v>110.30018288340062</v>
      </c>
      <c r="T39" s="334">
        <v>115.61825840027065</v>
      </c>
      <c r="U39" s="334">
        <v>120.9363339171406</v>
      </c>
      <c r="V39" s="334">
        <v>126.25440943401063</v>
      </c>
    </row>
    <row r="40" spans="3:22" x14ac:dyDescent="0.5">
      <c r="D40" s="296"/>
      <c r="E40" s="296"/>
      <c r="F40" s="296"/>
      <c r="G40" s="296"/>
      <c r="H40" s="296"/>
      <c r="J40" s="13">
        <v>3</v>
      </c>
      <c r="K40" s="333">
        <v>72.603927004880262</v>
      </c>
      <c r="L40" s="334">
        <v>78.217522921750287</v>
      </c>
      <c r="M40" s="334">
        <v>86.199964982893079</v>
      </c>
      <c r="N40" s="334">
        <v>91.81356089976309</v>
      </c>
      <c r="O40" s="334">
        <v>97.427156816633072</v>
      </c>
      <c r="P40" s="334">
        <v>103.0407527335031</v>
      </c>
      <c r="Q40" s="334">
        <v>108.65434865037311</v>
      </c>
      <c r="R40" s="334">
        <v>114.26794456724309</v>
      </c>
      <c r="S40" s="334">
        <v>119.88154048411312</v>
      </c>
      <c r="T40" s="334">
        <v>125.49513640098313</v>
      </c>
      <c r="U40" s="335">
        <v>132.317620122954</v>
      </c>
      <c r="V40" s="335">
        <v>139.53510058750118</v>
      </c>
    </row>
    <row r="41" spans="3:22" x14ac:dyDescent="0.5">
      <c r="D41" s="296"/>
      <c r="E41" s="296"/>
      <c r="F41" s="296"/>
      <c r="G41" s="296"/>
      <c r="H41" s="296"/>
      <c r="J41" s="13">
        <f t="shared" si="19"/>
        <v>3.2</v>
      </c>
      <c r="K41" s="333">
        <v>80.484471004880277</v>
      </c>
      <c r="L41" s="334">
        <v>86.426422921750273</v>
      </c>
      <c r="M41" s="334">
        <v>94.875781872573683</v>
      </c>
      <c r="N41" s="334">
        <v>100.81773378944365</v>
      </c>
      <c r="O41" s="334">
        <v>106.75968570631369</v>
      </c>
      <c r="P41" s="334">
        <v>112.70163762318374</v>
      </c>
      <c r="Q41" s="334">
        <v>118.64358954005371</v>
      </c>
      <c r="R41" s="334">
        <v>124.58554145692375</v>
      </c>
      <c r="S41" s="340">
        <v>131.57031290916333</v>
      </c>
      <c r="T41" s="336">
        <v>139.20996537371056</v>
      </c>
      <c r="U41" s="337">
        <v>146.84961783825764</v>
      </c>
      <c r="V41" s="337">
        <v>154.4892703028049</v>
      </c>
    </row>
    <row r="42" spans="3:22" x14ac:dyDescent="0.5">
      <c r="C42" s="1" t="s">
        <v>268</v>
      </c>
      <c r="D42" s="296">
        <f>+D22</f>
        <v>183.27552741220825</v>
      </c>
      <c r="E42" s="296">
        <f>+E22</f>
        <v>240.50047999999998</v>
      </c>
      <c r="F42" s="296">
        <f>+F22</f>
        <v>256.90661650000004</v>
      </c>
      <c r="G42" s="296">
        <f>+G22</f>
        <v>290.19170000000003</v>
      </c>
      <c r="H42" s="296">
        <f>+H22</f>
        <v>349.97174999999999</v>
      </c>
      <c r="J42" s="13">
        <f t="shared" si="19"/>
        <v>3.4000000000000004</v>
      </c>
      <c r="K42" s="333">
        <v>88.36501500488032</v>
      </c>
      <c r="L42" s="334">
        <v>94.635322921750316</v>
      </c>
      <c r="M42" s="334">
        <v>103.55159876225429</v>
      </c>
      <c r="N42" s="334">
        <v>109.82190667912427</v>
      </c>
      <c r="O42" s="334">
        <v>116.09221459599429</v>
      </c>
      <c r="P42" s="334">
        <v>122.3625225128643</v>
      </c>
      <c r="Q42" s="334">
        <v>129.13431769537274</v>
      </c>
      <c r="R42" s="338">
        <v>137.19614215991984</v>
      </c>
      <c r="S42" s="338">
        <v>145.25796662446706</v>
      </c>
      <c r="T42" s="338">
        <v>153.31979108901419</v>
      </c>
      <c r="U42" s="339">
        <v>161.38161555356135</v>
      </c>
      <c r="V42" s="339">
        <v>169.4434400181085</v>
      </c>
    </row>
    <row r="43" spans="3:22" x14ac:dyDescent="0.5">
      <c r="C43" s="90" t="s">
        <v>257</v>
      </c>
      <c r="D43" s="296">
        <f>+D25</f>
        <v>-36.835000000000001</v>
      </c>
      <c r="E43" s="296">
        <f>+E25</f>
        <v>-36.835000000000001</v>
      </c>
      <c r="F43" s="296">
        <f>+F25</f>
        <v>-36.835000000000001</v>
      </c>
      <c r="G43" s="296">
        <f>+G25</f>
        <v>-36.835000000000001</v>
      </c>
      <c r="H43" s="296"/>
      <c r="J43" s="13">
        <f t="shared" si="19"/>
        <v>3.6000000000000005</v>
      </c>
      <c r="K43" s="333">
        <v>96.245559004880292</v>
      </c>
      <c r="L43" s="334">
        <v>102.84422292175027</v>
      </c>
      <c r="M43" s="334">
        <v>112.22741565193485</v>
      </c>
      <c r="N43" s="334">
        <v>118.82607956880484</v>
      </c>
      <c r="O43" s="334">
        <v>125.42474348567487</v>
      </c>
      <c r="P43" s="334">
        <v>133.49363094612914</v>
      </c>
      <c r="Q43" s="341">
        <v>141.97762741067632</v>
      </c>
      <c r="R43" s="338">
        <v>150.46162387522349</v>
      </c>
      <c r="S43" s="338">
        <v>158.94562033977067</v>
      </c>
      <c r="T43" s="338">
        <v>167.42961680431773</v>
      </c>
      <c r="U43" s="339">
        <v>175.91361326886499</v>
      </c>
      <c r="V43" s="339">
        <v>184.39760973341211</v>
      </c>
    </row>
    <row r="44" spans="3:22" x14ac:dyDescent="0.5">
      <c r="C44" s="90" t="s">
        <v>104</v>
      </c>
      <c r="D44" s="296">
        <f t="shared" ref="D44:D45" si="21">+D26</f>
        <v>0</v>
      </c>
      <c r="E44" s="296">
        <f t="shared" ref="E44:H45" si="22">+E26</f>
        <v>0</v>
      </c>
      <c r="F44" s="296">
        <f t="shared" ref="F44" si="23">+F26</f>
        <v>0</v>
      </c>
      <c r="G44" s="296">
        <f t="shared" si="22"/>
        <v>0</v>
      </c>
      <c r="H44" s="296"/>
      <c r="J44" s="13">
        <f t="shared" si="19"/>
        <v>3.8000000000000007</v>
      </c>
      <c r="K44" s="333">
        <v>104.12610300488031</v>
      </c>
      <c r="L44" s="334">
        <v>111.0531229217503</v>
      </c>
      <c r="M44" s="334">
        <v>120.90323254161549</v>
      </c>
      <c r="N44" s="334">
        <v>128.10243173233843</v>
      </c>
      <c r="O44" s="334">
        <v>137.00860019688562</v>
      </c>
      <c r="P44" s="334">
        <v>145.91476866143276</v>
      </c>
      <c r="Q44" s="341">
        <v>154.82093712597995</v>
      </c>
      <c r="R44" s="338">
        <v>163.72710559052715</v>
      </c>
      <c r="S44" s="338">
        <v>172.63327405507428</v>
      </c>
      <c r="T44" s="338">
        <v>181.53944251962142</v>
      </c>
      <c r="U44" s="339">
        <v>190.44561098416864</v>
      </c>
      <c r="V44" s="339">
        <v>199.35177944871572</v>
      </c>
    </row>
    <row r="45" spans="3:22" x14ac:dyDescent="0.5">
      <c r="C45" s="342" t="s">
        <v>258</v>
      </c>
      <c r="D45" s="343">
        <f t="shared" si="21"/>
        <v>-51.911250000000003</v>
      </c>
      <c r="E45" s="343">
        <f t="shared" si="22"/>
        <v>-51.911250000000003</v>
      </c>
      <c r="F45" s="343">
        <f t="shared" ref="F45" si="24">+F27</f>
        <v>-65</v>
      </c>
      <c r="G45" s="343">
        <f t="shared" si="22"/>
        <v>-65</v>
      </c>
      <c r="H45" s="343">
        <f t="shared" si="22"/>
        <v>-65</v>
      </c>
      <c r="J45" s="13"/>
      <c r="K45"/>
      <c r="L45"/>
      <c r="M45"/>
      <c r="N45"/>
      <c r="O45"/>
      <c r="P45"/>
      <c r="Q45"/>
      <c r="R45"/>
      <c r="S45"/>
      <c r="T45"/>
      <c r="U45"/>
    </row>
    <row r="46" spans="3:22" x14ac:dyDescent="0.5">
      <c r="C46" s="90" t="s">
        <v>269</v>
      </c>
      <c r="D46" s="296">
        <f t="shared" ref="D46:F46" si="25">+SUM(D42:D45)</f>
        <v>94.529277412208245</v>
      </c>
      <c r="E46" s="296">
        <f t="shared" si="25"/>
        <v>151.75422999999998</v>
      </c>
      <c r="F46" s="296">
        <f t="shared" si="25"/>
        <v>155.07161650000003</v>
      </c>
      <c r="G46" s="296">
        <f>+SUM(G42:G45)</f>
        <v>188.35670000000002</v>
      </c>
      <c r="H46" s="296">
        <f>+SUM(H42:H45)</f>
        <v>284.97174999999999</v>
      </c>
      <c r="J46" s="13"/>
      <c r="K46"/>
      <c r="L46"/>
      <c r="M46"/>
      <c r="N46"/>
      <c r="O46"/>
      <c r="P46"/>
      <c r="Q46"/>
      <c r="R46"/>
      <c r="S46"/>
      <c r="T46"/>
      <c r="U46"/>
      <c r="V46" s="1">
        <v>188.7</v>
      </c>
    </row>
    <row r="47" spans="3:22" x14ac:dyDescent="0.5">
      <c r="C47" s="90" t="s">
        <v>270</v>
      </c>
      <c r="D47" s="296">
        <f>+D29</f>
        <v>66.170494188545774</v>
      </c>
      <c r="E47" s="296">
        <f>+E29</f>
        <v>106.22796099999998</v>
      </c>
      <c r="F47" s="296">
        <f>+F29</f>
        <v>108.55013155000002</v>
      </c>
      <c r="G47" s="296">
        <f>+G29</f>
        <v>117.71549999999999</v>
      </c>
      <c r="H47" s="296">
        <f>+H29</f>
        <v>117.71549999999999</v>
      </c>
      <c r="J47" s="13"/>
      <c r="K47"/>
      <c r="L47"/>
      <c r="M47"/>
      <c r="N47"/>
      <c r="O47"/>
      <c r="P47"/>
      <c r="Q47"/>
      <c r="R47"/>
      <c r="S47"/>
      <c r="T47"/>
      <c r="U47"/>
      <c r="V47" s="1">
        <v>173.5</v>
      </c>
    </row>
    <row r="48" spans="3:22" x14ac:dyDescent="0.5">
      <c r="C48" s="90" t="s">
        <v>271</v>
      </c>
      <c r="D48" s="296">
        <f>+D32</f>
        <v>0</v>
      </c>
      <c r="E48" s="296">
        <f>+E32</f>
        <v>0</v>
      </c>
      <c r="F48" s="296">
        <f>+F32</f>
        <v>0</v>
      </c>
      <c r="G48" s="296">
        <f>+G32</f>
        <v>18.172530000000023</v>
      </c>
      <c r="H48" s="296">
        <f>+H32</f>
        <v>71.974574999999987</v>
      </c>
      <c r="J48" s="13"/>
      <c r="K48"/>
      <c r="L48"/>
      <c r="M48"/>
      <c r="N48"/>
      <c r="O48"/>
      <c r="P48"/>
      <c r="Q48"/>
      <c r="R48"/>
      <c r="S48"/>
      <c r="T48"/>
      <c r="U48"/>
      <c r="V48" s="1">
        <f>+V46-V47</f>
        <v>15.199999999999989</v>
      </c>
    </row>
    <row r="49" spans="3:22" x14ac:dyDescent="0.5">
      <c r="C49" s="90" t="s">
        <v>272</v>
      </c>
      <c r="D49" s="296">
        <f>+D46-D47-D48</f>
        <v>28.358783223662471</v>
      </c>
      <c r="E49" s="296">
        <f>+E46-E47-E48</f>
        <v>45.526268999999999</v>
      </c>
      <c r="F49" s="296">
        <f>+F46-F47-F48</f>
        <v>46.521484950000016</v>
      </c>
      <c r="G49" s="296">
        <f>+G46-G47-G48</f>
        <v>52.468670000000003</v>
      </c>
      <c r="H49" s="296">
        <f>+H46-H47-H48</f>
        <v>95.281675000000007</v>
      </c>
      <c r="J49" s="13"/>
      <c r="K49"/>
      <c r="L49">
        <v>219.1</v>
      </c>
      <c r="M49"/>
      <c r="N49"/>
      <c r="O49"/>
      <c r="P49"/>
      <c r="Q49"/>
      <c r="R49"/>
      <c r="S49"/>
      <c r="T49"/>
      <c r="U49"/>
      <c r="V49" s="346">
        <f>+V48/V47</f>
        <v>8.7608069164265071E-2</v>
      </c>
    </row>
    <row r="50" spans="3:22" x14ac:dyDescent="0.5">
      <c r="C50" s="90"/>
      <c r="D50" s="296"/>
      <c r="E50" s="296"/>
      <c r="F50" s="296"/>
      <c r="G50" s="296"/>
      <c r="H50" s="296"/>
      <c r="J50" s="13"/>
      <c r="K50"/>
      <c r="L50">
        <f>-0.2*L49</f>
        <v>-43.82</v>
      </c>
      <c r="M50"/>
      <c r="N50"/>
      <c r="O50"/>
      <c r="P50"/>
      <c r="Q50"/>
      <c r="R50"/>
      <c r="S50"/>
      <c r="T50"/>
      <c r="U50"/>
    </row>
    <row r="51" spans="3:22" x14ac:dyDescent="0.5">
      <c r="C51" s="107" t="s">
        <v>249</v>
      </c>
      <c r="D51" s="296">
        <f>+G20</f>
        <v>354.98337500000002</v>
      </c>
      <c r="F51" s="296"/>
      <c r="G51" s="296"/>
      <c r="H51" s="296"/>
      <c r="K51" s="294"/>
      <c r="L51" s="294"/>
      <c r="M51" s="294"/>
      <c r="N51" s="294"/>
      <c r="O51" s="294"/>
      <c r="P51" s="294"/>
      <c r="Q51" s="294"/>
    </row>
    <row r="52" spans="3:22" x14ac:dyDescent="0.5">
      <c r="C52" s="107" t="s">
        <v>42</v>
      </c>
      <c r="D52" s="296">
        <f>+G21</f>
        <v>-64.791674999999998</v>
      </c>
      <c r="F52" s="296"/>
      <c r="G52" s="296"/>
      <c r="H52" s="296"/>
      <c r="K52" s="294"/>
      <c r="L52" s="294"/>
      <c r="M52" s="294"/>
      <c r="N52" s="294"/>
      <c r="O52" s="294"/>
      <c r="P52" s="294"/>
      <c r="Q52" s="294"/>
    </row>
    <row r="53" spans="3:22" x14ac:dyDescent="0.5">
      <c r="C53" s="107"/>
      <c r="D53" s="300">
        <f>SUM(D51:D52)</f>
        <v>290.19170000000003</v>
      </c>
      <c r="F53" s="296"/>
      <c r="G53" s="296"/>
      <c r="H53" s="296"/>
      <c r="K53" s="294"/>
      <c r="L53" s="294"/>
      <c r="M53" s="294"/>
      <c r="N53" s="294"/>
      <c r="O53" s="294"/>
      <c r="P53" s="294"/>
      <c r="Q53" s="294"/>
    </row>
    <row r="54" spans="3:22" x14ac:dyDescent="0.5">
      <c r="C54" s="107"/>
      <c r="D54" s="329">
        <v>270</v>
      </c>
      <c r="F54" s="296"/>
      <c r="G54" s="296"/>
      <c r="H54" s="296"/>
    </row>
    <row r="55" spans="3:22" x14ac:dyDescent="0.5">
      <c r="C55" s="107"/>
      <c r="D55" s="296">
        <f>+G25</f>
        <v>-36.835000000000001</v>
      </c>
      <c r="E55" s="296"/>
      <c r="F55" s="296"/>
      <c r="G55" s="296"/>
      <c r="H55" s="296"/>
    </row>
    <row r="56" spans="3:22" x14ac:dyDescent="0.5">
      <c r="C56" s="107"/>
      <c r="D56" s="296">
        <f>0.25*D55</f>
        <v>-9.2087500000000002</v>
      </c>
      <c r="E56" s="296"/>
      <c r="F56" s="296"/>
      <c r="G56" s="296"/>
      <c r="H56" s="296"/>
    </row>
    <row r="57" spans="3:22" x14ac:dyDescent="0.5">
      <c r="C57" s="107"/>
      <c r="D57" s="296">
        <f>+G27-D56</f>
        <v>-55.791249999999998</v>
      </c>
      <c r="E57" s="296"/>
      <c r="F57" s="296"/>
      <c r="G57" s="296"/>
      <c r="H57" s="296"/>
    </row>
    <row r="58" spans="3:22" x14ac:dyDescent="0.5">
      <c r="C58" s="107"/>
      <c r="D58" s="296">
        <f>SUM(D54:D57)</f>
        <v>168.16499999999999</v>
      </c>
      <c r="E58" s="296"/>
      <c r="F58" s="296"/>
      <c r="G58" s="296"/>
      <c r="H58" s="296"/>
    </row>
    <row r="59" spans="3:22" x14ac:dyDescent="0.5">
      <c r="C59" s="107"/>
      <c r="D59" s="296">
        <v>-40</v>
      </c>
      <c r="E59" s="296"/>
      <c r="F59" s="296"/>
      <c r="G59" s="296"/>
      <c r="H59" s="296"/>
    </row>
    <row r="60" spans="3:22" x14ac:dyDescent="0.5">
      <c r="C60" s="107"/>
      <c r="D60" s="296">
        <f>-G29-D59</f>
        <v>-77.715499999999992</v>
      </c>
      <c r="E60" s="296"/>
      <c r="F60" s="296"/>
      <c r="G60" s="296"/>
      <c r="H60" s="296"/>
    </row>
    <row r="61" spans="3:22" x14ac:dyDescent="0.5">
      <c r="C61" s="107"/>
      <c r="D61" s="296">
        <f>SUM(D58:D60)</f>
        <v>50.4495</v>
      </c>
      <c r="E61" s="296"/>
      <c r="F61" s="296"/>
      <c r="G61" s="296"/>
      <c r="H61" s="296"/>
    </row>
    <row r="62" spans="3:22" x14ac:dyDescent="0.5">
      <c r="C62" s="107"/>
      <c r="D62" s="296">
        <f>+D53-D54</f>
        <v>20.191700000000026</v>
      </c>
      <c r="E62" s="296"/>
      <c r="F62" s="296"/>
      <c r="G62" s="296"/>
      <c r="H62" s="296"/>
    </row>
    <row r="63" spans="3:22" x14ac:dyDescent="0.5">
      <c r="C63" s="107"/>
      <c r="D63" s="296">
        <f>-G32</f>
        <v>-18.172530000000023</v>
      </c>
      <c r="E63" s="296"/>
      <c r="F63" s="296"/>
      <c r="G63" s="296"/>
      <c r="H63" s="296"/>
    </row>
    <row r="64" spans="3:22" x14ac:dyDescent="0.5">
      <c r="C64" s="107"/>
      <c r="D64" s="296">
        <f>+SUM(D62:D63)</f>
        <v>2.0191700000000026</v>
      </c>
      <c r="E64" s="296"/>
      <c r="F64" s="296"/>
      <c r="G64" s="296"/>
      <c r="H64" s="296"/>
    </row>
    <row r="65" spans="3:8" x14ac:dyDescent="0.5">
      <c r="D65" s="296"/>
      <c r="E65" s="296"/>
      <c r="F65" s="296"/>
      <c r="G65" s="296"/>
      <c r="H65" s="296"/>
    </row>
    <row r="66" spans="3:8" x14ac:dyDescent="0.5">
      <c r="D66" s="296"/>
      <c r="E66" s="296"/>
      <c r="F66" s="296"/>
      <c r="G66" s="296"/>
      <c r="H66" s="296"/>
    </row>
    <row r="67" spans="3:8" x14ac:dyDescent="0.5">
      <c r="D67" s="296">
        <f>+D60+D63</f>
        <v>-95.888030000000015</v>
      </c>
      <c r="E67" s="296"/>
      <c r="F67" s="296"/>
      <c r="G67" s="296"/>
      <c r="H67" s="296"/>
    </row>
    <row r="68" spans="3:8" x14ac:dyDescent="0.5">
      <c r="D68" s="296"/>
      <c r="E68" s="296"/>
      <c r="F68" s="296"/>
      <c r="G68" s="296"/>
      <c r="H68" s="296"/>
    </row>
    <row r="69" spans="3:8" x14ac:dyDescent="0.5">
      <c r="D69" s="296"/>
      <c r="E69" s="296"/>
      <c r="F69" s="296"/>
      <c r="G69" s="296"/>
      <c r="H69" s="296"/>
    </row>
    <row r="70" spans="3:8" x14ac:dyDescent="0.5">
      <c r="D70" s="296"/>
      <c r="E70" s="296"/>
      <c r="F70" s="296"/>
      <c r="G70" s="296"/>
      <c r="H70" s="296"/>
    </row>
    <row r="72" spans="3:8" x14ac:dyDescent="0.5">
      <c r="E72" s="107" t="s">
        <v>273</v>
      </c>
      <c r="F72" s="115">
        <f>G20</f>
        <v>354.98337500000002</v>
      </c>
    </row>
    <row r="73" spans="3:8" x14ac:dyDescent="0.5">
      <c r="E73" s="107" t="s">
        <v>274</v>
      </c>
      <c r="F73" s="115">
        <f>G21</f>
        <v>-64.791674999999998</v>
      </c>
    </row>
    <row r="74" spans="3:8" x14ac:dyDescent="0.5">
      <c r="C74" s="3"/>
      <c r="D74" s="3"/>
      <c r="E74" s="106" t="s">
        <v>275</v>
      </c>
      <c r="F74" s="116">
        <f>SUM(F72:F73)</f>
        <v>290.19170000000003</v>
      </c>
    </row>
    <row r="75" spans="3:8" x14ac:dyDescent="0.5">
      <c r="E75" s="107" t="s">
        <v>29</v>
      </c>
      <c r="F75" s="115">
        <f>G25</f>
        <v>-36.835000000000001</v>
      </c>
    </row>
    <row r="76" spans="3:8" x14ac:dyDescent="0.5">
      <c r="E76" s="107" t="s">
        <v>30</v>
      </c>
      <c r="F76" s="347">
        <f>25%*F75</f>
        <v>-9.2087500000000002</v>
      </c>
    </row>
    <row r="77" spans="3:8" x14ac:dyDescent="0.5">
      <c r="E77" s="107" t="s">
        <v>276</v>
      </c>
      <c r="F77" s="115">
        <f>G27-F76</f>
        <v>-55.791249999999998</v>
      </c>
    </row>
    <row r="78" spans="3:8" x14ac:dyDescent="0.5">
      <c r="C78" s="3"/>
      <c r="D78" s="22"/>
      <c r="E78" s="108" t="s">
        <v>277</v>
      </c>
      <c r="F78" s="116">
        <f>+SUM(F74:F77)</f>
        <v>188.35670000000002</v>
      </c>
    </row>
    <row r="79" spans="3:8" x14ac:dyDescent="0.5">
      <c r="D79" s="23"/>
      <c r="E79" s="107" t="s">
        <v>278</v>
      </c>
      <c r="F79" s="237">
        <v>-40</v>
      </c>
    </row>
    <row r="80" spans="3:8" x14ac:dyDescent="0.5">
      <c r="E80" s="107" t="s">
        <v>279</v>
      </c>
      <c r="F80" s="237">
        <f>-G29-F79</f>
        <v>-77.715499999999992</v>
      </c>
    </row>
    <row r="81" spans="3:6" x14ac:dyDescent="0.5">
      <c r="E81" s="107" t="s">
        <v>280</v>
      </c>
      <c r="F81" s="237">
        <f>-G32</f>
        <v>-18.172530000000023</v>
      </c>
    </row>
    <row r="82" spans="3:6" x14ac:dyDescent="0.5">
      <c r="C82" s="3"/>
      <c r="D82" s="3"/>
      <c r="E82" s="106" t="s">
        <v>281</v>
      </c>
      <c r="F82" s="116">
        <f>SUM(F78:F81)</f>
        <v>52.468670000000003</v>
      </c>
    </row>
  </sheetData>
  <sheetProtection selectLockedCells="1"/>
  <pageMargins left="0.7" right="0.7" top="0.75" bottom="0.75" header="0.3" footer="0.3"/>
  <pageSetup scale="31" orientation="portrait" r:id="rId1"/>
  <headerFooter>
    <oddHeader>&amp;L&amp;"-,Bold"&amp;KFF0000EXHIBIT 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ited xmlns="39e3a40f-4c2d-4461-bbcf-6103dd5d99db" xsi:nil="true"/>
    <have xmlns="39e3a40f-4c2d-4461-bbcf-6103dd5d99db">true</have>
    <_ip_UnifiedCompliancePolicyUIAction xmlns="http://schemas.microsoft.com/sharepoint/v3" xsi:nil="true"/>
    <_ip_UnifiedCompliancePolicyProperties xmlns="http://schemas.microsoft.com/sharepoint/v3" xsi:nil="true"/>
    <Notes xmlns="39e3a40f-4c2d-4461-bbcf-6103dd5d99db" xsi:nil="true"/>
    <UploadedtoiSupplier xmlns="39e3a40f-4c2d-4461-bbcf-6103dd5d99db">false</UploadedtoiSupplier>
    <TaxCatchAll xmlns="9d831754-bec5-4989-9045-92ee375d870c" xsi:nil="true"/>
    <lcf76f155ced4ddcb4097134ff3c332f xmlns="39e3a40f-4c2d-4461-bbcf-6103dd5d99db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245A0B90E5E41B48A24EE7B5E0801" ma:contentTypeVersion="26" ma:contentTypeDescription="Create a new document." ma:contentTypeScope="" ma:versionID="eea33303f22cf621b028f01d4d553e8c">
  <xsd:schema xmlns:xsd="http://www.w3.org/2001/XMLSchema" xmlns:xs="http://www.w3.org/2001/XMLSchema" xmlns:p="http://schemas.microsoft.com/office/2006/metadata/properties" xmlns:ns1="http://schemas.microsoft.com/sharepoint/v3" xmlns:ns2="39e3a40f-4c2d-4461-bbcf-6103dd5d99db" xmlns:ns3="9d831754-bec5-4989-9045-92ee375d870c" targetNamespace="http://schemas.microsoft.com/office/2006/metadata/properties" ma:root="true" ma:fieldsID="58abf83209f48bf2b7f42d3087304a3d" ns1:_="" ns2:_="" ns3:_="">
    <xsd:import namespace="http://schemas.microsoft.com/sharepoint/v3"/>
    <xsd:import namespace="39e3a40f-4c2d-4461-bbcf-6103dd5d99db"/>
    <xsd:import namespace="9d831754-bec5-4989-9045-92ee375d8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dited" minOccurs="0"/>
                <xsd:element ref="ns2:MediaServiceObjectDetectorVersions" minOccurs="0"/>
                <xsd:element ref="ns2:have" minOccurs="0"/>
                <xsd:element ref="ns2:MediaServiceSearchPropertie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UploadedtoiSupplier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a40f-4c2d-4461-bbcf-6103dd5d9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Location" ma:description="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b9ef3b-c3eb-4338-9687-26a906f0e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ited" ma:index="24" nillable="true" ma:displayName="Edited" ma:format="Dropdown" ma:internalName="Edited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have" ma:index="26" nillable="true" ma:displayName="have" ma:default="1" ma:format="Dropdown" ma:internalName="have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UploadedtoiSupplier" ma:index="31" ma:displayName="Uploaded to iSupplier" ma:default="0" ma:format="Dropdown" ma:internalName="UploadedtoiSupplier">
      <xsd:simpleType>
        <xsd:restriction base="dms:Boolean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31754-bec5-4989-9045-92ee375d8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ce28f9-a62f-4c32-91ed-51506ba88a9a}" ma:internalName="TaxCatchAll" ma:showField="CatchAllData" ma:web="9d831754-bec5-4989-9045-92ee375d8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E75A57-EC1A-4A97-832B-C512EFAD8165}">
  <ds:schemaRefs>
    <ds:schemaRef ds:uri="http://schemas.microsoft.com/office/2006/metadata/properties"/>
    <ds:schemaRef ds:uri="http://schemas.microsoft.com/office/infopath/2007/PartnerControls"/>
    <ds:schemaRef ds:uri="39e3a40f-4c2d-4461-bbcf-6103dd5d99db"/>
    <ds:schemaRef ds:uri="http://schemas.microsoft.com/sharepoint/v3"/>
    <ds:schemaRef ds:uri="9d831754-bec5-4989-9045-92ee375d870c"/>
  </ds:schemaRefs>
</ds:datastoreItem>
</file>

<file path=customXml/itemProps2.xml><?xml version="1.0" encoding="utf-8"?>
<ds:datastoreItem xmlns:ds="http://schemas.openxmlformats.org/officeDocument/2006/customXml" ds:itemID="{D9BBB85F-1619-4904-8F58-43A4D5E5D4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C1B250-5468-45CA-8088-F23574B8BA8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7946026-FDFD-44A5-ABEE-BE52CFE66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e3a40f-4c2d-4461-bbcf-6103dd5d99db"/>
    <ds:schemaRef ds:uri="9d831754-bec5-4989-9045-92ee375d8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INPUTS</vt:lpstr>
      <vt:lpstr>Financial Summary</vt:lpstr>
      <vt:lpstr>Model</vt:lpstr>
      <vt:lpstr>Analysis</vt:lpstr>
      <vt:lpstr>Model (3)</vt:lpstr>
      <vt:lpstr>Table1</vt:lpstr>
      <vt:lpstr>data--&gt;</vt:lpstr>
      <vt:lpstr>Bid Forms</vt:lpstr>
      <vt:lpstr>HenryHub</vt:lpstr>
      <vt:lpstr>RIN Curves</vt:lpstr>
      <vt:lpstr>D3 RIN 2013-2025</vt:lpstr>
      <vt:lpstr>D3 Forecast Stratas Dec25</vt:lpstr>
      <vt:lpstr>Misc. Tables</vt:lpstr>
      <vt:lpstr>'Bid Forms'!Print_Area</vt:lpstr>
    </vt:vector>
  </TitlesOfParts>
  <Manager/>
  <Company>Metropolitan Government of Nashville &amp; Davidson Cty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Edwards, Kevin (Finance - Procurement)</dc:creator>
  <cp:keywords/>
  <dc:description/>
  <cp:lastModifiedBy>Jonni Anwar</cp:lastModifiedBy>
  <cp:revision/>
  <dcterms:created xsi:type="dcterms:W3CDTF">2015-07-14T18:23:00Z</dcterms:created>
  <dcterms:modified xsi:type="dcterms:W3CDTF">2026-02-20T19:26:47Z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0x0101002AD245A0B90E5E41B48A24EE7B5E0801</vt:lpwstr>
  </property>
</Properties>
</file>